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lved Problems" sheetId="2" state="visible" r:id="rId2"/>
    <sheet name="Other Problems" sheetId="3" state="visible" r:id="rId3"/>
    <sheet name="Submissions" sheetId="4" state="visible" r:id="rId4"/>
    <sheet name="Pattern Summary" sheetId="5" state="visible" r:id="rId5"/>
    <sheet name="Timel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"/>
    <numFmt numFmtId="167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1F3864"/>
      <sz val="11"/>
    </font>
    <font>
      <name val="Arial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9" fontId="2" fillId="0" borderId="0" pivotButton="0" quotePrefix="0" xfId="0"/>
    <xf numFmtId="0" fontId="8" fillId="0" borderId="0" applyAlignment="1" pivotButton="0" quotePrefix="0" xfId="0">
      <alignment vertical="top" wrapText="1"/>
    </xf>
    <xf numFmtId="167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0" borderId="0" pivotButton="0" quotePrefix="0" xfId="0"/>
    <xf numFmtId="0" fontId="2" fillId="3" borderId="0" pivotButton="0" quotePrefix="0" xfId="0"/>
    <xf numFmtId="165" fontId="2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0" fillId="6" borderId="0" pivotButton="0" quotePrefix="0" xfId="0"/>
    <xf numFmtId="166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ont>
        <name val="Arial"/>
        <color rgb="00006100"/>
      </font>
    </dxf>
    <dxf>
      <font>
        <name val="Arial"/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audit</author>
  </authors>
  <commentList>
    <comment ref="Z1" authorId="0" shapeId="0">
      <text>
        <t>Yellow cells are for you: put Y if you solved it, N if your friend did. These problems are on the account since Mar 2023 but are not in your list.</t>
      </text>
    </comment>
  </commentList>
</comments>
</file>

<file path=xl/tables/table1.xml><?xml version="1.0" encoding="utf-8"?>
<table xmlns="http://schemas.openxmlformats.org/spreadsheetml/2006/main" id="1" name="SolvedProblems" displayName="SolvedProblems" ref="A1:Y278" headerRowCount="1">
  <autoFilter ref="A1:Y278"/>
  <tableColumns count="25">
    <tableColumn id="1" name="#"/>
    <tableColumn id="2" name="LC #"/>
    <tableColumn id="3" name="Problem"/>
    <tableColumn id="4" name="Difficulty"/>
    <tableColumn id="5" name="Pattern"/>
    <tableColumn id="6" name="Sub-pattern"/>
    <tableColumn id="7" name="Topic group"/>
    <tableColumn id="8" name="LeetCode tags"/>
    <tableColumn id="9" name="LC status"/>
    <tableColumn id="10" name="First attempt"/>
    <tableColumn id="11" name="First accepted"/>
    <tableColumn id="12" name="Last submission"/>
    <tableColumn id="13" name="Submissions"/>
    <tableColumn id="14" name="Accepted"/>
    <tableColumn id="15" name="Failed before first AC"/>
    <tableColumn id="16" name="First-try AC?"/>
    <tableColumn id="17" name="Wrong Answer (before AC)"/>
    <tableColumn id="18" name="TLE (before AC)"/>
    <tableColumn id="19" name="Other errors (before AC)"/>
    <tableColumn id="20" name="Languages"/>
    <tableColumn id="21" name="Best runtime beats %"/>
    <tableColumn id="22" name="Latest accepted submission"/>
    <tableColumn id="23" name="Code &amp; attempts file"/>
    <tableColumn id="24" name="Pre-Mar-2023 subs (excluded)"/>
    <tableColumn id="25" name="First AC month"/>
  </tableColumns>
  <tableStyleInfo name="TableStyleLight9" showRowStripes="1"/>
</table>
</file>

<file path=xl/tables/table2.xml><?xml version="1.0" encoding="utf-8"?>
<table xmlns="http://schemas.openxmlformats.org/spreadsheetml/2006/main" id="2" name="OtherProblems" displayName="OtherProblems" ref="A1:Z119" headerRowCount="1">
  <autoFilter ref="A1:Z119"/>
  <tableColumns count="26">
    <tableColumn id="1" name="#"/>
    <tableColumn id="2" name="LC #"/>
    <tableColumn id="3" name="Problem"/>
    <tableColumn id="4" name="Difficulty"/>
    <tableColumn id="5" name="Pattern"/>
    <tableColumn id="6" name="Sub-pattern"/>
    <tableColumn id="7" name="Topic group"/>
    <tableColumn id="8" name="LeetCode tags"/>
    <tableColumn id="9" name="LC status"/>
    <tableColumn id="10" name="First attempt"/>
    <tableColumn id="11" name="First accepted"/>
    <tableColumn id="12" name="Last submission"/>
    <tableColumn id="13" name="Submissions"/>
    <tableColumn id="14" name="Accepted"/>
    <tableColumn id="15" name="Failed before first AC"/>
    <tableColumn id="16" name="First-try AC?"/>
    <tableColumn id="17" name="Wrong Answer (before AC)"/>
    <tableColumn id="18" name="TLE (before AC)"/>
    <tableColumn id="19" name="Other errors (before AC)"/>
    <tableColumn id="20" name="Languages"/>
    <tableColumn id="21" name="Best runtime beats %"/>
    <tableColumn id="22" name="Latest accepted submission"/>
    <tableColumn id="23" name="Code &amp; attempts file"/>
    <tableColumn id="24" name="Pre-Mar-2023 subs (excluded)"/>
    <tableColumn id="25" name="First AC month"/>
    <tableColumn id="26" name="Mine? (Y/N)"/>
  </tableColumns>
  <tableStyleInfo name="TableStyleLight9" showRowStripes="1"/>
</table>
</file>

<file path=xl/tables/table3.xml><?xml version="1.0" encoding="utf-8"?>
<table xmlns="http://schemas.openxmlformats.org/spreadsheetml/2006/main" id="3" name="Submissions" displayName="Submissions" ref="A1:N1621" headerRowCount="1">
  <autoFilter ref="A1:N1621"/>
  <tableColumns count="14">
    <tableColumn id="1" name="Submitted (IST)"/>
    <tableColumn id="2" name="Month"/>
    <tableColumn id="3" name="LC #"/>
    <tableColumn id="4" name="Problem"/>
    <tableColumn id="5" name="Difficulty"/>
    <tableColumn id="6" name="Pattern"/>
    <tableColumn id="7" name="Status"/>
    <tableColumn id="8" name="Language"/>
    <tableColumn id="9" name="Runtime"/>
    <tableColumn id="10" name="Memory"/>
    <tableColumn id="11" name="Runtime beats %"/>
    <tableColumn id="12" name="Tests passed"/>
    <tableColumn id="13" name="Submission"/>
    <tableColumn id="14" name="In your list?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submissions/detail/1079247546/" TargetMode="External" Id="rId2" /><Relationship Type="http://schemas.openxmlformats.org/officeDocument/2006/relationships/hyperlink" Target="code/01-Arrays-Hashing-Sorting/0001-two-sum.md" TargetMode="External" Id="rId3" /><Relationship Type="http://schemas.openxmlformats.org/officeDocument/2006/relationships/hyperlink" Target="https://leetcode.com/problems/roman-to-integer/" TargetMode="External" Id="rId4" /><Relationship Type="http://schemas.openxmlformats.org/officeDocument/2006/relationships/hyperlink" Target="https://leetcode.com/submissions/detail/910366895/" TargetMode="External" Id="rId5" /><Relationship Type="http://schemas.openxmlformats.org/officeDocument/2006/relationships/hyperlink" Target="code/35-Strings-Simulation/0013-roman-to-integer.md" TargetMode="External" Id="rId6" /><Relationship Type="http://schemas.openxmlformats.org/officeDocument/2006/relationships/hyperlink" Target="https://leetcode.com/problems/longest-common-prefix/" TargetMode="External" Id="rId7" /><Relationship Type="http://schemas.openxmlformats.org/officeDocument/2006/relationships/hyperlink" Target="https://leetcode.com/submissions/detail/910366984/" TargetMode="External" Id="rId8" /><Relationship Type="http://schemas.openxmlformats.org/officeDocument/2006/relationships/hyperlink" Target="code/35-Strings-Simulation/0014-longest-common-prefix.md" TargetMode="External" Id="rId9" /><Relationship Type="http://schemas.openxmlformats.org/officeDocument/2006/relationships/hyperlink" Target="https://leetcode.com/problems/valid-parentheses/" TargetMode="External" Id="rId10" /><Relationship Type="http://schemas.openxmlformats.org/officeDocument/2006/relationships/hyperlink" Target="https://leetcode.com/submissions/detail/1158444134/" TargetMode="External" Id="rId11" /><Relationship Type="http://schemas.openxmlformats.org/officeDocument/2006/relationships/hyperlink" Target="code/07-Stack/0020-valid-parentheses.md" TargetMode="External" Id="rId12" /><Relationship Type="http://schemas.openxmlformats.org/officeDocument/2006/relationships/hyperlink" Target="https://leetcode.com/problems/logger-rate-limiter/" TargetMode="External" Id="rId13" /><Relationship Type="http://schemas.openxmlformats.org/officeDocument/2006/relationships/hyperlink" Target="https://leetcode.com/submissions/detail/940009478/" TargetMode="External" Id="rId14" /><Relationship Type="http://schemas.openxmlformats.org/officeDocument/2006/relationships/hyperlink" Target="code/32-Design/0359-logger-rate-limiter.md" TargetMode="External" Id="rId15" /><Relationship Type="http://schemas.openxmlformats.org/officeDocument/2006/relationships/hyperlink" Target="https://leetcode.com/problems/binary-search/" TargetMode="External" Id="rId16" /><Relationship Type="http://schemas.openxmlformats.org/officeDocument/2006/relationships/hyperlink" Target="https://leetcode.com/submissions/detail/1098074392/" TargetMode="External" Id="rId17" /><Relationship Type="http://schemas.openxmlformats.org/officeDocument/2006/relationships/hyperlink" Target="code/05-Binary-Search/0704-binary-search.md" TargetMode="External" Id="rId18" /><Relationship Type="http://schemas.openxmlformats.org/officeDocument/2006/relationships/hyperlink" Target="https://leetcode.com/problems/range-sum-of-bst/" TargetMode="External" Id="rId19" /><Relationship Type="http://schemas.openxmlformats.org/officeDocument/2006/relationships/hyperlink" Target="https://leetcode.com/submissions/detail/1699707053/" TargetMode="External" Id="rId20" /><Relationship Type="http://schemas.openxmlformats.org/officeDocument/2006/relationships/hyperlink" Target="code/12-Binary-Search-Tree/0938-range-sum-of-bst.md" TargetMode="External" Id="rId21" /><Relationship Type="http://schemas.openxmlformats.org/officeDocument/2006/relationships/hyperlink" Target="https://leetcode.com/problems/merge-intervals/" TargetMode="External" Id="rId22" /><Relationship Type="http://schemas.openxmlformats.org/officeDocument/2006/relationships/hyperlink" Target="https://leetcode.com/submissions/detail/1689875947/" TargetMode="External" Id="rId23" /><Relationship Type="http://schemas.openxmlformats.org/officeDocument/2006/relationships/hyperlink" Target="code/14-Intervals-Sweep-Line/0056-merge-intervals.md" TargetMode="External" Id="rId24" /><Relationship Type="http://schemas.openxmlformats.org/officeDocument/2006/relationships/hyperlink" Target="https://leetcode.com/problems/climbing-stairs/" TargetMode="External" Id="rId25" /><Relationship Type="http://schemas.openxmlformats.org/officeDocument/2006/relationships/hyperlink" Target="https://leetcode.com/submissions/detail/913014080/" TargetMode="External" Id="rId26" /><Relationship Type="http://schemas.openxmlformats.org/officeDocument/2006/relationships/hyperlink" Target="code/22-DP-1D-Linear/0070-climbing-stairs.md" TargetMode="External" Id="rId27" /><Relationship Type="http://schemas.openxmlformats.org/officeDocument/2006/relationships/hyperlink" Target="https://leetcode.com/problems/frog-position-after-t-seconds/" TargetMode="External" Id="rId28" /><Relationship Type="http://schemas.openxmlformats.org/officeDocument/2006/relationships/hyperlink" Target="https://leetcode.com/submissions/detail/913148665/" TargetMode="External" Id="rId29" /><Relationship Type="http://schemas.openxmlformats.org/officeDocument/2006/relationships/hyperlink" Target="code/18-Graph-General-BFS-DFS/1377-frog-position-after-t-seconds.md" TargetMode="External" Id="rId30" /><Relationship Type="http://schemas.openxmlformats.org/officeDocument/2006/relationships/hyperlink" Target="https://leetcode.com/problems/house-robber-ii/" TargetMode="External" Id="rId31" /><Relationship Type="http://schemas.openxmlformats.org/officeDocument/2006/relationships/hyperlink" Target="https://leetcode.com/submissions/detail/913185817/" TargetMode="External" Id="rId32" /><Relationship Type="http://schemas.openxmlformats.org/officeDocument/2006/relationships/hyperlink" Target="code/22-DP-1D-Linear/0213-house-robber-ii.md" TargetMode="External" Id="rId33" /><Relationship Type="http://schemas.openxmlformats.org/officeDocument/2006/relationships/hyperlink" Target="https://leetcode.com/problems/minimum-path-sum/" TargetMode="External" Id="rId34" /><Relationship Type="http://schemas.openxmlformats.org/officeDocument/2006/relationships/hyperlink" Target="https://leetcode.com/submissions/detail/913635348/" TargetMode="External" Id="rId35" /><Relationship Type="http://schemas.openxmlformats.org/officeDocument/2006/relationships/hyperlink" Target="code/23-DP-Grid-2D/0064-minimum-path-sum.md" TargetMode="External" Id="rId36" /><Relationship Type="http://schemas.openxmlformats.org/officeDocument/2006/relationships/hyperlink" Target="https://leetcode.com/problems/cherry-pickup/" TargetMode="External" Id="rId37" /><Relationship Type="http://schemas.openxmlformats.org/officeDocument/2006/relationships/hyperlink" Target="https://leetcode.com/submissions/detail/942963304/" TargetMode="External" Id="rId38" /><Relationship Type="http://schemas.openxmlformats.org/officeDocument/2006/relationships/hyperlink" Target="code/23-DP-Grid-2D/0741-cherry-pickup.md" TargetMode="External" Id="rId39" /><Relationship Type="http://schemas.openxmlformats.org/officeDocument/2006/relationships/hyperlink" Target="https://leetcode.com/problems/cherry-pickup-ii/" TargetMode="External" Id="rId40" /><Relationship Type="http://schemas.openxmlformats.org/officeDocument/2006/relationships/hyperlink" Target="https://leetcode.com/submissions/detail/942950556/" TargetMode="External" Id="rId41" /><Relationship Type="http://schemas.openxmlformats.org/officeDocument/2006/relationships/hyperlink" Target="code/23-DP-Grid-2D/1463-cherry-pickup-ii.md" TargetMode="External" Id="rId42" /><Relationship Type="http://schemas.openxmlformats.org/officeDocument/2006/relationships/hyperlink" Target="https://leetcode.com/problems/unique-paths/" TargetMode="External" Id="rId43" /><Relationship Type="http://schemas.openxmlformats.org/officeDocument/2006/relationships/hyperlink" Target="https://leetcode.com/submissions/detail/913779888/" TargetMode="External" Id="rId44" /><Relationship Type="http://schemas.openxmlformats.org/officeDocument/2006/relationships/hyperlink" Target="code/23-DP-Grid-2D/0062-unique-paths.md" TargetMode="External" Id="rId45" /><Relationship Type="http://schemas.openxmlformats.org/officeDocument/2006/relationships/hyperlink" Target="https://leetcode.com/problems/unique-paths-ii/" TargetMode="External" Id="rId46" /><Relationship Type="http://schemas.openxmlformats.org/officeDocument/2006/relationships/hyperlink" Target="https://leetcode.com/submissions/detail/913786813/" TargetMode="External" Id="rId47" /><Relationship Type="http://schemas.openxmlformats.org/officeDocument/2006/relationships/hyperlink" Target="code/23-DP-Grid-2D/0063-unique-paths-ii.md" TargetMode="External" Id="rId48" /><Relationship Type="http://schemas.openxmlformats.org/officeDocument/2006/relationships/hyperlink" Target="https://leetcode.com/problems/triangle/" TargetMode="External" Id="rId49" /><Relationship Type="http://schemas.openxmlformats.org/officeDocument/2006/relationships/hyperlink" Target="https://leetcode.com/submissions/detail/926374798/" TargetMode="External" Id="rId50" /><Relationship Type="http://schemas.openxmlformats.org/officeDocument/2006/relationships/hyperlink" Target="code/23-DP-Grid-2D/0120-triangle.md" TargetMode="External" Id="rId51" /><Relationship Type="http://schemas.openxmlformats.org/officeDocument/2006/relationships/hyperlink" Target="https://leetcode.com/problems/minimum-falling-path-sum/" TargetMode="External" Id="rId52" /><Relationship Type="http://schemas.openxmlformats.org/officeDocument/2006/relationships/hyperlink" Target="https://leetcode.com/submissions/detail/913806269/" TargetMode="External" Id="rId53" /><Relationship Type="http://schemas.openxmlformats.org/officeDocument/2006/relationships/hyperlink" Target="code/23-DP-Grid-2D/0931-minimum-falling-path-sum.md" TargetMode="External" Id="rId54" /><Relationship Type="http://schemas.openxmlformats.org/officeDocument/2006/relationships/hyperlink" Target="https://leetcode.com/problems/partition-equal-subset-sum/" TargetMode="External" Id="rId55" /><Relationship Type="http://schemas.openxmlformats.org/officeDocument/2006/relationships/hyperlink" Target="https://leetcode.com/submissions/detail/913930133/" TargetMode="External" Id="rId56" /><Relationship Type="http://schemas.openxmlformats.org/officeDocument/2006/relationships/hyperlink" Target="code/24-DP-Knapsack-Subset/0416-partition-equal-subset-sum.md" TargetMode="External" Id="rId57" /><Relationship Type="http://schemas.openxmlformats.org/officeDocument/2006/relationships/hyperlink" Target="https://leetcode.com/problems/coin-change/" TargetMode="External" Id="rId58" /><Relationship Type="http://schemas.openxmlformats.org/officeDocument/2006/relationships/hyperlink" Target="https://leetcode.com/submissions/detail/914009950/" TargetMode="External" Id="rId59" /><Relationship Type="http://schemas.openxmlformats.org/officeDocument/2006/relationships/hyperlink" Target="code/24-DP-Knapsack-Subset/0322-coin-change.md" TargetMode="External" Id="rId60" /><Relationship Type="http://schemas.openxmlformats.org/officeDocument/2006/relationships/hyperlink" Target="https://leetcode.com/problems/target-sum/" TargetMode="External" Id="rId61" /><Relationship Type="http://schemas.openxmlformats.org/officeDocument/2006/relationships/hyperlink" Target="https://leetcode.com/submissions/detail/914018995/" TargetMode="External" Id="rId62" /><Relationship Type="http://schemas.openxmlformats.org/officeDocument/2006/relationships/hyperlink" Target="code/24-DP-Knapsack-Subset/0494-target-sum.md" TargetMode="External" Id="rId63" /><Relationship Type="http://schemas.openxmlformats.org/officeDocument/2006/relationships/hyperlink" Target="https://leetcode.com/problems/longest-common-subsequence/" TargetMode="External" Id="rId64" /><Relationship Type="http://schemas.openxmlformats.org/officeDocument/2006/relationships/hyperlink" Target="https://leetcode.com/submissions/detail/914237588/" TargetMode="External" Id="rId65" /><Relationship Type="http://schemas.openxmlformats.org/officeDocument/2006/relationships/hyperlink" Target="code/25-DP-Strings-LCS-Edit-Matching/1143-longest-common-subsequence.md" TargetMode="External" Id="rId66" /><Relationship Type="http://schemas.openxmlformats.org/officeDocument/2006/relationships/hyperlink" Target="https://leetcode.com/problems/longest-palindromic-subsequence/" TargetMode="External" Id="rId67" /><Relationship Type="http://schemas.openxmlformats.org/officeDocument/2006/relationships/hyperlink" Target="https://leetcode.com/submissions/detail/914256431/" TargetMode="External" Id="rId68" /><Relationship Type="http://schemas.openxmlformats.org/officeDocument/2006/relationships/hyperlink" Target="code/25-DP-Strings-LCS-Edit-Matching/0516-longest-palindromic-subsequence.md" TargetMode="External" Id="rId69" /><Relationship Type="http://schemas.openxmlformats.org/officeDocument/2006/relationships/hyperlink" Target="https://leetcode.com/problems/minimum-insertion-steps-to-make-a-string-palindrome/" TargetMode="External" Id="rId70" /><Relationship Type="http://schemas.openxmlformats.org/officeDocument/2006/relationships/hyperlink" Target="https://leetcode.com/submissions/detail/914260676/" TargetMode="External" Id="rId71" /><Relationship Type="http://schemas.openxmlformats.org/officeDocument/2006/relationships/hyperlink" Target="code/25-DP-Strings-LCS-Edit-Matching/1312-minimum-insertion-steps-to-make-a-string-palindrome.md" TargetMode="External" Id="rId72" /><Relationship Type="http://schemas.openxmlformats.org/officeDocument/2006/relationships/hyperlink" Target="https://leetcode.com/problems/shortest-common-supersequence/" TargetMode="External" Id="rId73" /><Relationship Type="http://schemas.openxmlformats.org/officeDocument/2006/relationships/hyperlink" Target="https://leetcode.com/submissions/detail/914282202/" TargetMode="External" Id="rId74" /><Relationship Type="http://schemas.openxmlformats.org/officeDocument/2006/relationships/hyperlink" Target="code/25-DP-Strings-LCS-Edit-Matching/1092-shortest-common-supersequence.md" TargetMode="External" Id="rId75" /><Relationship Type="http://schemas.openxmlformats.org/officeDocument/2006/relationships/hyperlink" Target="https://leetcode.com/problems/distinct-subsequences/" TargetMode="External" Id="rId76" /><Relationship Type="http://schemas.openxmlformats.org/officeDocument/2006/relationships/hyperlink" Target="https://leetcode.com/submissions/detail/914326473/" TargetMode="External" Id="rId77" /><Relationship Type="http://schemas.openxmlformats.org/officeDocument/2006/relationships/hyperlink" Target="code/25-DP-Strings-LCS-Edit-Matching/0115-distinct-subsequences.md" TargetMode="External" Id="rId78" /><Relationship Type="http://schemas.openxmlformats.org/officeDocument/2006/relationships/hyperlink" Target="https://leetcode.com/problems/edit-distance/" TargetMode="External" Id="rId79" /><Relationship Type="http://schemas.openxmlformats.org/officeDocument/2006/relationships/hyperlink" Target="https://leetcode.com/submissions/detail/943623300/" TargetMode="External" Id="rId80" /><Relationship Type="http://schemas.openxmlformats.org/officeDocument/2006/relationships/hyperlink" Target="code/25-DP-Strings-LCS-Edit-Matching/0072-edit-distance.md" TargetMode="External" Id="rId81" /><Relationship Type="http://schemas.openxmlformats.org/officeDocument/2006/relationships/hyperlink" Target="https://leetcode.com/problems/wildcard-matching/" TargetMode="External" Id="rId82" /><Relationship Type="http://schemas.openxmlformats.org/officeDocument/2006/relationships/hyperlink" Target="https://leetcode.com/submissions/detail/943632100/" TargetMode="External" Id="rId83" /><Relationship Type="http://schemas.openxmlformats.org/officeDocument/2006/relationships/hyperlink" Target="code/25-DP-Strings-LCS-Edit-Matching/0044-wildcard-matching.md" TargetMode="External" Id="rId84" /><Relationship Type="http://schemas.openxmlformats.org/officeDocument/2006/relationships/hyperlink" Target="https://leetcode.com/problems/best-time-to-buy-and-sell-stock/" TargetMode="External" Id="rId85" /><Relationship Type="http://schemas.openxmlformats.org/officeDocument/2006/relationships/hyperlink" Target="https://leetcode.com/submissions/detail/1689878369/" TargetMode="External" Id="rId86" /><Relationship Type="http://schemas.openxmlformats.org/officeDocument/2006/relationships/hyperlink" Target="code/28-DP-Buy-Sell-Stock/0121-best-time-to-buy-and-sell-stock.md" TargetMode="External" Id="rId87" /><Relationship Type="http://schemas.openxmlformats.org/officeDocument/2006/relationships/hyperlink" Target="https://leetcode.com/problems/best-time-to-buy-and-sell-stock-ii/" TargetMode="External" Id="rId88" /><Relationship Type="http://schemas.openxmlformats.org/officeDocument/2006/relationships/hyperlink" Target="https://leetcode.com/submissions/detail/943656453/" TargetMode="External" Id="rId89" /><Relationship Type="http://schemas.openxmlformats.org/officeDocument/2006/relationships/hyperlink" Target="code/28-DP-Buy-Sell-Stock/0122-best-time-to-buy-and-sell-stock-ii.md" TargetMode="External" Id="rId90" /><Relationship Type="http://schemas.openxmlformats.org/officeDocument/2006/relationships/hyperlink" Target="https://leetcode.com/problems/course-schedule/" TargetMode="External" Id="rId91" /><Relationship Type="http://schemas.openxmlformats.org/officeDocument/2006/relationships/hyperlink" Target="https://leetcode.com/submissions/detail/1137908453/" TargetMode="External" Id="rId92" /><Relationship Type="http://schemas.openxmlformats.org/officeDocument/2006/relationships/hyperlink" Target="code/19-Graph-Topological-Sort/0207-course-schedule.md" TargetMode="External" Id="rId93" /><Relationship Type="http://schemas.openxmlformats.org/officeDocument/2006/relationships/hyperlink" Target="https://leetcode.com/problems/minimum-time-to-complete-trips/" TargetMode="External" Id="rId94" /><Relationship Type="http://schemas.openxmlformats.org/officeDocument/2006/relationships/hyperlink" Target="https://leetcode.com/submissions/detail/916054851/" TargetMode="External" Id="rId95" /><Relationship Type="http://schemas.openxmlformats.org/officeDocument/2006/relationships/hyperlink" Target="code/06-Binary-Search-on-Answer/2187-minimum-time-to-complete-trips.md" TargetMode="External" Id="rId96" /><Relationship Type="http://schemas.openxmlformats.org/officeDocument/2006/relationships/hyperlink" Target="https://leetcode.com/problems/pacific-atlantic-water-flow/" TargetMode="External" Id="rId97" /><Relationship Type="http://schemas.openxmlformats.org/officeDocument/2006/relationships/hyperlink" Target="https://leetcode.com/submissions/detail/916138421/" TargetMode="External" Id="rId98" /><Relationship Type="http://schemas.openxmlformats.org/officeDocument/2006/relationships/hyperlink" Target="code/17-Graph-Grid-BFS-DFS/0417-pacific-atlantic-water-flow.md" TargetMode="External" Id="rId99" /><Relationship Type="http://schemas.openxmlformats.org/officeDocument/2006/relationships/hyperlink" Target="https://leetcode.com/problems/bomb-enemy/" TargetMode="External" Id="rId100" /><Relationship Type="http://schemas.openxmlformats.org/officeDocument/2006/relationships/hyperlink" Target="https://leetcode.com/submissions/detail/924963710/" TargetMode="External" Id="rId101" /><Relationship Type="http://schemas.openxmlformats.org/officeDocument/2006/relationships/hyperlink" Target="code/23-DP-Grid-2D/0361-bomb-enemy.md" TargetMode="External" Id="rId102" /><Relationship Type="http://schemas.openxmlformats.org/officeDocument/2006/relationships/hyperlink" Target="https://leetcode.com/problems/leftmost-column-with-at-least-a-one/" TargetMode="External" Id="rId103" /><Relationship Type="http://schemas.openxmlformats.org/officeDocument/2006/relationships/hyperlink" Target="https://leetcode.com/submissions/detail/924939203/" TargetMode="External" Id="rId104" /><Relationship Type="http://schemas.openxmlformats.org/officeDocument/2006/relationships/hyperlink" Target="code/05-Binary-Search/1428-leftmost-column-with-at-least-a-one.md" TargetMode="External" Id="rId105" /><Relationship Type="http://schemas.openxmlformats.org/officeDocument/2006/relationships/hyperlink" Target="https://leetcode.com/problems/longest-continuous-subarray-with-absolute-diff-less-than-or-equal-to-limit/" TargetMode="External" Id="rId106" /><Relationship Type="http://schemas.openxmlformats.org/officeDocument/2006/relationships/hyperlink" Target="https://leetcode.com/submissions/detail/916288522/" TargetMode="External" Id="rId107" /><Relationship Type="http://schemas.openxmlformats.org/officeDocument/2006/relationships/hyperlink" Target="code/03-Sliding-Window/1438-longest-continuous-subarray-with-absolute-diff-less-than-or-equal-to-limit.md" TargetMode="External" Id="rId108" /><Relationship Type="http://schemas.openxmlformats.org/officeDocument/2006/relationships/hyperlink" Target="https://leetcode.com/problems/range-module/" TargetMode="External" Id="rId109" /><Relationship Type="http://schemas.openxmlformats.org/officeDocument/2006/relationships/hyperlink" Target="https://leetcode.com/submissions/detail/917822373/" TargetMode="External" Id="rId110" /><Relationship Type="http://schemas.openxmlformats.org/officeDocument/2006/relationships/hyperlink" Target="code/33-Segment-Tree-BIT-Ordered-Set/0715-range-module.md" TargetMode="External" Id="rId111" /><Relationship Type="http://schemas.openxmlformats.org/officeDocument/2006/relationships/hyperlink" Target="https://leetcode.com/problems/number-of-islands/" TargetMode="External" Id="rId112" /><Relationship Type="http://schemas.openxmlformats.org/officeDocument/2006/relationships/hyperlink" Target="https://leetcode.com/submissions/detail/1165506805/" TargetMode="External" Id="rId113" /><Relationship Type="http://schemas.openxmlformats.org/officeDocument/2006/relationships/hyperlink" Target="code/17-Graph-Grid-BFS-DFS/0200-number-of-islands.md" TargetMode="External" Id="rId114" /><Relationship Type="http://schemas.openxmlformats.org/officeDocument/2006/relationships/hyperlink" Target="https://leetcode.com/problems/longest-valid-parentheses/" TargetMode="External" Id="rId115" /><Relationship Type="http://schemas.openxmlformats.org/officeDocument/2006/relationships/hyperlink" Target="https://leetcode.com/submissions/detail/918716653/" TargetMode="External" Id="rId116" /><Relationship Type="http://schemas.openxmlformats.org/officeDocument/2006/relationships/hyperlink" Target="code/07-Stack/0032-longest-valid-parentheses.md" TargetMode="External" Id="rId117" /><Relationship Type="http://schemas.openxmlformats.org/officeDocument/2006/relationships/hyperlink" Target="https://leetcode.com/problems/reverse-nodes-in-k-group/" TargetMode="External" Id="rId118" /><Relationship Type="http://schemas.openxmlformats.org/officeDocument/2006/relationships/hyperlink" Target="https://leetcode.com/submissions/detail/1583325959/" TargetMode="External" Id="rId119" /><Relationship Type="http://schemas.openxmlformats.org/officeDocument/2006/relationships/hyperlink" Target="code/09-Linked-List/0025-reverse-nodes-in-k-group.md" TargetMode="External" Id="rId120" /><Relationship Type="http://schemas.openxmlformats.org/officeDocument/2006/relationships/hyperlink" Target="https://leetcode.com/problems/lru-cache/" TargetMode="External" Id="rId121" /><Relationship Type="http://schemas.openxmlformats.org/officeDocument/2006/relationships/hyperlink" Target="https://leetcode.com/submissions/detail/1171863682/" TargetMode="External" Id="rId122" /><Relationship Type="http://schemas.openxmlformats.org/officeDocument/2006/relationships/hyperlink" Target="code/32-Design/0146-lru-cache.md" TargetMode="External" Id="rId123" /><Relationship Type="http://schemas.openxmlformats.org/officeDocument/2006/relationships/hyperlink" Target="https://leetcode.com/problems/longest-palindromic-substring/" TargetMode="External" Id="rId124" /><Relationship Type="http://schemas.openxmlformats.org/officeDocument/2006/relationships/hyperlink" Target="https://leetcode.com/submissions/detail/953693067/" TargetMode="External" Id="rId125" /><Relationship Type="http://schemas.openxmlformats.org/officeDocument/2006/relationships/hyperlink" Target="code/02-Two-Pointers/0005-longest-palindromic-substring.md" TargetMode="External" Id="rId126" /><Relationship Type="http://schemas.openxmlformats.org/officeDocument/2006/relationships/hyperlink" Target="https://leetcode.com/problems/find-first-and-last-position-of-element-in-sorted-array/" TargetMode="External" Id="rId127" /><Relationship Type="http://schemas.openxmlformats.org/officeDocument/2006/relationships/hyperlink" Target="https://leetcode.com/submissions/detail/1147430361/" TargetMode="External" Id="rId128" /><Relationship Type="http://schemas.openxmlformats.org/officeDocument/2006/relationships/hyperlink" Target="code/05-Binary-Search/0034-find-first-and-last-position-of-element-in-sorted-array.md" TargetMode="External" Id="rId129" /><Relationship Type="http://schemas.openxmlformats.org/officeDocument/2006/relationships/hyperlink" Target="https://leetcode.com/problems/group-anagrams/" TargetMode="External" Id="rId130" /><Relationship Type="http://schemas.openxmlformats.org/officeDocument/2006/relationships/hyperlink" Target="https://leetcode.com/submissions/detail/920196438/" TargetMode="External" Id="rId131" /><Relationship Type="http://schemas.openxmlformats.org/officeDocument/2006/relationships/hyperlink" Target="code/01-Arrays-Hashing-Sorting/0049-group-anagrams.md" TargetMode="External" Id="rId132" /><Relationship Type="http://schemas.openxmlformats.org/officeDocument/2006/relationships/hyperlink" Target="https://leetcode.com/problems/text-justification/" TargetMode="External" Id="rId133" /><Relationship Type="http://schemas.openxmlformats.org/officeDocument/2006/relationships/hyperlink" Target="https://leetcode.com/submissions/detail/920196506/" TargetMode="External" Id="rId134" /><Relationship Type="http://schemas.openxmlformats.org/officeDocument/2006/relationships/hyperlink" Target="code/35-Strings-Simulation/0068-text-justification.md" TargetMode="External" Id="rId135" /><Relationship Type="http://schemas.openxmlformats.org/officeDocument/2006/relationships/hyperlink" Target="https://leetcode.com/problems/minimum-window-substring/" TargetMode="External" Id="rId136" /><Relationship Type="http://schemas.openxmlformats.org/officeDocument/2006/relationships/hyperlink" Target="https://leetcode.com/submissions/detail/1171474048/" TargetMode="External" Id="rId137" /><Relationship Type="http://schemas.openxmlformats.org/officeDocument/2006/relationships/hyperlink" Target="code/03-Sliding-Window/0076-minimum-window-substring.md" TargetMode="External" Id="rId138" /><Relationship Type="http://schemas.openxmlformats.org/officeDocument/2006/relationships/hyperlink" Target="https://leetcode.com/problems/reconstruct-itinerary/" TargetMode="External" Id="rId139" /><Relationship Type="http://schemas.openxmlformats.org/officeDocument/2006/relationships/hyperlink" Target="https://leetcode.com/submissions/detail/1130928739/" TargetMode="External" Id="rId140" /><Relationship Type="http://schemas.openxmlformats.org/officeDocument/2006/relationships/hyperlink" Target="code/18-Graph-General-BFS-DFS/0332-reconstruct-itinerary.md" TargetMode="External" Id="rId141" /><Relationship Type="http://schemas.openxmlformats.org/officeDocument/2006/relationships/hyperlink" Target="https://leetcode.com/problems/evaluate-division/" TargetMode="External" Id="rId142" /><Relationship Type="http://schemas.openxmlformats.org/officeDocument/2006/relationships/hyperlink" Target="https://leetcode.com/submissions/detail/920228516/" TargetMode="External" Id="rId143" /><Relationship Type="http://schemas.openxmlformats.org/officeDocument/2006/relationships/hyperlink" Target="code/18-Graph-General-BFS-DFS/0399-evaluate-division.md" TargetMode="External" Id="rId144" /><Relationship Type="http://schemas.openxmlformats.org/officeDocument/2006/relationships/hyperlink" Target="https://leetcode.com/problems/find-duplicate-subtrees/" TargetMode="External" Id="rId145" /><Relationship Type="http://schemas.openxmlformats.org/officeDocument/2006/relationships/hyperlink" Target="https://leetcode.com/submissions/detail/920228711/" TargetMode="External" Id="rId146" /><Relationship Type="http://schemas.openxmlformats.org/officeDocument/2006/relationships/hyperlink" Target="code/10-Binary-Tree-DFS-Recursion/0652-find-duplicate-subtrees.md" TargetMode="External" Id="rId147" /><Relationship Type="http://schemas.openxmlformats.org/officeDocument/2006/relationships/hyperlink" Target="https://leetcode.com/problems/trapping-rain-water/" TargetMode="External" Id="rId148" /><Relationship Type="http://schemas.openxmlformats.org/officeDocument/2006/relationships/hyperlink" Target="https://leetcode.com/submissions/detail/920228993/" TargetMode="External" Id="rId149" /><Relationship Type="http://schemas.openxmlformats.org/officeDocument/2006/relationships/hyperlink" Target="code/02-Two-Pointers/0042-trapping-rain-water.md" TargetMode="External" Id="rId150" /><Relationship Type="http://schemas.openxmlformats.org/officeDocument/2006/relationships/hyperlink" Target="https://leetcode.com/problems/meeting-rooms-ii/" TargetMode="External" Id="rId151" /><Relationship Type="http://schemas.openxmlformats.org/officeDocument/2006/relationships/hyperlink" Target="https://leetcode.com/submissions/detail/1211468058/" TargetMode="External" Id="rId152" /><Relationship Type="http://schemas.openxmlformats.org/officeDocument/2006/relationships/hyperlink" Target="code/14-Intervals-Sweep-Line/0253-meeting-rooms-ii.md" TargetMode="External" Id="rId153" /><Relationship Type="http://schemas.openxmlformats.org/officeDocument/2006/relationships/hyperlink" Target="https://leetcode.com/problems/task-scheduler/" TargetMode="External" Id="rId154" /><Relationship Type="http://schemas.openxmlformats.org/officeDocument/2006/relationships/hyperlink" Target="https://leetcode.com/submissions/detail/920229298/" TargetMode="External" Id="rId155" /><Relationship Type="http://schemas.openxmlformats.org/officeDocument/2006/relationships/hyperlink" Target="code/15-Greedy/0621-task-scheduler.md" TargetMode="External" Id="rId156" /><Relationship Type="http://schemas.openxmlformats.org/officeDocument/2006/relationships/hyperlink" Target="https://leetcode.com/problems/exclusive-time-of-functions/" TargetMode="External" Id="rId157" /><Relationship Type="http://schemas.openxmlformats.org/officeDocument/2006/relationships/hyperlink" Target="https://leetcode.com/submissions/detail/1688323984/" TargetMode="External" Id="rId158" /><Relationship Type="http://schemas.openxmlformats.org/officeDocument/2006/relationships/hyperlink" Target="code/07-Stack/0636-exclusive-time-of-functions.md" TargetMode="External" Id="rId159" /><Relationship Type="http://schemas.openxmlformats.org/officeDocument/2006/relationships/hyperlink" Target="https://leetcode.com/problems/merge-k-sorted-lists/" TargetMode="External" Id="rId160" /><Relationship Type="http://schemas.openxmlformats.org/officeDocument/2006/relationships/hyperlink" Target="https://leetcode.com/submissions/detail/1586434062/" TargetMode="External" Id="rId161" /><Relationship Type="http://schemas.openxmlformats.org/officeDocument/2006/relationships/hyperlink" Target="code/13-Heap-Top-K/0023-merge-k-sorted-lists.md" TargetMode="External" Id="rId162" /><Relationship Type="http://schemas.openxmlformats.org/officeDocument/2006/relationships/hyperlink" Target="https://leetcode.com/problems/employee-free-time/" TargetMode="External" Id="rId163" /><Relationship Type="http://schemas.openxmlformats.org/officeDocument/2006/relationships/hyperlink" Target="https://leetcode.com/submissions/detail/1211504428/" TargetMode="External" Id="rId164" /><Relationship Type="http://schemas.openxmlformats.org/officeDocument/2006/relationships/hyperlink" Target="code/14-Intervals-Sweep-Line/0759-employee-free-time.md" TargetMode="External" Id="rId165" /><Relationship Type="http://schemas.openxmlformats.org/officeDocument/2006/relationships/hyperlink" Target="https://leetcode.com/problems/letter-combinations-of-a-phone-number/" TargetMode="External" Id="rId166" /><Relationship Type="http://schemas.openxmlformats.org/officeDocument/2006/relationships/hyperlink" Target="https://leetcode.com/submissions/detail/1157970096/" TargetMode="External" Id="rId167" /><Relationship Type="http://schemas.openxmlformats.org/officeDocument/2006/relationships/hyperlink" Target="code/16-Backtracking/0017-letter-combinations-of-a-phone-number.md" TargetMode="External" Id="rId168" /><Relationship Type="http://schemas.openxmlformats.org/officeDocument/2006/relationships/hyperlink" Target="https://leetcode.com/problems/subsets/" TargetMode="External" Id="rId169" /><Relationship Type="http://schemas.openxmlformats.org/officeDocument/2006/relationships/hyperlink" Target="https://leetcode.com/submissions/detail/940946290/" TargetMode="External" Id="rId170" /><Relationship Type="http://schemas.openxmlformats.org/officeDocument/2006/relationships/hyperlink" Target="code/16-Backtracking/0078-subsets.md" TargetMode="External" Id="rId171" /><Relationship Type="http://schemas.openxmlformats.org/officeDocument/2006/relationships/hyperlink" Target="https://leetcode.com/problems/subsets-ii/" TargetMode="External" Id="rId172" /><Relationship Type="http://schemas.openxmlformats.org/officeDocument/2006/relationships/hyperlink" Target="https://leetcode.com/submissions/detail/940946848/" TargetMode="External" Id="rId173" /><Relationship Type="http://schemas.openxmlformats.org/officeDocument/2006/relationships/hyperlink" Target="code/16-Backtracking/0090-subsets-ii.md" TargetMode="External" Id="rId174" /><Relationship Type="http://schemas.openxmlformats.org/officeDocument/2006/relationships/hyperlink" Target="https://leetcode.com/problems/permutations/" TargetMode="External" Id="rId175" /><Relationship Type="http://schemas.openxmlformats.org/officeDocument/2006/relationships/hyperlink" Target="https://leetcode.com/submissions/detail/940957460/" TargetMode="External" Id="rId176" /><Relationship Type="http://schemas.openxmlformats.org/officeDocument/2006/relationships/hyperlink" Target="code/16-Backtracking/0046-permutations.md" TargetMode="External" Id="rId177" /><Relationship Type="http://schemas.openxmlformats.org/officeDocument/2006/relationships/hyperlink" Target="https://leetcode.com/problems/permutations-ii/" TargetMode="External" Id="rId178" /><Relationship Type="http://schemas.openxmlformats.org/officeDocument/2006/relationships/hyperlink" Target="https://leetcode.com/submissions/detail/920000773/" TargetMode="External" Id="rId179" /><Relationship Type="http://schemas.openxmlformats.org/officeDocument/2006/relationships/hyperlink" Target="code/16-Backtracking/0047-permutations-ii.md" TargetMode="External" Id="rId180" /><Relationship Type="http://schemas.openxmlformats.org/officeDocument/2006/relationships/hyperlink" Target="https://leetcode.com/problems/word-ladder/" TargetMode="External" Id="rId181" /><Relationship Type="http://schemas.openxmlformats.org/officeDocument/2006/relationships/hyperlink" Target="https://leetcode.com/submissions/detail/1074675001/" TargetMode="External" Id="rId182" /><Relationship Type="http://schemas.openxmlformats.org/officeDocument/2006/relationships/hyperlink" Target="code/18-Graph-General-BFS-DFS/0127-word-ladder.md" TargetMode="External" Id="rId183" /><Relationship Type="http://schemas.openxmlformats.org/officeDocument/2006/relationships/hyperlink" Target="https://leetcode.com/problems/word-ladder-ii/" TargetMode="External" Id="rId184" /><Relationship Type="http://schemas.openxmlformats.org/officeDocument/2006/relationships/hyperlink" Target="https://leetcode.com/submissions/detail/1074684278/" TargetMode="External" Id="rId185" /><Relationship Type="http://schemas.openxmlformats.org/officeDocument/2006/relationships/hyperlink" Target="code/18-Graph-General-BFS-DFS/0126-word-ladder-ii.md" TargetMode="External" Id="rId186" /><Relationship Type="http://schemas.openxmlformats.org/officeDocument/2006/relationships/hyperlink" Target="https://leetcode.com/problems/walls-and-gates/" TargetMode="External" Id="rId187" /><Relationship Type="http://schemas.openxmlformats.org/officeDocument/2006/relationships/hyperlink" Target="https://leetcode.com/submissions/detail/920247969/" TargetMode="External" Id="rId188" /><Relationship Type="http://schemas.openxmlformats.org/officeDocument/2006/relationships/hyperlink" Target="code/17-Graph-Grid-BFS-DFS/0286-walls-and-gates.md" TargetMode="External" Id="rId189" /><Relationship Type="http://schemas.openxmlformats.org/officeDocument/2006/relationships/hyperlink" Target="https://leetcode.com/problems/remove-invalid-parentheses/" TargetMode="External" Id="rId190" /><Relationship Type="http://schemas.openxmlformats.org/officeDocument/2006/relationships/hyperlink" Target="https://leetcode.com/submissions/detail/1170933737/" TargetMode="External" Id="rId191" /><Relationship Type="http://schemas.openxmlformats.org/officeDocument/2006/relationships/hyperlink" Target="code/16-Backtracking/0301-remove-invalid-parentheses.md" TargetMode="External" Id="rId192" /><Relationship Type="http://schemas.openxmlformats.org/officeDocument/2006/relationships/hyperlink" Target="https://leetcode.com/problems/24-game/" TargetMode="External" Id="rId193" /><Relationship Type="http://schemas.openxmlformats.org/officeDocument/2006/relationships/hyperlink" Target="https://leetcode.com/submissions/detail/920324278/" TargetMode="External" Id="rId194" /><Relationship Type="http://schemas.openxmlformats.org/officeDocument/2006/relationships/hyperlink" Target="code/16-Backtracking/0679-24-game.md" TargetMode="External" Id="rId195" /><Relationship Type="http://schemas.openxmlformats.org/officeDocument/2006/relationships/hyperlink" Target="https://leetcode.com/problems/max-area-of-island/" TargetMode="External" Id="rId196" /><Relationship Type="http://schemas.openxmlformats.org/officeDocument/2006/relationships/hyperlink" Target="https://leetcode.com/submissions/detail/1156900936/" TargetMode="External" Id="rId197" /><Relationship Type="http://schemas.openxmlformats.org/officeDocument/2006/relationships/hyperlink" Target="code/17-Graph-Grid-BFS-DFS/0695-max-area-of-island.md" TargetMode="External" Id="rId198" /><Relationship Type="http://schemas.openxmlformats.org/officeDocument/2006/relationships/hyperlink" Target="https://leetcode.com/problems/bus-routes/" TargetMode="External" Id="rId199" /><Relationship Type="http://schemas.openxmlformats.org/officeDocument/2006/relationships/hyperlink" Target="https://leetcode.com/submissions/detail/920358035/" TargetMode="External" Id="rId200" /><Relationship Type="http://schemas.openxmlformats.org/officeDocument/2006/relationships/hyperlink" Target="code/18-Graph-General-BFS-DFS/0815-bus-routes.md" TargetMode="External" Id="rId201" /><Relationship Type="http://schemas.openxmlformats.org/officeDocument/2006/relationships/hyperlink" Target="https://leetcode.com/problems/shortest-bridge/" TargetMode="External" Id="rId202" /><Relationship Type="http://schemas.openxmlformats.org/officeDocument/2006/relationships/hyperlink" Target="https://leetcode.com/submissions/detail/920365876/" TargetMode="External" Id="rId203" /><Relationship Type="http://schemas.openxmlformats.org/officeDocument/2006/relationships/hyperlink" Target="code/17-Graph-Grid-BFS-DFS/0934-shortest-bridge.md" TargetMode="External" Id="rId204" /><Relationship Type="http://schemas.openxmlformats.org/officeDocument/2006/relationships/hyperlink" Target="https://leetcode.com/problems/word-break/" TargetMode="External" Id="rId205" /><Relationship Type="http://schemas.openxmlformats.org/officeDocument/2006/relationships/hyperlink" Target="https://leetcode.com/submissions/detail/1170645773/" TargetMode="External" Id="rId206" /><Relationship Type="http://schemas.openxmlformats.org/officeDocument/2006/relationships/hyperlink" Target="code/22-DP-1D-Linear/0139-word-break.md" TargetMode="External" Id="rId207" /><Relationship Type="http://schemas.openxmlformats.org/officeDocument/2006/relationships/hyperlink" Target="https://leetcode.com/problems/word-break-ii/" TargetMode="External" Id="rId208" /><Relationship Type="http://schemas.openxmlformats.org/officeDocument/2006/relationships/hyperlink" Target="https://leetcode.com/submissions/detail/1167527618/" TargetMode="External" Id="rId209" /><Relationship Type="http://schemas.openxmlformats.org/officeDocument/2006/relationships/hyperlink" Target="code/16-Backtracking/0140-word-break-ii.md" TargetMode="External" Id="rId210" /><Relationship Type="http://schemas.openxmlformats.org/officeDocument/2006/relationships/hyperlink" Target="https://leetcode.com/problems/perfect-squares/" TargetMode="External" Id="rId211" /><Relationship Type="http://schemas.openxmlformats.org/officeDocument/2006/relationships/hyperlink" Target="https://leetcode.com/submissions/detail/920639644/" TargetMode="External" Id="rId212" /><Relationship Type="http://schemas.openxmlformats.org/officeDocument/2006/relationships/hyperlink" Target="code/24-DP-Knapsack-Subset/0279-perfect-squares.md" TargetMode="External" Id="rId213" /><Relationship Type="http://schemas.openxmlformats.org/officeDocument/2006/relationships/hyperlink" Target="https://leetcode.com/problems/longest-increasing-subsequence/" TargetMode="External" Id="rId214" /><Relationship Type="http://schemas.openxmlformats.org/officeDocument/2006/relationships/hyperlink" Target="https://leetcode.com/submissions/detail/944091398/" TargetMode="External" Id="rId215" /><Relationship Type="http://schemas.openxmlformats.org/officeDocument/2006/relationships/hyperlink" Target="code/26-DP-LIS-Family/0300-longest-increasing-subsequence.md" TargetMode="External" Id="rId216" /><Relationship Type="http://schemas.openxmlformats.org/officeDocument/2006/relationships/hyperlink" Target="https://leetcode.com/problems/russian-doll-envelopes/" TargetMode="External" Id="rId217" /><Relationship Type="http://schemas.openxmlformats.org/officeDocument/2006/relationships/hyperlink" Target="https://leetcode.com/submissions/detail/920705425/" TargetMode="External" Id="rId218" /><Relationship Type="http://schemas.openxmlformats.org/officeDocument/2006/relationships/hyperlink" Target="code/26-DP-LIS-Family/0354-russian-doll-envelopes.md" TargetMode="External" Id="rId219" /><Relationship Type="http://schemas.openxmlformats.org/officeDocument/2006/relationships/hyperlink" Target="https://leetcode.com/problems/maximum-vacation-days/" TargetMode="External" Id="rId220" /><Relationship Type="http://schemas.openxmlformats.org/officeDocument/2006/relationships/hyperlink" Target="https://leetcode.com/submissions/detail/920726001/" TargetMode="External" Id="rId221" /><Relationship Type="http://schemas.openxmlformats.org/officeDocument/2006/relationships/hyperlink" Target="code/23-DP-Grid-2D/0568-maximum-vacation-days.md" TargetMode="External" Id="rId222" /><Relationship Type="http://schemas.openxmlformats.org/officeDocument/2006/relationships/hyperlink" Target="https://leetcode.com/problems/number-of-good-paths/" TargetMode="External" Id="rId223" /><Relationship Type="http://schemas.openxmlformats.org/officeDocument/2006/relationships/hyperlink" Target="https://leetcode.com/submissions/detail/920861130/" TargetMode="External" Id="rId224" /><Relationship Type="http://schemas.openxmlformats.org/officeDocument/2006/relationships/hyperlink" Target="code/20-Graph-Union-Find/2421-number-of-good-paths.md" TargetMode="External" Id="rId225" /><Relationship Type="http://schemas.openxmlformats.org/officeDocument/2006/relationships/hyperlink" Target="https://leetcode.com/problems/meeting-rooms-iii/" TargetMode="External" Id="rId226" /><Relationship Type="http://schemas.openxmlformats.org/officeDocument/2006/relationships/hyperlink" Target="https://leetcode.com/submissions/detail/944879357/" TargetMode="External" Id="rId227" /><Relationship Type="http://schemas.openxmlformats.org/officeDocument/2006/relationships/hyperlink" Target="code/13-Heap-Top-K/2402-meeting-rooms-iii.md" TargetMode="External" Id="rId228" /><Relationship Type="http://schemas.openxmlformats.org/officeDocument/2006/relationships/hyperlink" Target="https://leetcode.com/problems/race-car/" TargetMode="External" Id="rId229" /><Relationship Type="http://schemas.openxmlformats.org/officeDocument/2006/relationships/hyperlink" Target="https://leetcode.com/submissions/detail/920921933/" TargetMode="External" Id="rId230" /><Relationship Type="http://schemas.openxmlformats.org/officeDocument/2006/relationships/hyperlink" Target="code/21-Graph-Shortest-Path/0818-race-car.md" TargetMode="External" Id="rId231" /><Relationship Type="http://schemas.openxmlformats.org/officeDocument/2006/relationships/hyperlink" Target="https://leetcode.com/problems/shortest-path-in-a-grid-with-obstacles-elimination/" TargetMode="External" Id="rId232" /><Relationship Type="http://schemas.openxmlformats.org/officeDocument/2006/relationships/hyperlink" Target="https://leetcode.com/submissions/detail/920955793/" TargetMode="External" Id="rId233" /><Relationship Type="http://schemas.openxmlformats.org/officeDocument/2006/relationships/hyperlink" Target="code/21-Graph-Shortest-Path/1293-shortest-path-in-a-grid-with-obstacles-elimination.md" TargetMode="External" Id="rId234" /><Relationship Type="http://schemas.openxmlformats.org/officeDocument/2006/relationships/hyperlink" Target="https://leetcode.com/problems/shortest-path-to-get-food/" TargetMode="External" Id="rId235" /><Relationship Type="http://schemas.openxmlformats.org/officeDocument/2006/relationships/hyperlink" Target="https://leetcode.com/submissions/detail/920961036/" TargetMode="External" Id="rId236" /><Relationship Type="http://schemas.openxmlformats.org/officeDocument/2006/relationships/hyperlink" Target="code/17-Graph-Grid-BFS-DFS/1730-shortest-path-to-get-food.md" TargetMode="External" Id="rId237" /><Relationship Type="http://schemas.openxmlformats.org/officeDocument/2006/relationships/hyperlink" Target="https://leetcode.com/problems/height-of-binary-tree-after-subtree-removal-queries/" TargetMode="External" Id="rId238" /><Relationship Type="http://schemas.openxmlformats.org/officeDocument/2006/relationships/hyperlink" Target="https://leetcode.com/submissions/detail/920966897/" TargetMode="External" Id="rId239" /><Relationship Type="http://schemas.openxmlformats.org/officeDocument/2006/relationships/hyperlink" Target="code/10-Binary-Tree-DFS-Recursion/2458-height-of-binary-tree-after-subtree-removal-queries.md" TargetMode="External" Id="rId240" /><Relationship Type="http://schemas.openxmlformats.org/officeDocument/2006/relationships/hyperlink" Target="https://leetcode.com/problems/finding-the-number-of-visible-mountains/" TargetMode="External" Id="rId241" /><Relationship Type="http://schemas.openxmlformats.org/officeDocument/2006/relationships/hyperlink" Target="https://leetcode.com/submissions/detail/921180925/" TargetMode="External" Id="rId242" /><Relationship Type="http://schemas.openxmlformats.org/officeDocument/2006/relationships/hyperlink" Target="code/08-Monotonic-Stack-Deque/2345-finding-the-number-of-visible-mountains.md" TargetMode="External" Id="rId243" /><Relationship Type="http://schemas.openxmlformats.org/officeDocument/2006/relationships/hyperlink" Target="https://leetcode.com/problems/number-of-pairs-satisfying-inequality/" TargetMode="External" Id="rId244" /><Relationship Type="http://schemas.openxmlformats.org/officeDocument/2006/relationships/hyperlink" Target="https://leetcode.com/submissions/detail/921202242/" TargetMode="External" Id="rId245" /><Relationship Type="http://schemas.openxmlformats.org/officeDocument/2006/relationships/hyperlink" Target="code/33-Segment-Tree-BIT-Ordered-Set/2426-number-of-pairs-satisfying-inequality.md" TargetMode="External" Id="rId246" /><Relationship Type="http://schemas.openxmlformats.org/officeDocument/2006/relationships/hyperlink" Target="https://leetcode.com/problems/my-calendar-i/" TargetMode="External" Id="rId247" /><Relationship Type="http://schemas.openxmlformats.org/officeDocument/2006/relationships/hyperlink" Target="https://leetcode.com/submissions/detail/1608484538/" TargetMode="External" Id="rId248" /><Relationship Type="http://schemas.openxmlformats.org/officeDocument/2006/relationships/hyperlink" Target="code/14-Intervals-Sweep-Line/0729-my-calendar-i.md" TargetMode="External" Id="rId249" /><Relationship Type="http://schemas.openxmlformats.org/officeDocument/2006/relationships/hyperlink" Target="https://leetcode.com/problems/path-with-maximum-minimum-value/" TargetMode="External" Id="rId250" /><Relationship Type="http://schemas.openxmlformats.org/officeDocument/2006/relationships/hyperlink" Target="https://leetcode.com/submissions/detail/921265807/" TargetMode="External" Id="rId251" /><Relationship Type="http://schemas.openxmlformats.org/officeDocument/2006/relationships/hyperlink" Target="code/21-Graph-Shortest-Path/1102-path-with-maximum-minimum-value.md" TargetMode="External" Id="rId252" /><Relationship Type="http://schemas.openxmlformats.org/officeDocument/2006/relationships/hyperlink" Target="https://leetcode.com/problems/detonate-the-maximum-bombs/" TargetMode="External" Id="rId253" /><Relationship Type="http://schemas.openxmlformats.org/officeDocument/2006/relationships/hyperlink" Target="https://leetcode.com/submissions/detail/921287381/" TargetMode="External" Id="rId254" /><Relationship Type="http://schemas.openxmlformats.org/officeDocument/2006/relationships/hyperlink" Target="code/18-Graph-General-BFS-DFS/2101-detonate-the-maximum-bombs.md" TargetMode="External" Id="rId255" /><Relationship Type="http://schemas.openxmlformats.org/officeDocument/2006/relationships/hyperlink" Target="https://leetcode.com/problems/random-pick-with-weight/" TargetMode="External" Id="rId256" /><Relationship Type="http://schemas.openxmlformats.org/officeDocument/2006/relationships/hyperlink" Target="https://leetcode.com/submissions/detail/1663551792/" TargetMode="External" Id="rId257" /><Relationship Type="http://schemas.openxmlformats.org/officeDocument/2006/relationships/hyperlink" Target="code/04-Prefix-Sum-Difference-Array/0528-random-pick-with-weight.md" TargetMode="External" Id="rId258" /><Relationship Type="http://schemas.openxmlformats.org/officeDocument/2006/relationships/hyperlink" Target="https://leetcode.com/problems/the-earliest-moment-when-everyone-become-friends/" TargetMode="External" Id="rId259" /><Relationship Type="http://schemas.openxmlformats.org/officeDocument/2006/relationships/hyperlink" Target="https://leetcode.com/submissions/detail/921317555/" TargetMode="External" Id="rId260" /><Relationship Type="http://schemas.openxmlformats.org/officeDocument/2006/relationships/hyperlink" Target="code/20-Graph-Union-Find/1101-the-earliest-moment-when-everyone-become-friends.md" TargetMode="External" Id="rId261" /><Relationship Type="http://schemas.openxmlformats.org/officeDocument/2006/relationships/hyperlink" Target="https://leetcode.com/problems/parallel-courses/" TargetMode="External" Id="rId262" /><Relationship Type="http://schemas.openxmlformats.org/officeDocument/2006/relationships/hyperlink" Target="https://leetcode.com/submissions/detail/921343418/" TargetMode="External" Id="rId263" /><Relationship Type="http://schemas.openxmlformats.org/officeDocument/2006/relationships/hyperlink" Target="code/19-Graph-Topological-Sort/1136-parallel-courses.md" TargetMode="External" Id="rId264" /><Relationship Type="http://schemas.openxmlformats.org/officeDocument/2006/relationships/hyperlink" Target="https://leetcode.com/problems/parallel-courses-ii/" TargetMode="External" Id="rId265" /><Relationship Type="http://schemas.openxmlformats.org/officeDocument/2006/relationships/hyperlink" Target="code/30-DP-Bitmask/1494-parallel-courses-ii.md" TargetMode="External" Id="rId266" /><Relationship Type="http://schemas.openxmlformats.org/officeDocument/2006/relationships/hyperlink" Target="https://leetcode.com/problems/filling-bookcase-shelves/" TargetMode="External" Id="rId267" /><Relationship Type="http://schemas.openxmlformats.org/officeDocument/2006/relationships/hyperlink" Target="https://leetcode.com/submissions/detail/921478900/" TargetMode="External" Id="rId268" /><Relationship Type="http://schemas.openxmlformats.org/officeDocument/2006/relationships/hyperlink" Target="code/27-DP-Partition-Interval-MCM/1105-filling-bookcase-shelves.md" TargetMode="External" Id="rId269" /><Relationship Type="http://schemas.openxmlformats.org/officeDocument/2006/relationships/hyperlink" Target="https://leetcode.com/problems/find-leaves-of-binary-tree/" TargetMode="External" Id="rId270" /><Relationship Type="http://schemas.openxmlformats.org/officeDocument/2006/relationships/hyperlink" Target="https://leetcode.com/submissions/detail/921490889/" TargetMode="External" Id="rId271" /><Relationship Type="http://schemas.openxmlformats.org/officeDocument/2006/relationships/hyperlink" Target="code/10-Binary-Tree-DFS-Recursion/0366-find-leaves-of-binary-tree.md" TargetMode="External" Id="rId272" /><Relationship Type="http://schemas.openxmlformats.org/officeDocument/2006/relationships/hyperlink" Target="https://leetcode.com/problems/smallest-string-with-swaps/" TargetMode="External" Id="rId273" /><Relationship Type="http://schemas.openxmlformats.org/officeDocument/2006/relationships/hyperlink" Target="https://leetcode.com/submissions/detail/921506988/" TargetMode="External" Id="rId274" /><Relationship Type="http://schemas.openxmlformats.org/officeDocument/2006/relationships/hyperlink" Target="code/20-Graph-Union-Find/1202-smallest-string-with-swaps.md" TargetMode="External" Id="rId275" /><Relationship Type="http://schemas.openxmlformats.org/officeDocument/2006/relationships/hyperlink" Target="https://leetcode.com/problems/stock-price-fluctuation/" TargetMode="External" Id="rId276" /><Relationship Type="http://schemas.openxmlformats.org/officeDocument/2006/relationships/hyperlink" Target="https://leetcode.com/submissions/detail/921515192/" TargetMode="External" Id="rId277" /><Relationship Type="http://schemas.openxmlformats.org/officeDocument/2006/relationships/hyperlink" Target="code/32-Design/2034-stock-price-fluctuation.md" TargetMode="External" Id="rId278" /><Relationship Type="http://schemas.openxmlformats.org/officeDocument/2006/relationships/hyperlink" Target="https://leetcode.com/problems/generate-parentheses/" TargetMode="External" Id="rId279" /><Relationship Type="http://schemas.openxmlformats.org/officeDocument/2006/relationships/hyperlink" Target="https://leetcode.com/submissions/detail/953809671/" TargetMode="External" Id="rId280" /><Relationship Type="http://schemas.openxmlformats.org/officeDocument/2006/relationships/hyperlink" Target="code/16-Backtracking/0022-generate-parentheses.md" TargetMode="External" Id="rId281" /><Relationship Type="http://schemas.openxmlformats.org/officeDocument/2006/relationships/hyperlink" Target="https://leetcode.com/problems/longest-substring-without-repeating-characters/" TargetMode="External" Id="rId282" /><Relationship Type="http://schemas.openxmlformats.org/officeDocument/2006/relationships/hyperlink" Target="https://leetcode.com/submissions/detail/1101104428/" TargetMode="External" Id="rId283" /><Relationship Type="http://schemas.openxmlformats.org/officeDocument/2006/relationships/hyperlink" Target="code/03-Sliding-Window/0003-longest-substring-without-repeating-characters.md" TargetMode="External" Id="rId284" /><Relationship Type="http://schemas.openxmlformats.org/officeDocument/2006/relationships/hyperlink" Target="https://leetcode.com/problems/search-in-rotated-sorted-array/" TargetMode="External" Id="rId285" /><Relationship Type="http://schemas.openxmlformats.org/officeDocument/2006/relationships/hyperlink" Target="https://leetcode.com/submissions/detail/1138961252/" TargetMode="External" Id="rId286" /><Relationship Type="http://schemas.openxmlformats.org/officeDocument/2006/relationships/hyperlink" Target="code/05-Binary-Search/0033-search-in-rotated-sorted-array.md" TargetMode="External" Id="rId287" /><Relationship Type="http://schemas.openxmlformats.org/officeDocument/2006/relationships/hyperlink" Target="https://leetcode.com/problems/course-schedule-ii/" TargetMode="External" Id="rId288" /><Relationship Type="http://schemas.openxmlformats.org/officeDocument/2006/relationships/hyperlink" Target="https://leetcode.com/submissions/detail/921728668/" TargetMode="External" Id="rId289" /><Relationship Type="http://schemas.openxmlformats.org/officeDocument/2006/relationships/hyperlink" Target="code/19-Graph-Topological-Sort/0210-course-schedule-ii.md" TargetMode="External" Id="rId290" /><Relationship Type="http://schemas.openxmlformats.org/officeDocument/2006/relationships/hyperlink" Target="https://leetcode.com/problems/odd-even-linked-list/" TargetMode="External" Id="rId291" /><Relationship Type="http://schemas.openxmlformats.org/officeDocument/2006/relationships/hyperlink" Target="https://leetcode.com/submissions/detail/921750222/" TargetMode="External" Id="rId292" /><Relationship Type="http://schemas.openxmlformats.org/officeDocument/2006/relationships/hyperlink" Target="code/09-Linked-List/0328-odd-even-linked-list.md" TargetMode="External" Id="rId293" /><Relationship Type="http://schemas.openxmlformats.org/officeDocument/2006/relationships/hyperlink" Target="https://leetcode.com/problems/split-linked-list-in-parts/" TargetMode="External" Id="rId294" /><Relationship Type="http://schemas.openxmlformats.org/officeDocument/2006/relationships/hyperlink" Target="https://leetcode.com/submissions/detail/921762544/" TargetMode="External" Id="rId295" /><Relationship Type="http://schemas.openxmlformats.org/officeDocument/2006/relationships/hyperlink" Target="code/09-Linked-List/0725-split-linked-list-in-parts.md" TargetMode="External" Id="rId296" /><Relationship Type="http://schemas.openxmlformats.org/officeDocument/2006/relationships/hyperlink" Target="https://leetcode.com/problems/rotate-list/" TargetMode="External" Id="rId297" /><Relationship Type="http://schemas.openxmlformats.org/officeDocument/2006/relationships/hyperlink" Target="https://leetcode.com/submissions/detail/921770509/" TargetMode="External" Id="rId298" /><Relationship Type="http://schemas.openxmlformats.org/officeDocument/2006/relationships/hyperlink" Target="code/09-Linked-List/0061-rotate-list.md" TargetMode="External" Id="rId299" /><Relationship Type="http://schemas.openxmlformats.org/officeDocument/2006/relationships/hyperlink" Target="https://leetcode.com/problems/sort-list/" TargetMode="External" Id="rId300" /><Relationship Type="http://schemas.openxmlformats.org/officeDocument/2006/relationships/hyperlink" Target="https://leetcode.com/submissions/detail/921778877/" TargetMode="External" Id="rId301" /><Relationship Type="http://schemas.openxmlformats.org/officeDocument/2006/relationships/hyperlink" Target="code/09-Linked-List/0148-sort-list.md" TargetMode="External" Id="rId302" /><Relationship Type="http://schemas.openxmlformats.org/officeDocument/2006/relationships/hyperlink" Target="https://leetcode.com/problems/symmetric-tree/" TargetMode="External" Id="rId303" /><Relationship Type="http://schemas.openxmlformats.org/officeDocument/2006/relationships/hyperlink" Target="https://leetcode.com/submissions/detail/921783664/" TargetMode="External" Id="rId304" /><Relationship Type="http://schemas.openxmlformats.org/officeDocument/2006/relationships/hyperlink" Target="code/10-Binary-Tree-DFS-Recursion/0101-symmetric-tree.md" TargetMode="External" Id="rId305" /><Relationship Type="http://schemas.openxmlformats.org/officeDocument/2006/relationships/hyperlink" Target="https://leetcode.com/problems/maximum-depth-of-binary-tree/" TargetMode="External" Id="rId306" /><Relationship Type="http://schemas.openxmlformats.org/officeDocument/2006/relationships/hyperlink" Target="https://leetcode.com/submissions/detail/921784525/" TargetMode="External" Id="rId307" /><Relationship Type="http://schemas.openxmlformats.org/officeDocument/2006/relationships/hyperlink" Target="code/10-Binary-Tree-DFS-Recursion/0104-maximum-depth-of-binary-tree.md" TargetMode="External" Id="rId308" /><Relationship Type="http://schemas.openxmlformats.org/officeDocument/2006/relationships/hyperlink" Target="https://leetcode.com/problems/populating-next-right-pointers-in-each-node/" TargetMode="External" Id="rId309" /><Relationship Type="http://schemas.openxmlformats.org/officeDocument/2006/relationships/hyperlink" Target="https://leetcode.com/submissions/detail/921787275/" TargetMode="External" Id="rId310" /><Relationship Type="http://schemas.openxmlformats.org/officeDocument/2006/relationships/hyperlink" Target="code/11-Binary-Tree-BFS-Level-Order/0116-populating-next-right-pointers-in-each-node.md" TargetMode="External" Id="rId311" /><Relationship Type="http://schemas.openxmlformats.org/officeDocument/2006/relationships/hyperlink" Target="https://leetcode.com/problems/surrounded-regions/" TargetMode="External" Id="rId312" /><Relationship Type="http://schemas.openxmlformats.org/officeDocument/2006/relationships/hyperlink" Target="https://leetcode.com/submissions/detail/941385744/" TargetMode="External" Id="rId313" /><Relationship Type="http://schemas.openxmlformats.org/officeDocument/2006/relationships/hyperlink" Target="code/17-Graph-Grid-BFS-DFS/0130-surrounded-regions.md" TargetMode="External" Id="rId314" /><Relationship Type="http://schemas.openxmlformats.org/officeDocument/2006/relationships/hyperlink" Target="https://leetcode.com/problems/longest-increasing-path-in-a-matrix/" TargetMode="External" Id="rId315" /><Relationship Type="http://schemas.openxmlformats.org/officeDocument/2006/relationships/hyperlink" Target="https://leetcode.com/submissions/detail/1147068669/" TargetMode="External" Id="rId316" /><Relationship Type="http://schemas.openxmlformats.org/officeDocument/2006/relationships/hyperlink" Target="code/23-DP-Grid-2D/0329-longest-increasing-path-in-a-matrix.md" TargetMode="External" Id="rId317" /><Relationship Type="http://schemas.openxmlformats.org/officeDocument/2006/relationships/hyperlink" Target="https://leetcode.com/problems/alien-dictionary/" TargetMode="External" Id="rId318" /><Relationship Type="http://schemas.openxmlformats.org/officeDocument/2006/relationships/hyperlink" Target="https://leetcode.com/submissions/detail/1100937709/" TargetMode="External" Id="rId319" /><Relationship Type="http://schemas.openxmlformats.org/officeDocument/2006/relationships/hyperlink" Target="code/19-Graph-Topological-Sort/0269-alien-dictionary.md" TargetMode="External" Id="rId320" /><Relationship Type="http://schemas.openxmlformats.org/officeDocument/2006/relationships/hyperlink" Target="https://leetcode.com/problems/count-unreachable-pairs-of-nodes-in-an-undirected-graph/" TargetMode="External" Id="rId321" /><Relationship Type="http://schemas.openxmlformats.org/officeDocument/2006/relationships/hyperlink" Target="https://leetcode.com/submissions/detail/921905561/" TargetMode="External" Id="rId322" /><Relationship Type="http://schemas.openxmlformats.org/officeDocument/2006/relationships/hyperlink" Target="code/20-Graph-Union-Find/2316-count-unreachable-pairs-of-nodes-in-an-undirected-graph.md" TargetMode="External" Id="rId323" /><Relationship Type="http://schemas.openxmlformats.org/officeDocument/2006/relationships/hyperlink" Target="https://leetcode.com/problems/find-distance-in-a-binary-tree/" TargetMode="External" Id="rId324" /><Relationship Type="http://schemas.openxmlformats.org/officeDocument/2006/relationships/hyperlink" Target="https://leetcode.com/submissions/detail/921922599/" TargetMode="External" Id="rId325" /><Relationship Type="http://schemas.openxmlformats.org/officeDocument/2006/relationships/hyperlink" Target="code/10-Binary-Tree-DFS-Recursion/1740-find-distance-in-a-binary-tree.md" TargetMode="External" Id="rId326" /><Relationship Type="http://schemas.openxmlformats.org/officeDocument/2006/relationships/hyperlink" Target="https://leetcode.com/problems/vertical-order-traversal-of-a-binary-tree/" TargetMode="External" Id="rId327" /><Relationship Type="http://schemas.openxmlformats.org/officeDocument/2006/relationships/hyperlink" Target="https://leetcode.com/submissions/detail/1131817657/" TargetMode="External" Id="rId328" /><Relationship Type="http://schemas.openxmlformats.org/officeDocument/2006/relationships/hyperlink" Target="code/11-Binary-Tree-BFS-Level-Order/0987-vertical-order-traversal-of-a-binary-tree.md" TargetMode="External" Id="rId329" /><Relationship Type="http://schemas.openxmlformats.org/officeDocument/2006/relationships/hyperlink" Target="https://leetcode.com/problems/construct-quad-tree/" TargetMode="External" Id="rId330" /><Relationship Type="http://schemas.openxmlformats.org/officeDocument/2006/relationships/hyperlink" Target="https://leetcode.com/submissions/detail/921968887/" TargetMode="External" Id="rId331" /><Relationship Type="http://schemas.openxmlformats.org/officeDocument/2006/relationships/hyperlink" Target="code/10-Binary-Tree-DFS-Recursion/0427-construct-quad-tree.md" TargetMode="External" Id="rId332" /><Relationship Type="http://schemas.openxmlformats.org/officeDocument/2006/relationships/hyperlink" Target="https://leetcode.com/problems/optimal-account-balancing/" TargetMode="External" Id="rId333" /><Relationship Type="http://schemas.openxmlformats.org/officeDocument/2006/relationships/hyperlink" Target="https://leetcode.com/submissions/detail/922031653/" TargetMode="External" Id="rId334" /><Relationship Type="http://schemas.openxmlformats.org/officeDocument/2006/relationships/hyperlink" Target="code/16-Backtracking/0465-optimal-account-balancing.md" TargetMode="External" Id="rId335" /><Relationship Type="http://schemas.openxmlformats.org/officeDocument/2006/relationships/hyperlink" Target="https://leetcode.com/problems/next-palindrome-using-same-digits/" TargetMode="External" Id="rId336" /><Relationship Type="http://schemas.openxmlformats.org/officeDocument/2006/relationships/hyperlink" Target="https://leetcode.com/submissions/detail/922051842/" TargetMode="External" Id="rId337" /><Relationship Type="http://schemas.openxmlformats.org/officeDocument/2006/relationships/hyperlink" Target="code/02-Two-Pointers/1842-next-palindrome-using-same-digits.md" TargetMode="External" Id="rId338" /><Relationship Type="http://schemas.openxmlformats.org/officeDocument/2006/relationships/hyperlink" Target="https://leetcode.com/problems/next-permutation/" TargetMode="External" Id="rId339" /><Relationship Type="http://schemas.openxmlformats.org/officeDocument/2006/relationships/hyperlink" Target="https://leetcode.com/submissions/detail/1213568405/" TargetMode="External" Id="rId340" /><Relationship Type="http://schemas.openxmlformats.org/officeDocument/2006/relationships/hyperlink" Target="code/02-Two-Pointers/0031-next-permutation.md" TargetMode="External" Id="rId341" /><Relationship Type="http://schemas.openxmlformats.org/officeDocument/2006/relationships/hyperlink" Target="https://leetcode.com/problems/longest-cycle-in-a-graph/" TargetMode="External" Id="rId342" /><Relationship Type="http://schemas.openxmlformats.org/officeDocument/2006/relationships/hyperlink" Target="https://leetcode.com/submissions/detail/922457026/" TargetMode="External" Id="rId343" /><Relationship Type="http://schemas.openxmlformats.org/officeDocument/2006/relationships/hyperlink" Target="code/18-Graph-General-BFS-DFS/2360-longest-cycle-in-a-graph.md" TargetMode="External" Id="rId344" /><Relationship Type="http://schemas.openxmlformats.org/officeDocument/2006/relationships/hyperlink" Target="https://leetcode.com/problems/string-compression-ii/" TargetMode="External" Id="rId345" /><Relationship Type="http://schemas.openxmlformats.org/officeDocument/2006/relationships/hyperlink" Target="https://leetcode.com/submissions/detail/924946354/" TargetMode="External" Id="rId346" /><Relationship Type="http://schemas.openxmlformats.org/officeDocument/2006/relationships/hyperlink" Target="code/25-DP-Strings-LCS-Edit-Matching/1531-string-compression-ii.md" TargetMode="External" Id="rId347" /><Relationship Type="http://schemas.openxmlformats.org/officeDocument/2006/relationships/hyperlink" Target="https://leetcode.com/problems/restore-the-array-from-adjacent-pairs/" TargetMode="External" Id="rId348" /><Relationship Type="http://schemas.openxmlformats.org/officeDocument/2006/relationships/hyperlink" Target="https://leetcode.com/submissions/detail/922602314/" TargetMode="External" Id="rId349" /><Relationship Type="http://schemas.openxmlformats.org/officeDocument/2006/relationships/hyperlink" Target="code/18-Graph-General-BFS-DFS/1743-restore-the-array-from-adjacent-pairs.md" TargetMode="External" Id="rId350" /><Relationship Type="http://schemas.openxmlformats.org/officeDocument/2006/relationships/hyperlink" Target="https://leetcode.com/problems/design-hit-counter/" TargetMode="External" Id="rId351" /><Relationship Type="http://schemas.openxmlformats.org/officeDocument/2006/relationships/hyperlink" Target="https://leetcode.com/submissions/detail/940010613/" TargetMode="External" Id="rId352" /><Relationship Type="http://schemas.openxmlformats.org/officeDocument/2006/relationships/hyperlink" Target="code/32-Design/0362-design-hit-counter.md" TargetMode="External" Id="rId353" /><Relationship Type="http://schemas.openxmlformats.org/officeDocument/2006/relationships/hyperlink" Target="https://leetcode.com/problems/break-a-palindrome/" TargetMode="External" Id="rId354" /><Relationship Type="http://schemas.openxmlformats.org/officeDocument/2006/relationships/hyperlink" Target="https://leetcode.com/submissions/detail/922617647/" TargetMode="External" Id="rId355" /><Relationship Type="http://schemas.openxmlformats.org/officeDocument/2006/relationships/hyperlink" Target="code/15-Greedy/1328-break-a-palindrome.md" TargetMode="External" Id="rId356" /><Relationship Type="http://schemas.openxmlformats.org/officeDocument/2006/relationships/hyperlink" Target="https://leetcode.com/problems/word-search/" TargetMode="External" Id="rId357" /><Relationship Type="http://schemas.openxmlformats.org/officeDocument/2006/relationships/hyperlink" Target="https://leetcode.com/submissions/detail/1154897690/" TargetMode="External" Id="rId358" /><Relationship Type="http://schemas.openxmlformats.org/officeDocument/2006/relationships/hyperlink" Target="code/16-Backtracking/0079-word-search.md" TargetMode="External" Id="rId359" /><Relationship Type="http://schemas.openxmlformats.org/officeDocument/2006/relationships/hyperlink" Target="https://leetcode.com/problems/word-search-ii/" TargetMode="External" Id="rId360" /><Relationship Type="http://schemas.openxmlformats.org/officeDocument/2006/relationships/hyperlink" Target="https://leetcode.com/submissions/detail/1172054968/" TargetMode="External" Id="rId361" /><Relationship Type="http://schemas.openxmlformats.org/officeDocument/2006/relationships/hyperlink" Target="code/31-Trie/0212-word-search-ii.md" TargetMode="External" Id="rId362" /><Relationship Type="http://schemas.openxmlformats.org/officeDocument/2006/relationships/hyperlink" Target="https://leetcode.com/problems/design-parking-system/" TargetMode="External" Id="rId363" /><Relationship Type="http://schemas.openxmlformats.org/officeDocument/2006/relationships/hyperlink" Target="https://leetcode.com/submissions/detail/924700966/" TargetMode="External" Id="rId364" /><Relationship Type="http://schemas.openxmlformats.org/officeDocument/2006/relationships/hyperlink" Target="code/32-Design/1603-design-parking-system.md" TargetMode="External" Id="rId365" /><Relationship Type="http://schemas.openxmlformats.org/officeDocument/2006/relationships/hyperlink" Target="https://leetcode.com/problems/exam-room/" TargetMode="External" Id="rId366" /><Relationship Type="http://schemas.openxmlformats.org/officeDocument/2006/relationships/hyperlink" Target="https://leetcode.com/submissions/detail/924960225/" TargetMode="External" Id="rId367" /><Relationship Type="http://schemas.openxmlformats.org/officeDocument/2006/relationships/hyperlink" Target="code/32-Design/0855-exam-room.md" TargetMode="External" Id="rId368" /><Relationship Type="http://schemas.openxmlformats.org/officeDocument/2006/relationships/hyperlink" Target="https://leetcode.com/problems/serialize-and-deserialize-n-ary-tree/" TargetMode="External" Id="rId369" /><Relationship Type="http://schemas.openxmlformats.org/officeDocument/2006/relationships/hyperlink" Target="https://leetcode.com/submissions/detail/1171450469/" TargetMode="External" Id="rId370" /><Relationship Type="http://schemas.openxmlformats.org/officeDocument/2006/relationships/hyperlink" Target="code/10-Binary-Tree-DFS-Recursion/0428-serialize-and-deserialize-n-ary-tree.md" TargetMode="External" Id="rId371" /><Relationship Type="http://schemas.openxmlformats.org/officeDocument/2006/relationships/hyperlink" Target="https://leetcode.com/problems/maximum-points-you-can-obtain-from-cards/" TargetMode="External" Id="rId372" /><Relationship Type="http://schemas.openxmlformats.org/officeDocument/2006/relationships/hyperlink" Target="https://leetcode.com/submissions/detail/925250833/" TargetMode="External" Id="rId373" /><Relationship Type="http://schemas.openxmlformats.org/officeDocument/2006/relationships/hyperlink" Target="code/03-Sliding-Window/1423-maximum-points-you-can-obtain-from-cards.md" TargetMode="External" Id="rId374" /><Relationship Type="http://schemas.openxmlformats.org/officeDocument/2006/relationships/hyperlink" Target="https://leetcode.com/problems/the-latest-time-to-catch-a-bus/" TargetMode="External" Id="rId375" /><Relationship Type="http://schemas.openxmlformats.org/officeDocument/2006/relationships/hyperlink" Target="https://leetcode.com/submissions/detail/925726128/" TargetMode="External" Id="rId376" /><Relationship Type="http://schemas.openxmlformats.org/officeDocument/2006/relationships/hyperlink" Target="code/02-Two-Pointers/2332-the-latest-time-to-catch-a-bus.md" TargetMode="External" Id="rId377" /><Relationship Type="http://schemas.openxmlformats.org/officeDocument/2006/relationships/hyperlink" Target="https://leetcode.com/problems/determine-if-two-strings-are-close/" TargetMode="External" Id="rId378" /><Relationship Type="http://schemas.openxmlformats.org/officeDocument/2006/relationships/hyperlink" Target="https://leetcode.com/submissions/detail/1044153250/" TargetMode="External" Id="rId379" /><Relationship Type="http://schemas.openxmlformats.org/officeDocument/2006/relationships/hyperlink" Target="code/01-Arrays-Hashing-Sorting/1657-determine-if-two-strings-are-close.md" TargetMode="External" Id="rId380" /><Relationship Type="http://schemas.openxmlformats.org/officeDocument/2006/relationships/hyperlink" Target="https://leetcode.com/problems/minimum-time-difference/" TargetMode="External" Id="rId381" /><Relationship Type="http://schemas.openxmlformats.org/officeDocument/2006/relationships/hyperlink" Target="https://leetcode.com/submissions/detail/925793890/" TargetMode="External" Id="rId382" /><Relationship Type="http://schemas.openxmlformats.org/officeDocument/2006/relationships/hyperlink" Target="code/01-Arrays-Hashing-Sorting/0539-minimum-time-difference.md" TargetMode="External" Id="rId383" /><Relationship Type="http://schemas.openxmlformats.org/officeDocument/2006/relationships/hyperlink" Target="https://leetcode.com/problems/basic-calculator-iii/" TargetMode="External" Id="rId384" /><Relationship Type="http://schemas.openxmlformats.org/officeDocument/2006/relationships/hyperlink" Target="https://leetcode.com/submissions/detail/1170716534/" TargetMode="External" Id="rId385" /><Relationship Type="http://schemas.openxmlformats.org/officeDocument/2006/relationships/hyperlink" Target="code/07-Stack/0772-basic-calculator-iii.md" TargetMode="External" Id="rId386" /><Relationship Type="http://schemas.openxmlformats.org/officeDocument/2006/relationships/hyperlink" Target="https://leetcode.com/problems/basic-calculator-ii/" TargetMode="External" Id="rId387" /><Relationship Type="http://schemas.openxmlformats.org/officeDocument/2006/relationships/hyperlink" Target="https://leetcode.com/submissions/detail/1171501578/" TargetMode="External" Id="rId388" /><Relationship Type="http://schemas.openxmlformats.org/officeDocument/2006/relationships/hyperlink" Target="code/07-Stack/0227-basic-calculator-ii.md" TargetMode="External" Id="rId389" /><Relationship Type="http://schemas.openxmlformats.org/officeDocument/2006/relationships/hyperlink" Target="https://leetcode.com/problems/count-submatrices-with-all-ones/" TargetMode="External" Id="rId390" /><Relationship Type="http://schemas.openxmlformats.org/officeDocument/2006/relationships/hyperlink" Target="https://leetcode.com/submissions/detail/926100354/" TargetMode="External" Id="rId391" /><Relationship Type="http://schemas.openxmlformats.org/officeDocument/2006/relationships/hyperlink" Target="code/08-Monotonic-Stack-Deque/1504-count-submatrices-with-all-ones.md" TargetMode="External" Id="rId392" /><Relationship Type="http://schemas.openxmlformats.org/officeDocument/2006/relationships/hyperlink" Target="https://leetcode.com/problems/largest-rectangle-in-histogram/" TargetMode="External" Id="rId393" /><Relationship Type="http://schemas.openxmlformats.org/officeDocument/2006/relationships/hyperlink" Target="https://leetcode.com/submissions/detail/1131040251/" TargetMode="External" Id="rId394" /><Relationship Type="http://schemas.openxmlformats.org/officeDocument/2006/relationships/hyperlink" Target="code/08-Monotonic-Stack-Deque/0084-largest-rectangle-in-histogram.md" TargetMode="External" Id="rId395" /><Relationship Type="http://schemas.openxmlformats.org/officeDocument/2006/relationships/hyperlink" Target="https://leetcode.com/problems/maximal-rectangle/" TargetMode="External" Id="rId396" /><Relationship Type="http://schemas.openxmlformats.org/officeDocument/2006/relationships/hyperlink" Target="https://leetcode.com/submissions/detail/926074412/" TargetMode="External" Id="rId397" /><Relationship Type="http://schemas.openxmlformats.org/officeDocument/2006/relationships/hyperlink" Target="code/08-Monotonic-Stack-Deque/0085-maximal-rectangle.md" TargetMode="External" Id="rId398" /><Relationship Type="http://schemas.openxmlformats.org/officeDocument/2006/relationships/hyperlink" Target="https://leetcode.com/problems/count-square-submatrices-with-all-ones/" TargetMode="External" Id="rId399" /><Relationship Type="http://schemas.openxmlformats.org/officeDocument/2006/relationships/hyperlink" Target="https://leetcode.com/submissions/detail/926088154/" TargetMode="External" Id="rId400" /><Relationship Type="http://schemas.openxmlformats.org/officeDocument/2006/relationships/hyperlink" Target="code/23-DP-Grid-2D/1277-count-square-submatrices-with-all-ones.md" TargetMode="External" Id="rId401" /><Relationship Type="http://schemas.openxmlformats.org/officeDocument/2006/relationships/hyperlink" Target="https://leetcode.com/problems/number-of-dice-rolls-with-target-sum/" TargetMode="External" Id="rId402" /><Relationship Type="http://schemas.openxmlformats.org/officeDocument/2006/relationships/hyperlink" Target="https://leetcode.com/submissions/detail/926143507/" TargetMode="External" Id="rId403" /><Relationship Type="http://schemas.openxmlformats.org/officeDocument/2006/relationships/hyperlink" Target="code/24-DP-Knapsack-Subset/1155-number-of-dice-rolls-with-target-sum.md" TargetMode="External" Id="rId404" /><Relationship Type="http://schemas.openxmlformats.org/officeDocument/2006/relationships/hyperlink" Target="https://leetcode.com/problems/longest-string-chain/" TargetMode="External" Id="rId405" /><Relationship Type="http://schemas.openxmlformats.org/officeDocument/2006/relationships/hyperlink" Target="https://leetcode.com/submissions/detail/926805414/" TargetMode="External" Id="rId406" /><Relationship Type="http://schemas.openxmlformats.org/officeDocument/2006/relationships/hyperlink" Target="code/26-DP-LIS-Family/1048-longest-string-chain.md" TargetMode="External" Id="rId407" /><Relationship Type="http://schemas.openxmlformats.org/officeDocument/2006/relationships/hyperlink" Target="https://leetcode.com/problems/battleships-in-a-board/" TargetMode="External" Id="rId408" /><Relationship Type="http://schemas.openxmlformats.org/officeDocument/2006/relationships/hyperlink" Target="https://leetcode.com/submissions/detail/926155176/" TargetMode="External" Id="rId409" /><Relationship Type="http://schemas.openxmlformats.org/officeDocument/2006/relationships/hyperlink" Target="code/17-Graph-Grid-BFS-DFS/0419-battleships-in-a-board.md" TargetMode="External" Id="rId410" /><Relationship Type="http://schemas.openxmlformats.org/officeDocument/2006/relationships/hyperlink" Target="https://leetcode.com/problems/most-stones-removed-with-same-row-or-column/" TargetMode="External" Id="rId411" /><Relationship Type="http://schemas.openxmlformats.org/officeDocument/2006/relationships/hyperlink" Target="https://leetcode.com/submissions/detail/942413101/" TargetMode="External" Id="rId412" /><Relationship Type="http://schemas.openxmlformats.org/officeDocument/2006/relationships/hyperlink" Target="code/20-Graph-Union-Find/0947-most-stones-removed-with-same-row-or-column.md" TargetMode="External" Id="rId413" /><Relationship Type="http://schemas.openxmlformats.org/officeDocument/2006/relationships/hyperlink" Target="https://leetcode.com/problems/largest-divisible-subset/" TargetMode="External" Id="rId414" /><Relationship Type="http://schemas.openxmlformats.org/officeDocument/2006/relationships/hyperlink" Target="https://leetcode.com/submissions/detail/944094141/" TargetMode="External" Id="rId415" /><Relationship Type="http://schemas.openxmlformats.org/officeDocument/2006/relationships/hyperlink" Target="code/26-DP-LIS-Family/0368-largest-divisible-subset.md" TargetMode="External" Id="rId416" /><Relationship Type="http://schemas.openxmlformats.org/officeDocument/2006/relationships/hyperlink" Target="https://leetcode.com/problems/number-of-longest-increasing-subsequence/" TargetMode="External" Id="rId417" /><Relationship Type="http://schemas.openxmlformats.org/officeDocument/2006/relationships/hyperlink" Target="https://leetcode.com/submissions/detail/926821178/" TargetMode="External" Id="rId418" /><Relationship Type="http://schemas.openxmlformats.org/officeDocument/2006/relationships/hyperlink" Target="code/26-DP-LIS-Family/0673-number-of-longest-increasing-subsequence.md" TargetMode="External" Id="rId419" /><Relationship Type="http://schemas.openxmlformats.org/officeDocument/2006/relationships/hyperlink" Target="https://leetcode.com/problems/minimum-cost-to-cut-a-stick/" TargetMode="External" Id="rId420" /><Relationship Type="http://schemas.openxmlformats.org/officeDocument/2006/relationships/hyperlink" Target="https://leetcode.com/submissions/detail/944132427/" TargetMode="External" Id="rId421" /><Relationship Type="http://schemas.openxmlformats.org/officeDocument/2006/relationships/hyperlink" Target="code/27-DP-Partition-Interval-MCM/1547-minimum-cost-to-cut-a-stick.md" TargetMode="External" Id="rId422" /><Relationship Type="http://schemas.openxmlformats.org/officeDocument/2006/relationships/hyperlink" Target="https://leetcode.com/problems/burst-balloons/" TargetMode="External" Id="rId423" /><Relationship Type="http://schemas.openxmlformats.org/officeDocument/2006/relationships/hyperlink" Target="https://leetcode.com/submissions/detail/944134740/" TargetMode="External" Id="rId424" /><Relationship Type="http://schemas.openxmlformats.org/officeDocument/2006/relationships/hyperlink" Target="code/27-DP-Partition-Interval-MCM/0312-burst-balloons.md" TargetMode="External" Id="rId425" /><Relationship Type="http://schemas.openxmlformats.org/officeDocument/2006/relationships/hyperlink" Target="https://leetcode.com/problems/find-k-closest-elements/" TargetMode="External" Id="rId426" /><Relationship Type="http://schemas.openxmlformats.org/officeDocument/2006/relationships/hyperlink" Target="https://leetcode.com/submissions/detail/1170777298/" TargetMode="External" Id="rId427" /><Relationship Type="http://schemas.openxmlformats.org/officeDocument/2006/relationships/hyperlink" Target="code/05-Binary-Search/0658-find-k-closest-elements.md" TargetMode="External" Id="rId428" /><Relationship Type="http://schemas.openxmlformats.org/officeDocument/2006/relationships/hyperlink" Target="https://leetcode.com/problems/moving-average-from-data-stream/" TargetMode="External" Id="rId429" /><Relationship Type="http://schemas.openxmlformats.org/officeDocument/2006/relationships/hyperlink" Target="https://leetcode.com/submissions/detail/1132518060/" TargetMode="External" Id="rId430" /><Relationship Type="http://schemas.openxmlformats.org/officeDocument/2006/relationships/hyperlink" Target="code/32-Design/0346-moving-average-from-data-stream.md" TargetMode="External" Id="rId431" /><Relationship Type="http://schemas.openxmlformats.org/officeDocument/2006/relationships/hyperlink" Target="https://leetcode.com/problems/design-snake-game/" TargetMode="External" Id="rId432" /><Relationship Type="http://schemas.openxmlformats.org/officeDocument/2006/relationships/hyperlink" Target="https://leetcode.com/submissions/detail/940007168/" TargetMode="External" Id="rId433" /><Relationship Type="http://schemas.openxmlformats.org/officeDocument/2006/relationships/hyperlink" Target="code/32-Design/0353-design-snake-game.md" TargetMode="External" Id="rId434" /><Relationship Type="http://schemas.openxmlformats.org/officeDocument/2006/relationships/hyperlink" Target="https://leetcode.com/problems/insert-delete-getrandom-o1-duplicates-allowed/" TargetMode="External" Id="rId435" /><Relationship Type="http://schemas.openxmlformats.org/officeDocument/2006/relationships/hyperlink" Target="code/32-Design/0381-insert-delete-getrandom-o1-duplicates-allowed.md" TargetMode="External" Id="rId436" /><Relationship Type="http://schemas.openxmlformats.org/officeDocument/2006/relationships/hyperlink" Target="https://leetcode.com/problems/combination-sum/" TargetMode="External" Id="rId437" /><Relationship Type="http://schemas.openxmlformats.org/officeDocument/2006/relationships/hyperlink" Target="https://leetcode.com/submissions/detail/1431182072/" TargetMode="External" Id="rId438" /><Relationship Type="http://schemas.openxmlformats.org/officeDocument/2006/relationships/hyperlink" Target="code/16-Backtracking/0039-combination-sum.md" TargetMode="External" Id="rId439" /><Relationship Type="http://schemas.openxmlformats.org/officeDocument/2006/relationships/hyperlink" Target="https://leetcode.com/problems/combination-sum-ii/" TargetMode="External" Id="rId440" /><Relationship Type="http://schemas.openxmlformats.org/officeDocument/2006/relationships/hyperlink" Target="https://leetcode.com/submissions/detail/1431190430/" TargetMode="External" Id="rId441" /><Relationship Type="http://schemas.openxmlformats.org/officeDocument/2006/relationships/hyperlink" Target="code/16-Backtracking/0040-combination-sum-ii.md" TargetMode="External" Id="rId442" /><Relationship Type="http://schemas.openxmlformats.org/officeDocument/2006/relationships/hyperlink" Target="https://leetcode.com/problems/n-queens/" TargetMode="External" Id="rId443" /><Relationship Type="http://schemas.openxmlformats.org/officeDocument/2006/relationships/hyperlink" Target="https://leetcode.com/submissions/detail/940980279/" TargetMode="External" Id="rId444" /><Relationship Type="http://schemas.openxmlformats.org/officeDocument/2006/relationships/hyperlink" Target="code/16-Backtracking/0051-n-queens.md" TargetMode="External" Id="rId445" /><Relationship Type="http://schemas.openxmlformats.org/officeDocument/2006/relationships/hyperlink" Target="https://leetcode.com/problems/sudoku-solver/" TargetMode="External" Id="rId446" /><Relationship Type="http://schemas.openxmlformats.org/officeDocument/2006/relationships/hyperlink" Target="https://leetcode.com/submissions/detail/940993417/" TargetMode="External" Id="rId447" /><Relationship Type="http://schemas.openxmlformats.org/officeDocument/2006/relationships/hyperlink" Target="code/16-Backtracking/0037-sudoku-solver.md" TargetMode="External" Id="rId448" /><Relationship Type="http://schemas.openxmlformats.org/officeDocument/2006/relationships/hyperlink" Target="https://leetcode.com/problems/palindrome-partitioning/" TargetMode="External" Id="rId449" /><Relationship Type="http://schemas.openxmlformats.org/officeDocument/2006/relationships/hyperlink" Target="https://leetcode.com/submissions/detail/941029531/" TargetMode="External" Id="rId450" /><Relationship Type="http://schemas.openxmlformats.org/officeDocument/2006/relationships/hyperlink" Target="code/16-Backtracking/0131-palindrome-partitioning.md" TargetMode="External" Id="rId451" /><Relationship Type="http://schemas.openxmlformats.org/officeDocument/2006/relationships/hyperlink" Target="https://leetcode.com/problems/permutation-sequence/" TargetMode="External" Id="rId452" /><Relationship Type="http://schemas.openxmlformats.org/officeDocument/2006/relationships/hyperlink" Target="https://leetcode.com/submissions/detail/941045258/" TargetMode="External" Id="rId453" /><Relationship Type="http://schemas.openxmlformats.org/officeDocument/2006/relationships/hyperlink" Target="code/34-Math-Bit-Manipulation/0060-permutation-sequence.md" TargetMode="External" Id="rId454" /><Relationship Type="http://schemas.openxmlformats.org/officeDocument/2006/relationships/hyperlink" Target="https://leetcode.com/problems/koko-eating-bananas/" TargetMode="External" Id="rId455" /><Relationship Type="http://schemas.openxmlformats.org/officeDocument/2006/relationships/hyperlink" Target="https://leetcode.com/submissions/detail/1582420275/" TargetMode="External" Id="rId456" /><Relationship Type="http://schemas.openxmlformats.org/officeDocument/2006/relationships/hyperlink" Target="code/06-Binary-Search-on-Answer/0875-koko-eating-bananas.md" TargetMode="External" Id="rId457" /><Relationship Type="http://schemas.openxmlformats.org/officeDocument/2006/relationships/hyperlink" Target="https://leetcode.com/problems/rotting-oranges/" TargetMode="External" Id="rId458" /><Relationship Type="http://schemas.openxmlformats.org/officeDocument/2006/relationships/hyperlink" Target="https://leetcode.com/submissions/detail/1622478711/" TargetMode="External" Id="rId459" /><Relationship Type="http://schemas.openxmlformats.org/officeDocument/2006/relationships/hyperlink" Target="code/17-Graph-Grid-BFS-DFS/0994-rotting-oranges.md" TargetMode="External" Id="rId460" /><Relationship Type="http://schemas.openxmlformats.org/officeDocument/2006/relationships/hyperlink" Target="https://leetcode.com/problems/01-matrix/" TargetMode="External" Id="rId461" /><Relationship Type="http://schemas.openxmlformats.org/officeDocument/2006/relationships/hyperlink" Target="https://leetcode.com/submissions/detail/941376684/" TargetMode="External" Id="rId462" /><Relationship Type="http://schemas.openxmlformats.org/officeDocument/2006/relationships/hyperlink" Target="code/17-Graph-Grid-BFS-DFS/0542-01-matrix.md" TargetMode="External" Id="rId463" /><Relationship Type="http://schemas.openxmlformats.org/officeDocument/2006/relationships/hyperlink" Target="https://leetcode.com/problems/number-of-enclaves/" TargetMode="External" Id="rId464" /><Relationship Type="http://schemas.openxmlformats.org/officeDocument/2006/relationships/hyperlink" Target="https://leetcode.com/submissions/detail/941390538/" TargetMode="External" Id="rId465" /><Relationship Type="http://schemas.openxmlformats.org/officeDocument/2006/relationships/hyperlink" Target="code/17-Graph-Grid-BFS-DFS/1020-number-of-enclaves.md" TargetMode="External" Id="rId466" /><Relationship Type="http://schemas.openxmlformats.org/officeDocument/2006/relationships/hyperlink" Target="https://leetcode.com/problems/number-of-distinct-islands/" TargetMode="External" Id="rId467" /><Relationship Type="http://schemas.openxmlformats.org/officeDocument/2006/relationships/hyperlink" Target="https://leetcode.com/submissions/detail/1078223567/" TargetMode="External" Id="rId468" /><Relationship Type="http://schemas.openxmlformats.org/officeDocument/2006/relationships/hyperlink" Target="code/17-Graph-Grid-BFS-DFS/0694-number-of-distinct-islands.md" TargetMode="External" Id="rId469" /><Relationship Type="http://schemas.openxmlformats.org/officeDocument/2006/relationships/hyperlink" Target="https://leetcode.com/problems/is-graph-bipartite/" TargetMode="External" Id="rId470" /><Relationship Type="http://schemas.openxmlformats.org/officeDocument/2006/relationships/hyperlink" Target="https://leetcode.com/submissions/detail/941431927/" TargetMode="External" Id="rId471" /><Relationship Type="http://schemas.openxmlformats.org/officeDocument/2006/relationships/hyperlink" Target="code/18-Graph-General-BFS-DFS/0785-is-graph-bipartite.md" TargetMode="External" Id="rId472" /><Relationship Type="http://schemas.openxmlformats.org/officeDocument/2006/relationships/hyperlink" Target="https://leetcode.com/problems/find-eventual-safe-states/" TargetMode="External" Id="rId473" /><Relationship Type="http://schemas.openxmlformats.org/officeDocument/2006/relationships/hyperlink" Target="https://leetcode.com/submissions/detail/941444983/" TargetMode="External" Id="rId474" /><Relationship Type="http://schemas.openxmlformats.org/officeDocument/2006/relationships/hyperlink" Target="code/19-Graph-Topological-Sort/0802-find-eventual-safe-states.md" TargetMode="External" Id="rId475" /><Relationship Type="http://schemas.openxmlformats.org/officeDocument/2006/relationships/hyperlink" Target="https://leetcode.com/problems/shortest-path-in-binary-matrix/" TargetMode="External" Id="rId476" /><Relationship Type="http://schemas.openxmlformats.org/officeDocument/2006/relationships/hyperlink" Target="https://leetcode.com/submissions/detail/1167323415/" TargetMode="External" Id="rId477" /><Relationship Type="http://schemas.openxmlformats.org/officeDocument/2006/relationships/hyperlink" Target="code/21-Graph-Shortest-Path/1091-shortest-path-in-binary-matrix.md" TargetMode="External" Id="rId478" /><Relationship Type="http://schemas.openxmlformats.org/officeDocument/2006/relationships/hyperlink" Target="https://leetcode.com/problems/path-with-minimum-effort/" TargetMode="External" Id="rId479" /><Relationship Type="http://schemas.openxmlformats.org/officeDocument/2006/relationships/hyperlink" Target="https://leetcode.com/submissions/detail/1147122724/" TargetMode="External" Id="rId480" /><Relationship Type="http://schemas.openxmlformats.org/officeDocument/2006/relationships/hyperlink" Target="code/21-Graph-Shortest-Path/1631-path-with-minimum-effort.md" TargetMode="External" Id="rId481" /><Relationship Type="http://schemas.openxmlformats.org/officeDocument/2006/relationships/hyperlink" Target="https://leetcode.com/problems/cheapest-flights-within-k-stops/" TargetMode="External" Id="rId482" /><Relationship Type="http://schemas.openxmlformats.org/officeDocument/2006/relationships/hyperlink" Target="https://leetcode.com/submissions/detail/942009995/" TargetMode="External" Id="rId483" /><Relationship Type="http://schemas.openxmlformats.org/officeDocument/2006/relationships/hyperlink" Target="code/21-Graph-Shortest-Path/0787-cheapest-flights-within-k-stops.md" TargetMode="External" Id="rId484" /><Relationship Type="http://schemas.openxmlformats.org/officeDocument/2006/relationships/hyperlink" Target="https://leetcode.com/problems/number-of-ways-to-arrive-at-destination/" TargetMode="External" Id="rId485" /><Relationship Type="http://schemas.openxmlformats.org/officeDocument/2006/relationships/hyperlink" Target="https://leetcode.com/submissions/detail/942027719/" TargetMode="External" Id="rId486" /><Relationship Type="http://schemas.openxmlformats.org/officeDocument/2006/relationships/hyperlink" Target="code/21-Graph-Shortest-Path/1976-number-of-ways-to-arrive-at-destination.md" TargetMode="External" Id="rId487" /><Relationship Type="http://schemas.openxmlformats.org/officeDocument/2006/relationships/hyperlink" Target="https://leetcode.com/problems/redundant-connection/" TargetMode="External" Id="rId488" /><Relationship Type="http://schemas.openxmlformats.org/officeDocument/2006/relationships/hyperlink" Target="https://leetcode.com/submissions/detail/942082217/" TargetMode="External" Id="rId489" /><Relationship Type="http://schemas.openxmlformats.org/officeDocument/2006/relationships/hyperlink" Target="code/20-Graph-Union-Find/0684-redundant-connection.md" TargetMode="External" Id="rId490" /><Relationship Type="http://schemas.openxmlformats.org/officeDocument/2006/relationships/hyperlink" Target="https://leetcode.com/problems/accounts-merge/" TargetMode="External" Id="rId491" /><Relationship Type="http://schemas.openxmlformats.org/officeDocument/2006/relationships/hyperlink" Target="https://leetcode.com/submissions/detail/1107727897/" TargetMode="External" Id="rId492" /><Relationship Type="http://schemas.openxmlformats.org/officeDocument/2006/relationships/hyperlink" Target="code/20-Graph-Union-Find/0721-accounts-merge.md" TargetMode="External" Id="rId493" /><Relationship Type="http://schemas.openxmlformats.org/officeDocument/2006/relationships/hyperlink" Target="https://leetcode.com/problems/number-of-islands-ii/" TargetMode="External" Id="rId494" /><Relationship Type="http://schemas.openxmlformats.org/officeDocument/2006/relationships/hyperlink" Target="https://leetcode.com/submissions/detail/942119013/" TargetMode="External" Id="rId495" /><Relationship Type="http://schemas.openxmlformats.org/officeDocument/2006/relationships/hyperlink" Target="code/20-Graph-Union-Find/0305-number-of-islands-ii.md" TargetMode="External" Id="rId496" /><Relationship Type="http://schemas.openxmlformats.org/officeDocument/2006/relationships/hyperlink" Target="https://leetcode.com/problems/critical-connections-in-a-network/" TargetMode="External" Id="rId497" /><Relationship Type="http://schemas.openxmlformats.org/officeDocument/2006/relationships/hyperlink" Target="https://leetcode.com/submissions/detail/942454714/" TargetMode="External" Id="rId498" /><Relationship Type="http://schemas.openxmlformats.org/officeDocument/2006/relationships/hyperlink" Target="code/18-Graph-General-BFS-DFS/1192-critical-connections-in-a-network.md" TargetMode="External" Id="rId499" /><Relationship Type="http://schemas.openxmlformats.org/officeDocument/2006/relationships/hyperlink" Target="https://leetcode.com/problems/maximum-number-of-coins-you-can-get/" TargetMode="External" Id="rId500" /><Relationship Type="http://schemas.openxmlformats.org/officeDocument/2006/relationships/hyperlink" Target="https://leetcode.com/submissions/detail/943198196/" TargetMode="External" Id="rId501" /><Relationship Type="http://schemas.openxmlformats.org/officeDocument/2006/relationships/hyperlink" Target="code/15-Greedy/1561-maximum-number-of-coins-you-can-get.md" TargetMode="External" Id="rId502" /><Relationship Type="http://schemas.openxmlformats.org/officeDocument/2006/relationships/hyperlink" Target="https://leetcode.com/problems/best-time-to-buy-and-sell-stock-iii/" TargetMode="External" Id="rId503" /><Relationship Type="http://schemas.openxmlformats.org/officeDocument/2006/relationships/hyperlink" Target="https://leetcode.com/submissions/detail/943682793/" TargetMode="External" Id="rId504" /><Relationship Type="http://schemas.openxmlformats.org/officeDocument/2006/relationships/hyperlink" Target="code/28-DP-Buy-Sell-Stock/0123-best-time-to-buy-and-sell-stock-iii.md" TargetMode="External" Id="rId505" /><Relationship Type="http://schemas.openxmlformats.org/officeDocument/2006/relationships/hyperlink" Target="https://leetcode.com/problems/best-time-to-buy-and-sell-stock-iv/" TargetMode="External" Id="rId506" /><Relationship Type="http://schemas.openxmlformats.org/officeDocument/2006/relationships/hyperlink" Target="https://leetcode.com/submissions/detail/943687014/" TargetMode="External" Id="rId507" /><Relationship Type="http://schemas.openxmlformats.org/officeDocument/2006/relationships/hyperlink" Target="code/28-DP-Buy-Sell-Stock/0188-best-time-to-buy-and-sell-stock-iv.md" TargetMode="External" Id="rId508" /><Relationship Type="http://schemas.openxmlformats.org/officeDocument/2006/relationships/hyperlink" Target="https://leetcode.com/problems/best-time-to-buy-and-sell-stock-with-cooldown/" TargetMode="External" Id="rId509" /><Relationship Type="http://schemas.openxmlformats.org/officeDocument/2006/relationships/hyperlink" Target="https://leetcode.com/submissions/detail/943694651/" TargetMode="External" Id="rId510" /><Relationship Type="http://schemas.openxmlformats.org/officeDocument/2006/relationships/hyperlink" Target="code/28-DP-Buy-Sell-Stock/0309-best-time-to-buy-and-sell-stock-with-cooldown.md" TargetMode="External" Id="rId511" /><Relationship Type="http://schemas.openxmlformats.org/officeDocument/2006/relationships/hyperlink" Target="https://leetcode.com/problems/best-time-to-buy-and-sell-stock-with-transaction-fee/" TargetMode="External" Id="rId512" /><Relationship Type="http://schemas.openxmlformats.org/officeDocument/2006/relationships/hyperlink" Target="https://leetcode.com/submissions/detail/943695800/" TargetMode="External" Id="rId513" /><Relationship Type="http://schemas.openxmlformats.org/officeDocument/2006/relationships/hyperlink" Target="code/28-DP-Buy-Sell-Stock/0714-best-time-to-buy-and-sell-stock-with-transaction-fee.md" TargetMode="External" Id="rId514" /><Relationship Type="http://schemas.openxmlformats.org/officeDocument/2006/relationships/hyperlink" Target="https://leetcode.com/problems/palindrome-partitioning-ii/" TargetMode="External" Id="rId515" /><Relationship Type="http://schemas.openxmlformats.org/officeDocument/2006/relationships/hyperlink" Target="https://leetcode.com/submissions/detail/944162403/" TargetMode="External" Id="rId516" /><Relationship Type="http://schemas.openxmlformats.org/officeDocument/2006/relationships/hyperlink" Target="code/27-DP-Partition-Interval-MCM/0132-palindrome-partitioning-ii.md" TargetMode="External" Id="rId517" /><Relationship Type="http://schemas.openxmlformats.org/officeDocument/2006/relationships/hyperlink" Target="https://leetcode.com/problems/partition-array-for-maximum-sum/" TargetMode="External" Id="rId518" /><Relationship Type="http://schemas.openxmlformats.org/officeDocument/2006/relationships/hyperlink" Target="https://leetcode.com/submissions/detail/944177961/" TargetMode="External" Id="rId519" /><Relationship Type="http://schemas.openxmlformats.org/officeDocument/2006/relationships/hyperlink" Target="code/27-DP-Partition-Interval-MCM/1043-partition-array-for-maximum-sum.md" TargetMode="External" Id="rId520" /><Relationship Type="http://schemas.openxmlformats.org/officeDocument/2006/relationships/hyperlink" Target="https://leetcode.com/problems/median-of-a-row-wise-sorted-matrix/" TargetMode="External" Id="rId521" /><Relationship Type="http://schemas.openxmlformats.org/officeDocument/2006/relationships/hyperlink" Target="https://leetcode.com/submissions/detail/944209105/" TargetMode="External" Id="rId522" /><Relationship Type="http://schemas.openxmlformats.org/officeDocument/2006/relationships/hyperlink" Target="code/06-Binary-Search-on-Answer/2387-median-of-a-row-wise-sorted-matrix.md" TargetMode="External" Id="rId523" /><Relationship Type="http://schemas.openxmlformats.org/officeDocument/2006/relationships/hyperlink" Target="https://leetcode.com/problems/single-element-in-a-sorted-array/" TargetMode="External" Id="rId524" /><Relationship Type="http://schemas.openxmlformats.org/officeDocument/2006/relationships/hyperlink" Target="https://leetcode.com/submissions/detail/944234757/" TargetMode="External" Id="rId525" /><Relationship Type="http://schemas.openxmlformats.org/officeDocument/2006/relationships/hyperlink" Target="code/05-Binary-Search/0540-single-element-in-a-sorted-array.md" TargetMode="External" Id="rId526" /><Relationship Type="http://schemas.openxmlformats.org/officeDocument/2006/relationships/hyperlink" Target="https://leetcode.com/problems/median-of-two-sorted-arrays/" TargetMode="External" Id="rId527" /><Relationship Type="http://schemas.openxmlformats.org/officeDocument/2006/relationships/hyperlink" Target="https://leetcode.com/submissions/detail/1583197806/" TargetMode="External" Id="rId528" /><Relationship Type="http://schemas.openxmlformats.org/officeDocument/2006/relationships/hyperlink" Target="code/05-Binary-Search/0004-median-of-two-sorted-arrays.md" TargetMode="External" Id="rId529" /><Relationship Type="http://schemas.openxmlformats.org/officeDocument/2006/relationships/hyperlink" Target="https://leetcode.com/problems/implement-trie-prefix-tree/" TargetMode="External" Id="rId530" /><Relationship Type="http://schemas.openxmlformats.org/officeDocument/2006/relationships/hyperlink" Target="https://leetcode.com/submissions/detail/944314286/" TargetMode="External" Id="rId531" /><Relationship Type="http://schemas.openxmlformats.org/officeDocument/2006/relationships/hyperlink" Target="code/31-Trie/0208-implement-trie-prefix-tree.md" TargetMode="External" Id="rId532" /><Relationship Type="http://schemas.openxmlformats.org/officeDocument/2006/relationships/hyperlink" Target="https://leetcode.com/problems/implement-trie-ii-prefix-tree/" TargetMode="External" Id="rId533" /><Relationship Type="http://schemas.openxmlformats.org/officeDocument/2006/relationships/hyperlink" Target="https://leetcode.com/submissions/detail/944324967/" TargetMode="External" Id="rId534" /><Relationship Type="http://schemas.openxmlformats.org/officeDocument/2006/relationships/hyperlink" Target="code/31-Trie/1804-implement-trie-ii-prefix-tree.md" TargetMode="External" Id="rId535" /><Relationship Type="http://schemas.openxmlformats.org/officeDocument/2006/relationships/hyperlink" Target="https://leetcode.com/problems/longest-word-with-all-prefixes/" TargetMode="External" Id="rId536" /><Relationship Type="http://schemas.openxmlformats.org/officeDocument/2006/relationships/hyperlink" Target="https://leetcode.com/submissions/detail/944333566/" TargetMode="External" Id="rId537" /><Relationship Type="http://schemas.openxmlformats.org/officeDocument/2006/relationships/hyperlink" Target="code/31-Trie/1858-longest-word-with-all-prefixes.md" TargetMode="External" Id="rId538" /><Relationship Type="http://schemas.openxmlformats.org/officeDocument/2006/relationships/hyperlink" Target="https://leetcode.com/problems/lowest-common-ancestor-of-a-binary-tree/" TargetMode="External" Id="rId539" /><Relationship Type="http://schemas.openxmlformats.org/officeDocument/2006/relationships/hyperlink" Target="https://leetcode.com/submissions/detail/1582194949/" TargetMode="External" Id="rId540" /><Relationship Type="http://schemas.openxmlformats.org/officeDocument/2006/relationships/hyperlink" Target="code/10-Binary-Tree-DFS-Recursion/0236-lowest-common-ancestor-of-a-binary-tree.md" TargetMode="External" Id="rId541" /><Relationship Type="http://schemas.openxmlformats.org/officeDocument/2006/relationships/hyperlink" Target="https://leetcode.com/problems/maximum-width-of-binary-tree/" TargetMode="External" Id="rId542" /><Relationship Type="http://schemas.openxmlformats.org/officeDocument/2006/relationships/hyperlink" Target="https://leetcode.com/submissions/detail/944672783/" TargetMode="External" Id="rId543" /><Relationship Type="http://schemas.openxmlformats.org/officeDocument/2006/relationships/hyperlink" Target="code/11-Binary-Tree-BFS-Level-Order/0662-maximum-width-of-binary-tree.md" TargetMode="External" Id="rId544" /><Relationship Type="http://schemas.openxmlformats.org/officeDocument/2006/relationships/hyperlink" Target="https://leetcode.com/problems/all-nodes-distance-k-in-binary-tree/" TargetMode="External" Id="rId545" /><Relationship Type="http://schemas.openxmlformats.org/officeDocument/2006/relationships/hyperlink" Target="https://leetcode.com/submissions/detail/1167903284/" TargetMode="External" Id="rId546" /><Relationship Type="http://schemas.openxmlformats.org/officeDocument/2006/relationships/hyperlink" Target="code/10-Binary-Tree-DFS-Recursion/0863-all-nodes-distance-k-in-binary-tree.md" TargetMode="External" Id="rId547" /><Relationship Type="http://schemas.openxmlformats.org/officeDocument/2006/relationships/hyperlink" Target="https://leetcode.com/problems/count-complete-tree-nodes/" TargetMode="External" Id="rId548" /><Relationship Type="http://schemas.openxmlformats.org/officeDocument/2006/relationships/hyperlink" Target="https://leetcode.com/submissions/detail/944690918/" TargetMode="External" Id="rId549" /><Relationship Type="http://schemas.openxmlformats.org/officeDocument/2006/relationships/hyperlink" Target="code/10-Binary-Tree-DFS-Recursion/0222-count-complete-tree-nodes.md" TargetMode="External" Id="rId550" /><Relationship Type="http://schemas.openxmlformats.org/officeDocument/2006/relationships/hyperlink" Target="https://leetcode.com/problems/construct-binary-tree-from-preorder-and-inorder-traversal/" TargetMode="External" Id="rId551" /><Relationship Type="http://schemas.openxmlformats.org/officeDocument/2006/relationships/hyperlink" Target="https://leetcode.com/submissions/detail/944696483/" TargetMode="External" Id="rId552" /><Relationship Type="http://schemas.openxmlformats.org/officeDocument/2006/relationships/hyperlink" Target="code/10-Binary-Tree-DFS-Recursion/0105-construct-binary-tree-from-preorder-and-inorder-traversal.md" TargetMode="External" Id="rId553" /><Relationship Type="http://schemas.openxmlformats.org/officeDocument/2006/relationships/hyperlink" Target="https://leetcode.com/problems/construct-binary-tree-from-inorder-and-postorder-traversal/" TargetMode="External" Id="rId554" /><Relationship Type="http://schemas.openxmlformats.org/officeDocument/2006/relationships/hyperlink" Target="https://leetcode.com/submissions/detail/944702857/" TargetMode="External" Id="rId555" /><Relationship Type="http://schemas.openxmlformats.org/officeDocument/2006/relationships/hyperlink" Target="code/10-Binary-Tree-DFS-Recursion/0106-construct-binary-tree-from-inorder-and-postorder-traversal.md" TargetMode="External" Id="rId556" /><Relationship Type="http://schemas.openxmlformats.org/officeDocument/2006/relationships/hyperlink" Target="https://leetcode.com/problems/parallel-courses-iii/" TargetMode="External" Id="rId557" /><Relationship Type="http://schemas.openxmlformats.org/officeDocument/2006/relationships/hyperlink" Target="https://leetcode.com/submissions/detail/944738156/" TargetMode="External" Id="rId558" /><Relationship Type="http://schemas.openxmlformats.org/officeDocument/2006/relationships/hyperlink" Target="code/19-Graph-Topological-Sort/2050-parallel-courses-iii.md" TargetMode="External" Id="rId559" /><Relationship Type="http://schemas.openxmlformats.org/officeDocument/2006/relationships/hyperlink" Target="https://leetcode.com/problems/meeting-rooms/" TargetMode="External" Id="rId560" /><Relationship Type="http://schemas.openxmlformats.org/officeDocument/2006/relationships/hyperlink" Target="https://leetcode.com/submissions/detail/944827224/" TargetMode="External" Id="rId561" /><Relationship Type="http://schemas.openxmlformats.org/officeDocument/2006/relationships/hyperlink" Target="code/14-Intervals-Sweep-Line/0252-meeting-rooms.md" TargetMode="External" Id="rId562" /><Relationship Type="http://schemas.openxmlformats.org/officeDocument/2006/relationships/hyperlink" Target="https://leetcode.com/problems/find-servers-that-handled-most-number-of-requests/" TargetMode="External" Id="rId563" /><Relationship Type="http://schemas.openxmlformats.org/officeDocument/2006/relationships/hyperlink" Target="https://leetcode.com/submissions/detail/944957969/" TargetMode="External" Id="rId564" /><Relationship Type="http://schemas.openxmlformats.org/officeDocument/2006/relationships/hyperlink" Target="code/13-Heap-Top-K/1606-find-servers-that-handled-most-number-of-requests.md" TargetMode="External" Id="rId565" /><Relationship Type="http://schemas.openxmlformats.org/officeDocument/2006/relationships/hyperlink" Target="https://leetcode.com/problems/minimum-window-subsequence/" TargetMode="External" Id="rId566" /><Relationship Type="http://schemas.openxmlformats.org/officeDocument/2006/relationships/hyperlink" Target="https://leetcode.com/submissions/detail/946400703/" TargetMode="External" Id="rId567" /><Relationship Type="http://schemas.openxmlformats.org/officeDocument/2006/relationships/hyperlink" Target="code/25-DP-Strings-LCS-Edit-Matching/0727-minimum-window-subsequence.md" TargetMode="External" Id="rId568" /><Relationship Type="http://schemas.openxmlformats.org/officeDocument/2006/relationships/hyperlink" Target="https://leetcode.com/problems/regular-expression-matching/" TargetMode="External" Id="rId569" /><Relationship Type="http://schemas.openxmlformats.org/officeDocument/2006/relationships/hyperlink" Target="https://leetcode.com/submissions/detail/945858570/" TargetMode="External" Id="rId570" /><Relationship Type="http://schemas.openxmlformats.org/officeDocument/2006/relationships/hyperlink" Target="code/25-DP-Strings-LCS-Edit-Matching/0010-regular-expression-matching.md" TargetMode="External" Id="rId571" /><Relationship Type="http://schemas.openxmlformats.org/officeDocument/2006/relationships/hyperlink" Target="https://leetcode.com/problems/repeated-dna-sequences/" TargetMode="External" Id="rId572" /><Relationship Type="http://schemas.openxmlformats.org/officeDocument/2006/relationships/hyperlink" Target="https://leetcode.com/submissions/detail/945876723/" TargetMode="External" Id="rId573" /><Relationship Type="http://schemas.openxmlformats.org/officeDocument/2006/relationships/hyperlink" Target="code/03-Sliding-Window/0187-repeated-dna-sequences.md" TargetMode="External" Id="rId574" /><Relationship Type="http://schemas.openxmlformats.org/officeDocument/2006/relationships/hyperlink" Target="https://leetcode.com/problems/sliding-window-maximum/" TargetMode="External" Id="rId575" /><Relationship Type="http://schemas.openxmlformats.org/officeDocument/2006/relationships/hyperlink" Target="https://leetcode.com/submissions/detail/1214102989/" TargetMode="External" Id="rId576" /><Relationship Type="http://schemas.openxmlformats.org/officeDocument/2006/relationships/hyperlink" Target="code/08-Monotonic-Stack-Deque/0239-sliding-window-maximum.md" TargetMode="External" Id="rId577" /><Relationship Type="http://schemas.openxmlformats.org/officeDocument/2006/relationships/hyperlink" Target="https://leetcode.com/problems/house-robber-iii/" TargetMode="External" Id="rId578" /><Relationship Type="http://schemas.openxmlformats.org/officeDocument/2006/relationships/hyperlink" Target="https://leetcode.com/submissions/detail/948276626/" TargetMode="External" Id="rId579" /><Relationship Type="http://schemas.openxmlformats.org/officeDocument/2006/relationships/hyperlink" Target="code/29-DP-On-Trees/0337-house-robber-iii.md" TargetMode="External" Id="rId580" /><Relationship Type="http://schemas.openxmlformats.org/officeDocument/2006/relationships/hyperlink" Target="https://leetcode.com/problems/minimum-cost-to-merge-stones/" TargetMode="External" Id="rId581" /><Relationship Type="http://schemas.openxmlformats.org/officeDocument/2006/relationships/hyperlink" Target="https://leetcode.com/submissions/detail/951963971/" TargetMode="External" Id="rId582" /><Relationship Type="http://schemas.openxmlformats.org/officeDocument/2006/relationships/hyperlink" Target="code/27-DP-Partition-Interval-MCM/1000-minimum-cost-to-merge-stones.md" TargetMode="External" Id="rId583" /><Relationship Type="http://schemas.openxmlformats.org/officeDocument/2006/relationships/hyperlink" Target="https://leetcode.com/problems/kth-largest-element-in-a-stream/" TargetMode="External" Id="rId584" /><Relationship Type="http://schemas.openxmlformats.org/officeDocument/2006/relationships/hyperlink" Target="https://leetcode.com/submissions/detail/953785839/" TargetMode="External" Id="rId585" /><Relationship Type="http://schemas.openxmlformats.org/officeDocument/2006/relationships/hyperlink" Target="code/13-Heap-Top-K/0703-kth-largest-element-in-a-stream.md" TargetMode="External" Id="rId586" /><Relationship Type="http://schemas.openxmlformats.org/officeDocument/2006/relationships/hyperlink" Target="https://leetcode.com/problems/delete-node-in-a-linked-list/" TargetMode="External" Id="rId587" /><Relationship Type="http://schemas.openxmlformats.org/officeDocument/2006/relationships/hyperlink" Target="https://leetcode.com/submissions/detail/953787543/" TargetMode="External" Id="rId588" /><Relationship Type="http://schemas.openxmlformats.org/officeDocument/2006/relationships/hyperlink" Target="code/09-Linked-List/0237-delete-node-in-a-linked-list.md" TargetMode="External" Id="rId589" /><Relationship Type="http://schemas.openxmlformats.org/officeDocument/2006/relationships/hyperlink" Target="https://leetcode.com/problems/copy-list-with-random-pointer/" TargetMode="External" Id="rId590" /><Relationship Type="http://schemas.openxmlformats.org/officeDocument/2006/relationships/hyperlink" Target="https://leetcode.com/submissions/detail/1134011763/" TargetMode="External" Id="rId591" /><Relationship Type="http://schemas.openxmlformats.org/officeDocument/2006/relationships/hyperlink" Target="code/09-Linked-List/0138-copy-list-with-random-pointer.md" TargetMode="External" Id="rId592" /><Relationship Type="http://schemas.openxmlformats.org/officeDocument/2006/relationships/hyperlink" Target="https://leetcode.com/problems/invert-binary-tree/" TargetMode="External" Id="rId593" /><Relationship Type="http://schemas.openxmlformats.org/officeDocument/2006/relationships/hyperlink" Target="https://leetcode.com/submissions/detail/953788289/" TargetMode="External" Id="rId594" /><Relationship Type="http://schemas.openxmlformats.org/officeDocument/2006/relationships/hyperlink" Target="code/10-Binary-Tree-DFS-Recursion/0226-invert-binary-tree.md" TargetMode="External" Id="rId595" /><Relationship Type="http://schemas.openxmlformats.org/officeDocument/2006/relationships/hyperlink" Target="https://leetcode.com/problems/same-tree/" TargetMode="External" Id="rId596" /><Relationship Type="http://schemas.openxmlformats.org/officeDocument/2006/relationships/hyperlink" Target="https://leetcode.com/submissions/detail/953788697/" TargetMode="External" Id="rId597" /><Relationship Type="http://schemas.openxmlformats.org/officeDocument/2006/relationships/hyperlink" Target="code/10-Binary-Tree-DFS-Recursion/0100-same-tree.md" TargetMode="External" Id="rId598" /><Relationship Type="http://schemas.openxmlformats.org/officeDocument/2006/relationships/hyperlink" Target="https://leetcode.com/problems/palindromic-substrings/" TargetMode="External" Id="rId599" /><Relationship Type="http://schemas.openxmlformats.org/officeDocument/2006/relationships/hyperlink" Target="https://leetcode.com/submissions/detail/1156688848/" TargetMode="External" Id="rId600" /><Relationship Type="http://schemas.openxmlformats.org/officeDocument/2006/relationships/hyperlink" Target="code/02-Two-Pointers/0647-palindromic-substrings.md" TargetMode="External" Id="rId601" /><Relationship Type="http://schemas.openxmlformats.org/officeDocument/2006/relationships/hyperlink" Target="https://leetcode.com/problems/longest-palindrome/" TargetMode="External" Id="rId602" /><Relationship Type="http://schemas.openxmlformats.org/officeDocument/2006/relationships/hyperlink" Target="https://leetcode.com/submissions/detail/953789716/" TargetMode="External" Id="rId603" /><Relationship Type="http://schemas.openxmlformats.org/officeDocument/2006/relationships/hyperlink" Target="code/01-Arrays-Hashing-Sorting/0409-longest-palindrome.md" TargetMode="External" Id="rId604" /><Relationship Type="http://schemas.openxmlformats.org/officeDocument/2006/relationships/hyperlink" Target="https://leetcode.com/problems/maximum-subarray/" TargetMode="External" Id="rId605" /><Relationship Type="http://schemas.openxmlformats.org/officeDocument/2006/relationships/hyperlink" Target="https://leetcode.com/submissions/detail/1581828977/" TargetMode="External" Id="rId606" /><Relationship Type="http://schemas.openxmlformats.org/officeDocument/2006/relationships/hyperlink" Target="code/22-DP-1D-Linear/0053-maximum-subarray.md" TargetMode="External" Id="rId607" /><Relationship Type="http://schemas.openxmlformats.org/officeDocument/2006/relationships/hyperlink" Target="https://leetcode.com/problems/path-sum/" TargetMode="External" Id="rId608" /><Relationship Type="http://schemas.openxmlformats.org/officeDocument/2006/relationships/hyperlink" Target="https://leetcode.com/submissions/detail/953849102/" TargetMode="External" Id="rId609" /><Relationship Type="http://schemas.openxmlformats.org/officeDocument/2006/relationships/hyperlink" Target="code/10-Binary-Tree-DFS-Recursion/0112-path-sum.md" TargetMode="External" Id="rId610" /><Relationship Type="http://schemas.openxmlformats.org/officeDocument/2006/relationships/hyperlink" Target="https://leetcode.com/problems/path-sum-ii/" TargetMode="External" Id="rId611" /><Relationship Type="http://schemas.openxmlformats.org/officeDocument/2006/relationships/hyperlink" Target="https://leetcode.com/submissions/detail/953889600/" TargetMode="External" Id="rId612" /><Relationship Type="http://schemas.openxmlformats.org/officeDocument/2006/relationships/hyperlink" Target="code/10-Binary-Tree-DFS-Recursion/0113-path-sum-ii.md" TargetMode="External" Id="rId613" /><Relationship Type="http://schemas.openxmlformats.org/officeDocument/2006/relationships/hyperlink" Target="https://leetcode.com/problems/path-sum-iii/" TargetMode="External" Id="rId614" /><Relationship Type="http://schemas.openxmlformats.org/officeDocument/2006/relationships/hyperlink" Target="https://leetcode.com/submissions/detail/1622444693/" TargetMode="External" Id="rId615" /><Relationship Type="http://schemas.openxmlformats.org/officeDocument/2006/relationships/hyperlink" Target="code/10-Binary-Tree-DFS-Recursion/0437-path-sum-iii.md" TargetMode="External" Id="rId616" /><Relationship Type="http://schemas.openxmlformats.org/officeDocument/2006/relationships/hyperlink" Target="https://leetcode.com/problems/missing-number/" TargetMode="External" Id="rId617" /><Relationship Type="http://schemas.openxmlformats.org/officeDocument/2006/relationships/hyperlink" Target="https://leetcode.com/submissions/detail/956172334/" TargetMode="External" Id="rId618" /><Relationship Type="http://schemas.openxmlformats.org/officeDocument/2006/relationships/hyperlink" Target="code/34-Math-Bit-Manipulation/0268-missing-number.md" TargetMode="External" Id="rId619" /><Relationship Type="http://schemas.openxmlformats.org/officeDocument/2006/relationships/hyperlink" Target="https://leetcode.com/problems/reverse-linked-list/" TargetMode="External" Id="rId620" /><Relationship Type="http://schemas.openxmlformats.org/officeDocument/2006/relationships/hyperlink" Target="https://leetcode.com/submissions/detail/953894557/" TargetMode="External" Id="rId621" /><Relationship Type="http://schemas.openxmlformats.org/officeDocument/2006/relationships/hyperlink" Target="code/09-Linked-List/0206-reverse-linked-list.md" TargetMode="External" Id="rId622" /><Relationship Type="http://schemas.openxmlformats.org/officeDocument/2006/relationships/hyperlink" Target="https://leetcode.com/problems/reverse-linked-list-ii/" TargetMode="External" Id="rId623" /><Relationship Type="http://schemas.openxmlformats.org/officeDocument/2006/relationships/hyperlink" Target="https://leetcode.com/submissions/detail/953897121/" TargetMode="External" Id="rId624" /><Relationship Type="http://schemas.openxmlformats.org/officeDocument/2006/relationships/hyperlink" Target="code/09-Linked-List/0092-reverse-linked-list-ii.md" TargetMode="External" Id="rId625" /><Relationship Type="http://schemas.openxmlformats.org/officeDocument/2006/relationships/hyperlink" Target="https://leetcode.com/problems/first-missing-positive/" TargetMode="External" Id="rId626" /><Relationship Type="http://schemas.openxmlformats.org/officeDocument/2006/relationships/hyperlink" Target="https://leetcode.com/submissions/detail/956190757/" TargetMode="External" Id="rId627" /><Relationship Type="http://schemas.openxmlformats.org/officeDocument/2006/relationships/hyperlink" Target="code/01-Arrays-Hashing-Sorting/0041-first-missing-positive.md" TargetMode="External" Id="rId628" /><Relationship Type="http://schemas.openxmlformats.org/officeDocument/2006/relationships/hyperlink" Target="https://leetcode.com/problems/subtree-of-another-tree/" TargetMode="External" Id="rId629" /><Relationship Type="http://schemas.openxmlformats.org/officeDocument/2006/relationships/hyperlink" Target="https://leetcode.com/submissions/detail/954246623/" TargetMode="External" Id="rId630" /><Relationship Type="http://schemas.openxmlformats.org/officeDocument/2006/relationships/hyperlink" Target="code/10-Binary-Tree-DFS-Recursion/0572-subtree-of-another-tree.md" TargetMode="External" Id="rId631" /><Relationship Type="http://schemas.openxmlformats.org/officeDocument/2006/relationships/hyperlink" Target="https://leetcode.com/problems/3sum/" TargetMode="External" Id="rId632" /><Relationship Type="http://schemas.openxmlformats.org/officeDocument/2006/relationships/hyperlink" Target="https://leetcode.com/submissions/detail/1131807750/" TargetMode="External" Id="rId633" /><Relationship Type="http://schemas.openxmlformats.org/officeDocument/2006/relationships/hyperlink" Target="code/02-Two-Pointers/0015-3sum.md" TargetMode="External" Id="rId634" /><Relationship Type="http://schemas.openxmlformats.org/officeDocument/2006/relationships/hyperlink" Target="https://leetcode.com/problems/two-sum-ii-input-array-is-sorted/" TargetMode="External" Id="rId635" /><Relationship Type="http://schemas.openxmlformats.org/officeDocument/2006/relationships/hyperlink" Target="https://leetcode.com/submissions/detail/1213523765/" TargetMode="External" Id="rId636" /><Relationship Type="http://schemas.openxmlformats.org/officeDocument/2006/relationships/hyperlink" Target="code/02-Two-Pointers/0167-two-sum-ii-input-array-is-sorted.md" TargetMode="External" Id="rId637" /><Relationship Type="http://schemas.openxmlformats.org/officeDocument/2006/relationships/hyperlink" Target="https://leetcode.com/problems/3sum-closest/" TargetMode="External" Id="rId638" /><Relationship Type="http://schemas.openxmlformats.org/officeDocument/2006/relationships/hyperlink" Target="https://leetcode.com/submissions/detail/955019848/" TargetMode="External" Id="rId639" /><Relationship Type="http://schemas.openxmlformats.org/officeDocument/2006/relationships/hyperlink" Target="code/02-Two-Pointers/0016-3sum-closest.md" TargetMode="External" Id="rId640" /><Relationship Type="http://schemas.openxmlformats.org/officeDocument/2006/relationships/hyperlink" Target="https://leetcode.com/problems/find-and-replace-in-string/" TargetMode="External" Id="rId641" /><Relationship Type="http://schemas.openxmlformats.org/officeDocument/2006/relationships/hyperlink" Target="https://leetcode.com/submissions/detail/954492404/" TargetMode="External" Id="rId642" /><Relationship Type="http://schemas.openxmlformats.org/officeDocument/2006/relationships/hyperlink" Target="code/35-Strings-Simulation/0833-find-and-replace-in-string.md" TargetMode="External" Id="rId643" /><Relationship Type="http://schemas.openxmlformats.org/officeDocument/2006/relationships/hyperlink" Target="https://leetcode.com/problems/string-transforms-into-another-string/" TargetMode="External" Id="rId644" /><Relationship Type="http://schemas.openxmlformats.org/officeDocument/2006/relationships/hyperlink" Target="https://leetcode.com/submissions/detail/955672846/" TargetMode="External" Id="rId645" /><Relationship Type="http://schemas.openxmlformats.org/officeDocument/2006/relationships/hyperlink" Target="code/18-Graph-General-BFS-DFS/1153-string-transforms-into-another-string.md" TargetMode="External" Id="rId646" /><Relationship Type="http://schemas.openxmlformats.org/officeDocument/2006/relationships/hyperlink" Target="https://leetcode.com/problems/subarray-sum-equals-k/" TargetMode="External" Id="rId647" /><Relationship Type="http://schemas.openxmlformats.org/officeDocument/2006/relationships/hyperlink" Target="https://leetcode.com/submissions/detail/1689878099/" TargetMode="External" Id="rId648" /><Relationship Type="http://schemas.openxmlformats.org/officeDocument/2006/relationships/hyperlink" Target="code/04-Prefix-Sum-Difference-Array/0560-subarray-sum-equals-k.md" TargetMode="External" Id="rId649" /><Relationship Type="http://schemas.openxmlformats.org/officeDocument/2006/relationships/hyperlink" Target="https://leetcode.com/problems/search-insert-position/" TargetMode="External" Id="rId650" /><Relationship Type="http://schemas.openxmlformats.org/officeDocument/2006/relationships/hyperlink" Target="https://leetcode.com/submissions/detail/954943868/" TargetMode="External" Id="rId651" /><Relationship Type="http://schemas.openxmlformats.org/officeDocument/2006/relationships/hyperlink" Target="code/05-Binary-Search/0035-search-insert-position.md" TargetMode="External" Id="rId652" /><Relationship Type="http://schemas.openxmlformats.org/officeDocument/2006/relationships/hyperlink" Target="https://leetcode.com/problems/find-smallest-letter-greater-than-target/" TargetMode="External" Id="rId653" /><Relationship Type="http://schemas.openxmlformats.org/officeDocument/2006/relationships/hyperlink" Target="https://leetcode.com/submissions/detail/954958311/" TargetMode="External" Id="rId654" /><Relationship Type="http://schemas.openxmlformats.org/officeDocument/2006/relationships/hyperlink" Target="code/05-Binary-Search/0744-find-smallest-letter-greater-than-target.md" TargetMode="External" Id="rId655" /><Relationship Type="http://schemas.openxmlformats.org/officeDocument/2006/relationships/hyperlink" Target="https://leetcode.com/problems/peak-index-in-a-mountain-array/" TargetMode="External" Id="rId656" /><Relationship Type="http://schemas.openxmlformats.org/officeDocument/2006/relationships/hyperlink" Target="https://leetcode.com/submissions/detail/954997100/" TargetMode="External" Id="rId657" /><Relationship Type="http://schemas.openxmlformats.org/officeDocument/2006/relationships/hyperlink" Target="code/05-Binary-Search/0852-peak-index-in-a-mountain-array.md" TargetMode="External" Id="rId658" /><Relationship Type="http://schemas.openxmlformats.org/officeDocument/2006/relationships/hyperlink" Target="https://leetcode.com/problems/find-in-mountain-array/" TargetMode="External" Id="rId659" /><Relationship Type="http://schemas.openxmlformats.org/officeDocument/2006/relationships/hyperlink" Target="https://leetcode.com/submissions/detail/1138956729/" TargetMode="External" Id="rId660" /><Relationship Type="http://schemas.openxmlformats.org/officeDocument/2006/relationships/hyperlink" Target="code/05-Binary-Search/1095-find-in-mountain-array.md" TargetMode="External" Id="rId661" /><Relationship Type="http://schemas.openxmlformats.org/officeDocument/2006/relationships/hyperlink" Target="https://leetcode.com/problems/find-peak-element/" TargetMode="External" Id="rId662" /><Relationship Type="http://schemas.openxmlformats.org/officeDocument/2006/relationships/hyperlink" Target="https://leetcode.com/submissions/detail/1167286757/" TargetMode="External" Id="rId663" /><Relationship Type="http://schemas.openxmlformats.org/officeDocument/2006/relationships/hyperlink" Target="code/05-Binary-Search/0162-find-peak-element.md" TargetMode="External" Id="rId664" /><Relationship Type="http://schemas.openxmlformats.org/officeDocument/2006/relationships/hyperlink" Target="https://leetcode.com/problems/search-in-rotated-sorted-array-ii/" TargetMode="External" Id="rId665" /><Relationship Type="http://schemas.openxmlformats.org/officeDocument/2006/relationships/hyperlink" Target="https://leetcode.com/submissions/detail/955068317/" TargetMode="External" Id="rId666" /><Relationship Type="http://schemas.openxmlformats.org/officeDocument/2006/relationships/hyperlink" Target="code/05-Binary-Search/0081-search-in-rotated-sorted-array-ii.md" TargetMode="External" Id="rId667" /><Relationship Type="http://schemas.openxmlformats.org/officeDocument/2006/relationships/hyperlink" Target="https://leetcode.com/problems/find-minimum-in-rotated-sorted-array/" TargetMode="External" Id="rId668" /><Relationship Type="http://schemas.openxmlformats.org/officeDocument/2006/relationships/hyperlink" Target="https://leetcode.com/submissions/detail/1582142227/" TargetMode="External" Id="rId669" /><Relationship Type="http://schemas.openxmlformats.org/officeDocument/2006/relationships/hyperlink" Target="code/05-Binary-Search/0153-find-minimum-in-rotated-sorted-array.md" TargetMode="External" Id="rId670" /><Relationship Type="http://schemas.openxmlformats.org/officeDocument/2006/relationships/hyperlink" Target="https://leetcode.com/problems/split-array-largest-sum/" TargetMode="External" Id="rId671" /><Relationship Type="http://schemas.openxmlformats.org/officeDocument/2006/relationships/hyperlink" Target="https://leetcode.com/submissions/detail/955134998/" TargetMode="External" Id="rId672" /><Relationship Type="http://schemas.openxmlformats.org/officeDocument/2006/relationships/hyperlink" Target="code/06-Binary-Search-on-Answer/0410-split-array-largest-sum.md" TargetMode="External" Id="rId673" /><Relationship Type="http://schemas.openxmlformats.org/officeDocument/2006/relationships/hyperlink" Target="https://leetcode.com/problems/merge-two-sorted-lists/" TargetMode="External" Id="rId674" /><Relationship Type="http://schemas.openxmlformats.org/officeDocument/2006/relationships/hyperlink" Target="https://leetcode.com/submissions/detail/1583232564/" TargetMode="External" Id="rId675" /><Relationship Type="http://schemas.openxmlformats.org/officeDocument/2006/relationships/hyperlink" Target="code/09-Linked-List/0021-merge-two-sorted-lists.md" TargetMode="External" Id="rId676" /><Relationship Type="http://schemas.openxmlformats.org/officeDocument/2006/relationships/hyperlink" Target="https://leetcode.com/problems/maximize-distance-to-closest-person/" TargetMode="External" Id="rId677" /><Relationship Type="http://schemas.openxmlformats.org/officeDocument/2006/relationships/hyperlink" Target="https://leetcode.com/submissions/detail/955656576/" TargetMode="External" Id="rId678" /><Relationship Type="http://schemas.openxmlformats.org/officeDocument/2006/relationships/hyperlink" Target="code/01-Arrays-Hashing-Sorting/0849-maximize-distance-to-closest-person.md" TargetMode="External" Id="rId679" /><Relationship Type="http://schemas.openxmlformats.org/officeDocument/2006/relationships/hyperlink" Target="https://leetcode.com/problems/serialize-and-deserialize-binary-tree/" TargetMode="External" Id="rId680" /><Relationship Type="http://schemas.openxmlformats.org/officeDocument/2006/relationships/hyperlink" Target="https://leetcode.com/submissions/detail/1130969649/" TargetMode="External" Id="rId681" /><Relationship Type="http://schemas.openxmlformats.org/officeDocument/2006/relationships/hyperlink" Target="code/10-Binary-Tree-DFS-Recursion/0297-serialize-and-deserialize-binary-tree.md" TargetMode="External" Id="rId682" /><Relationship Type="http://schemas.openxmlformats.org/officeDocument/2006/relationships/hyperlink" Target="https://leetcode.com/problems/isomorphic-strings/" TargetMode="External" Id="rId683" /><Relationship Type="http://schemas.openxmlformats.org/officeDocument/2006/relationships/hyperlink" Target="https://leetcode.com/submissions/detail/955695727/" TargetMode="External" Id="rId684" /><Relationship Type="http://schemas.openxmlformats.org/officeDocument/2006/relationships/hyperlink" Target="code/01-Arrays-Hashing-Sorting/0205-isomorphic-strings.md" TargetMode="External" Id="rId685" /><Relationship Type="http://schemas.openxmlformats.org/officeDocument/2006/relationships/hyperlink" Target="https://leetcode.com/problems/find-all-numbers-disappeared-in-an-array/" TargetMode="External" Id="rId686" /><Relationship Type="http://schemas.openxmlformats.org/officeDocument/2006/relationships/hyperlink" Target="https://leetcode.com/submissions/detail/956174180/" TargetMode="External" Id="rId687" /><Relationship Type="http://schemas.openxmlformats.org/officeDocument/2006/relationships/hyperlink" Target="code/01-Arrays-Hashing-Sorting/0448-find-all-numbers-disappeared-in-an-array.md" TargetMode="External" Id="rId688" /><Relationship Type="http://schemas.openxmlformats.org/officeDocument/2006/relationships/hyperlink" Target="https://leetcode.com/problems/find-the-duplicate-number/" TargetMode="External" Id="rId689" /><Relationship Type="http://schemas.openxmlformats.org/officeDocument/2006/relationships/hyperlink" Target="https://leetcode.com/submissions/detail/956176711/" TargetMode="External" Id="rId690" /><Relationship Type="http://schemas.openxmlformats.org/officeDocument/2006/relationships/hyperlink" Target="code/02-Two-Pointers/0287-find-the-duplicate-number.md" TargetMode="External" Id="rId691" /><Relationship Type="http://schemas.openxmlformats.org/officeDocument/2006/relationships/hyperlink" Target="https://leetcode.com/problems/find-all-duplicates-in-an-array/" TargetMode="External" Id="rId692" /><Relationship Type="http://schemas.openxmlformats.org/officeDocument/2006/relationships/hyperlink" Target="https://leetcode.com/submissions/detail/956177792/" TargetMode="External" Id="rId693" /><Relationship Type="http://schemas.openxmlformats.org/officeDocument/2006/relationships/hyperlink" Target="code/01-Arrays-Hashing-Sorting/0442-find-all-duplicates-in-an-array.md" TargetMode="External" Id="rId694" /><Relationship Type="http://schemas.openxmlformats.org/officeDocument/2006/relationships/hyperlink" Target="https://leetcode.com/problems/set-mismatch/" TargetMode="External" Id="rId695" /><Relationship Type="http://schemas.openxmlformats.org/officeDocument/2006/relationships/hyperlink" Target="https://leetcode.com/submissions/detail/956181760/" TargetMode="External" Id="rId696" /><Relationship Type="http://schemas.openxmlformats.org/officeDocument/2006/relationships/hyperlink" Target="code/01-Arrays-Hashing-Sorting/0645-set-mismatch.md" TargetMode="External" Id="rId697" /><Relationship Type="http://schemas.openxmlformats.org/officeDocument/2006/relationships/hyperlink" Target="https://leetcode.com/problems/flipping-an-image/" TargetMode="External" Id="rId698" /><Relationship Type="http://schemas.openxmlformats.org/officeDocument/2006/relationships/hyperlink" Target="https://leetcode.com/submissions/detail/956272640/" TargetMode="External" Id="rId699" /><Relationship Type="http://schemas.openxmlformats.org/officeDocument/2006/relationships/hyperlink" Target="code/02-Two-Pointers/0832-flipping-an-image.md" TargetMode="External" Id="rId700" /><Relationship Type="http://schemas.openxmlformats.org/officeDocument/2006/relationships/hyperlink" Target="https://leetcode.com/problems/binary-tree-maximum-path-sum/" TargetMode="External" Id="rId701" /><Relationship Type="http://schemas.openxmlformats.org/officeDocument/2006/relationships/hyperlink" Target="https://leetcode.com/submissions/detail/1621809992/" TargetMode="External" Id="rId702" /><Relationship Type="http://schemas.openxmlformats.org/officeDocument/2006/relationships/hyperlink" Target="code/29-DP-On-Trees/0124-binary-tree-maximum-path-sum.md" TargetMode="External" Id="rId703" /><Relationship Type="http://schemas.openxmlformats.org/officeDocument/2006/relationships/hyperlink" Target="https://leetcode.com/problems/k-closest-points-to-origin/" TargetMode="External" Id="rId704" /><Relationship Type="http://schemas.openxmlformats.org/officeDocument/2006/relationships/hyperlink" Target="https://leetcode.com/submissions/detail/1664026000/" TargetMode="External" Id="rId705" /><Relationship Type="http://schemas.openxmlformats.org/officeDocument/2006/relationships/hyperlink" Target="code/13-Heap-Top-K/0973-k-closest-points-to-origin.md" TargetMode="External" Id="rId706" /><Relationship Type="http://schemas.openxmlformats.org/officeDocument/2006/relationships/hyperlink" Target="https://leetcode.com/problems/sum-root-to-leaf-numbers/" TargetMode="External" Id="rId707" /><Relationship Type="http://schemas.openxmlformats.org/officeDocument/2006/relationships/hyperlink" Target="https://leetcode.com/submissions/detail/1664032755/" TargetMode="External" Id="rId708" /><Relationship Type="http://schemas.openxmlformats.org/officeDocument/2006/relationships/hyperlink" Target="code/10-Binary-Tree-DFS-Recursion/0129-sum-root-to-leaf-numbers.md" TargetMode="External" Id="rId709" /><Relationship Type="http://schemas.openxmlformats.org/officeDocument/2006/relationships/hyperlink" Target="https://leetcode.com/problems/closest-binary-search-tree-value/" TargetMode="External" Id="rId710" /><Relationship Type="http://schemas.openxmlformats.org/officeDocument/2006/relationships/hyperlink" Target="https://leetcode.com/submissions/detail/1212430017/" TargetMode="External" Id="rId711" /><Relationship Type="http://schemas.openxmlformats.org/officeDocument/2006/relationships/hyperlink" Target="code/12-Binary-Search-Tree/0270-closest-binary-search-tree-value.md" TargetMode="External" Id="rId712" /><Relationship Type="http://schemas.openxmlformats.org/officeDocument/2006/relationships/hyperlink" Target="https://leetcode.com/problems/powx-n/" TargetMode="External" Id="rId713" /><Relationship Type="http://schemas.openxmlformats.org/officeDocument/2006/relationships/hyperlink" Target="https://leetcode.com/submissions/detail/1664181690/" TargetMode="External" Id="rId714" /><Relationship Type="http://schemas.openxmlformats.org/officeDocument/2006/relationships/hyperlink" Target="code/34-Math-Bit-Manipulation/0050-powx-n.md" TargetMode="External" Id="rId715" /><Relationship Type="http://schemas.openxmlformats.org/officeDocument/2006/relationships/hyperlink" Target="https://leetcode.com/problems/valid-palindrome-ii/" TargetMode="External" Id="rId716" /><Relationship Type="http://schemas.openxmlformats.org/officeDocument/2006/relationships/hyperlink" Target="https://leetcode.com/submissions/detail/1663580515/" TargetMode="External" Id="rId717" /><Relationship Type="http://schemas.openxmlformats.org/officeDocument/2006/relationships/hyperlink" Target="code/02-Two-Pointers/0680-valid-palindrome-ii.md" TargetMode="External" Id="rId718" /><Relationship Type="http://schemas.openxmlformats.org/officeDocument/2006/relationships/hyperlink" Target="https://leetcode.com/problems/first-bad-version/" TargetMode="External" Id="rId719" /><Relationship Type="http://schemas.openxmlformats.org/officeDocument/2006/relationships/hyperlink" Target="https://leetcode.com/submissions/detail/1212399382/" TargetMode="External" Id="rId720" /><Relationship Type="http://schemas.openxmlformats.org/officeDocument/2006/relationships/hyperlink" Target="code/05-Binary-Search/0278-first-bad-version.md" TargetMode="External" Id="rId721" /><Relationship Type="http://schemas.openxmlformats.org/officeDocument/2006/relationships/hyperlink" Target="https://leetcode.com/problems/insert-interval/" TargetMode="External" Id="rId722" /><Relationship Type="http://schemas.openxmlformats.org/officeDocument/2006/relationships/hyperlink" Target="https://leetcode.com/submissions/detail/1211476832/" TargetMode="External" Id="rId723" /><Relationship Type="http://schemas.openxmlformats.org/officeDocument/2006/relationships/hyperlink" Target="code/14-Intervals-Sweep-Line/0057-insert-interval.md" TargetMode="External" Id="rId724" /><Relationship Type="http://schemas.openxmlformats.org/officeDocument/2006/relationships/hyperlink" Target="https://leetcode.com/problems/minimum-number-of-arrows-to-burst-balloons/" TargetMode="External" Id="rId725" /><Relationship Type="http://schemas.openxmlformats.org/officeDocument/2006/relationships/hyperlink" Target="https://leetcode.com/submissions/detail/1211394901/" TargetMode="External" Id="rId726" /><Relationship Type="http://schemas.openxmlformats.org/officeDocument/2006/relationships/hyperlink" Target="code/14-Intervals-Sweep-Line/0452-minimum-number-of-arrows-to-burst-balloons.md" TargetMode="External" Id="rId727" /><Relationship Type="http://schemas.openxmlformats.org/officeDocument/2006/relationships/hyperlink" Target="https://leetcode.com/problems/non-overlapping-intervals/" TargetMode="External" Id="rId728" /><Relationship Type="http://schemas.openxmlformats.org/officeDocument/2006/relationships/hyperlink" Target="https://leetcode.com/submissions/detail/1211408422/" TargetMode="External" Id="rId729" /><Relationship Type="http://schemas.openxmlformats.org/officeDocument/2006/relationships/hyperlink" Target="code/14-Intervals-Sweep-Line/0435-non-overlapping-intervals.md" TargetMode="External" Id="rId730" /><Relationship Type="http://schemas.openxmlformats.org/officeDocument/2006/relationships/hyperlink" Target="https://leetcode.com/problems/teemo-attacking/" TargetMode="External" Id="rId731" /><Relationship Type="http://schemas.openxmlformats.org/officeDocument/2006/relationships/hyperlink" Target="https://leetcode.com/submissions/detail/1211418907/" TargetMode="External" Id="rId732" /><Relationship Type="http://schemas.openxmlformats.org/officeDocument/2006/relationships/hyperlink" Target="code/14-Intervals-Sweep-Line/0495-teemo-attacking.md" TargetMode="External" Id="rId733" /><Relationship Type="http://schemas.openxmlformats.org/officeDocument/2006/relationships/hyperlink" Target="https://leetcode.com/problems/find-right-interval/" TargetMode="External" Id="rId734" /><Relationship Type="http://schemas.openxmlformats.org/officeDocument/2006/relationships/hyperlink" Target="https://leetcode.com/submissions/detail/1211492069/" TargetMode="External" Id="rId735" /><Relationship Type="http://schemas.openxmlformats.org/officeDocument/2006/relationships/hyperlink" Target="code/14-Intervals-Sweep-Line/0436-find-right-interval.md" TargetMode="External" Id="rId736" /><Relationship Type="http://schemas.openxmlformats.org/officeDocument/2006/relationships/hyperlink" Target="https://leetcode.com/problems/my-calendar-ii/" TargetMode="External" Id="rId737" /><Relationship Type="http://schemas.openxmlformats.org/officeDocument/2006/relationships/hyperlink" Target="https://leetcode.com/submissions/detail/1608485018/" TargetMode="External" Id="rId738" /><Relationship Type="http://schemas.openxmlformats.org/officeDocument/2006/relationships/hyperlink" Target="code/14-Intervals-Sweep-Line/0731-my-calendar-ii.md" TargetMode="External" Id="rId739" /><Relationship Type="http://schemas.openxmlformats.org/officeDocument/2006/relationships/hyperlink" Target="https://leetcode.com/problems/my-calendar-iii/" TargetMode="External" Id="rId740" /><Relationship Type="http://schemas.openxmlformats.org/officeDocument/2006/relationships/hyperlink" Target="https://leetcode.com/submissions/detail/1608480201/" TargetMode="External" Id="rId741" /><Relationship Type="http://schemas.openxmlformats.org/officeDocument/2006/relationships/hyperlink" Target="code/14-Intervals-Sweep-Line/0732-my-calendar-iii.md" TargetMode="External" Id="rId742" /><Relationship Type="http://schemas.openxmlformats.org/officeDocument/2006/relationships/hyperlink" Target="https://leetcode.com/problems/sqrtx/" TargetMode="External" Id="rId743" /><Relationship Type="http://schemas.openxmlformats.org/officeDocument/2006/relationships/hyperlink" Target="https://leetcode.com/submissions/detail/1212380641/" TargetMode="External" Id="rId744" /><Relationship Type="http://schemas.openxmlformats.org/officeDocument/2006/relationships/hyperlink" Target="code/06-Binary-Search-on-Answer/0069-sqrtx.md" TargetMode="External" Id="rId745" /><Relationship Type="http://schemas.openxmlformats.org/officeDocument/2006/relationships/hyperlink" Target="https://leetcode.com/problems/guess-number-higher-or-lower/" TargetMode="External" Id="rId746" /><Relationship Type="http://schemas.openxmlformats.org/officeDocument/2006/relationships/hyperlink" Target="https://leetcode.com/submissions/detail/1212385330/" TargetMode="External" Id="rId747" /><Relationship Type="http://schemas.openxmlformats.org/officeDocument/2006/relationships/hyperlink" Target="code/05-Binary-Search/0374-guess-number-higher-or-lower.md" TargetMode="External" Id="rId748" /><Relationship Type="http://schemas.openxmlformats.org/officeDocument/2006/relationships/hyperlink" Target="https://leetcode.com/problems/find-k-pairs-with-smallest-sums/" TargetMode="External" Id="rId749" /><Relationship Type="http://schemas.openxmlformats.org/officeDocument/2006/relationships/hyperlink" Target="https://leetcode.com/submissions/detail/1213454011/" TargetMode="External" Id="rId750" /><Relationship Type="http://schemas.openxmlformats.org/officeDocument/2006/relationships/hyperlink" Target="code/13-Heap-Top-K/0373-find-k-pairs-with-smallest-sums.md" TargetMode="External" Id="rId751" /><Relationship Type="http://schemas.openxmlformats.org/officeDocument/2006/relationships/hyperlink" Target="https://leetcode.com/problems/remove-duplicates-from-sorted-array/" TargetMode="External" Id="rId752" /><Relationship Type="http://schemas.openxmlformats.org/officeDocument/2006/relationships/hyperlink" Target="https://leetcode.com/submissions/detail/1213537851/" TargetMode="External" Id="rId753" /><Relationship Type="http://schemas.openxmlformats.org/officeDocument/2006/relationships/hyperlink" Target="code/02-Two-Pointers/0026-remove-duplicates-from-sorted-array.md" TargetMode="External" Id="rId754" /><Relationship Type="http://schemas.openxmlformats.org/officeDocument/2006/relationships/hyperlink" Target="https://leetcode.com/problems/online-election/" TargetMode="External" Id="rId755" /><Relationship Type="http://schemas.openxmlformats.org/officeDocument/2006/relationships/hyperlink" Target="https://leetcode.com/submissions/detail/1217404450/" TargetMode="External" Id="rId756" /><Relationship Type="http://schemas.openxmlformats.org/officeDocument/2006/relationships/hyperlink" Target="code/05-Binary-Search/0911-online-election.md" TargetMode="External" Id="rId757" /><Relationship Type="http://schemas.openxmlformats.org/officeDocument/2006/relationships/hyperlink" Target="https://leetcode.com/problems/frequency-tracker/" TargetMode="External" Id="rId758" /><Relationship Type="http://schemas.openxmlformats.org/officeDocument/2006/relationships/hyperlink" Target="https://leetcode.com/submissions/detail/1237161463/" TargetMode="External" Id="rId759" /><Relationship Type="http://schemas.openxmlformats.org/officeDocument/2006/relationships/hyperlink" Target="code/32-Design/2671-frequency-tracker.md" TargetMode="External" Id="rId760" /><Relationship Type="http://schemas.openxmlformats.org/officeDocument/2006/relationships/hyperlink" Target="https://leetcode.com/problems/flower-planting-with-no-adjacent/" TargetMode="External" Id="rId761" /><Relationship Type="http://schemas.openxmlformats.org/officeDocument/2006/relationships/hyperlink" Target="https://leetcode.com/submissions/detail/1436889483/" TargetMode="External" Id="rId762" /><Relationship Type="http://schemas.openxmlformats.org/officeDocument/2006/relationships/hyperlink" Target="code/18-Graph-General-BFS-DFS/1042-flower-planting-with-no-adjacent.md" TargetMode="External" Id="rId763" /><Relationship Type="http://schemas.openxmlformats.org/officeDocument/2006/relationships/hyperlink" Target="https://leetcode.com/problems/minimum-total-distance-traveled/" TargetMode="External" Id="rId764" /><Relationship Type="http://schemas.openxmlformats.org/officeDocument/2006/relationships/hyperlink" Target="https://leetcode.com/submissions/detail/1439146279/" TargetMode="External" Id="rId765" /><Relationship Type="http://schemas.openxmlformats.org/officeDocument/2006/relationships/hyperlink" Target="code/27-DP-Partition-Interval-MCM/2463-minimum-total-distance-traveled.md" TargetMode="External" Id="rId766" /><Relationship Type="http://schemas.openxmlformats.org/officeDocument/2006/relationships/hyperlink" Target="https://leetcode.com/problems/binary-tree-inorder-traversal/" TargetMode="External" Id="rId767" /><Relationship Type="http://schemas.openxmlformats.org/officeDocument/2006/relationships/hyperlink" Target="https://leetcode.com/submissions/detail/1445450809/" TargetMode="External" Id="rId768" /><Relationship Type="http://schemas.openxmlformats.org/officeDocument/2006/relationships/hyperlink" Target="code/10-Binary-Tree-DFS-Recursion/0094-binary-tree-inorder-traversal.md" TargetMode="External" Id="rId769" /><Relationship Type="http://schemas.openxmlformats.org/officeDocument/2006/relationships/hyperlink" Target="https://leetcode.com/problems/house-robber/" TargetMode="External" Id="rId770" /><Relationship Type="http://schemas.openxmlformats.org/officeDocument/2006/relationships/hyperlink" Target="https://leetcode.com/submissions/detail/1518842548/" TargetMode="External" Id="rId771" /><Relationship Type="http://schemas.openxmlformats.org/officeDocument/2006/relationships/hyperlink" Target="code/22-DP-1D-Linear/0198-house-robber.md" TargetMode="External" Id="rId772" /><Relationship Type="http://schemas.openxmlformats.org/officeDocument/2006/relationships/hyperlink" Target="https://leetcode.com/problems/min-cost-climbing-stairs/" TargetMode="External" Id="rId773" /><Relationship Type="http://schemas.openxmlformats.org/officeDocument/2006/relationships/hyperlink" Target="https://leetcode.com/submissions/detail/1518880175/" TargetMode="External" Id="rId774" /><Relationship Type="http://schemas.openxmlformats.org/officeDocument/2006/relationships/hyperlink" Target="code/22-DP-1D-Linear/0746-min-cost-climbing-stairs.md" TargetMode="External" Id="rId775" /><Relationship Type="http://schemas.openxmlformats.org/officeDocument/2006/relationships/hyperlink" Target="https://leetcode.com/problems/majority-element/" TargetMode="External" Id="rId776" /><Relationship Type="http://schemas.openxmlformats.org/officeDocument/2006/relationships/hyperlink" Target="https://leetcode.com/submissions/detail/1519712914/" TargetMode="External" Id="rId777" /><Relationship Type="http://schemas.openxmlformats.org/officeDocument/2006/relationships/hyperlink" Target="code/01-Arrays-Hashing-Sorting/0169-majority-element.md" TargetMode="External" Id="rId778" /><Relationship Type="http://schemas.openxmlformats.org/officeDocument/2006/relationships/hyperlink" Target="https://leetcode.com/problems/longest-consecutive-sequence/" TargetMode="External" Id="rId779" /><Relationship Type="http://schemas.openxmlformats.org/officeDocument/2006/relationships/hyperlink" Target="https://leetcode.com/submissions/detail/1582453958/" TargetMode="External" Id="rId780" /><Relationship Type="http://schemas.openxmlformats.org/officeDocument/2006/relationships/hyperlink" Target="code/01-Arrays-Hashing-Sorting/0128-longest-consecutive-sequence.md" TargetMode="External" Id="rId781" /><Relationship Type="http://schemas.openxmlformats.org/officeDocument/2006/relationships/hyperlink" Target="https://leetcode.com/problems/permutation-in-string/" TargetMode="External" Id="rId782" /><Relationship Type="http://schemas.openxmlformats.org/officeDocument/2006/relationships/hyperlink" Target="https://leetcode.com/submissions/detail/1582490159/" TargetMode="External" Id="rId783" /><Relationship Type="http://schemas.openxmlformats.org/officeDocument/2006/relationships/hyperlink" Target="code/03-Sliding-Window/0567-permutation-in-string.md" TargetMode="External" Id="rId784" /><Relationship Type="http://schemas.openxmlformats.org/officeDocument/2006/relationships/hyperlink" Target="https://leetcode.com/problems/longest-repeating-character-replacement/" TargetMode="External" Id="rId785" /><Relationship Type="http://schemas.openxmlformats.org/officeDocument/2006/relationships/hyperlink" Target="https://leetcode.com/submissions/detail/1582540804/" TargetMode="External" Id="rId786" /><Relationship Type="http://schemas.openxmlformats.org/officeDocument/2006/relationships/hyperlink" Target="code/03-Sliding-Window/0424-longest-repeating-character-replacement.md" TargetMode="External" Id="rId787" /><Relationship Type="http://schemas.openxmlformats.org/officeDocument/2006/relationships/hyperlink" Target="https://leetcode.com/problems/daily-temperatures/" TargetMode="External" Id="rId788" /><Relationship Type="http://schemas.openxmlformats.org/officeDocument/2006/relationships/hyperlink" Target="https://leetcode.com/submissions/detail/1582551479/" TargetMode="External" Id="rId789" /><Relationship Type="http://schemas.openxmlformats.org/officeDocument/2006/relationships/hyperlink" Target="code/08-Monotonic-Stack-Deque/0739-daily-temperatures.md" TargetMode="External" Id="rId790" /><Relationship Type="http://schemas.openxmlformats.org/officeDocument/2006/relationships/hyperlink" Target="https://leetcode.com/problems/car-fleet/" TargetMode="External" Id="rId791" /><Relationship Type="http://schemas.openxmlformats.org/officeDocument/2006/relationships/hyperlink" Target="https://leetcode.com/submissions/detail/1582577529/" TargetMode="External" Id="rId792" /><Relationship Type="http://schemas.openxmlformats.org/officeDocument/2006/relationships/hyperlink" Target="code/08-Monotonic-Stack-Deque/0853-car-fleet.md" TargetMode="External" Id="rId793" /><Relationship Type="http://schemas.openxmlformats.org/officeDocument/2006/relationships/hyperlink" Target="https://leetcode.com/problems/evaluate-reverse-polish-notation/" TargetMode="External" Id="rId794" /><Relationship Type="http://schemas.openxmlformats.org/officeDocument/2006/relationships/hyperlink" Target="https://leetcode.com/submissions/detail/1582591241/" TargetMode="External" Id="rId795" /><Relationship Type="http://schemas.openxmlformats.org/officeDocument/2006/relationships/hyperlink" Target="code/07-Stack/0150-evaluate-reverse-polish-notation.md" TargetMode="External" Id="rId796" /><Relationship Type="http://schemas.openxmlformats.org/officeDocument/2006/relationships/hyperlink" Target="https://leetcode.com/problems/time-based-key-value-store/" TargetMode="External" Id="rId797" /><Relationship Type="http://schemas.openxmlformats.org/officeDocument/2006/relationships/hyperlink" Target="https://leetcode.com/submissions/detail/1582616736/" TargetMode="External" Id="rId798" /><Relationship Type="http://schemas.openxmlformats.org/officeDocument/2006/relationships/hyperlink" Target="code/32-Design/0981-time-based-key-value-store.md" TargetMode="External" Id="rId799" /><Relationship Type="http://schemas.openxmlformats.org/officeDocument/2006/relationships/hyperlink" Target="https://leetcode.com/problems/min-stack/" TargetMode="External" Id="rId800" /><Relationship Type="http://schemas.openxmlformats.org/officeDocument/2006/relationships/hyperlink" Target="https://leetcode.com/submissions/detail/1582619549/" TargetMode="External" Id="rId801" /><Relationship Type="http://schemas.openxmlformats.org/officeDocument/2006/relationships/hyperlink" Target="code/07-Stack/0155-min-stack.md" TargetMode="External" Id="rId802" /><Relationship Type="http://schemas.openxmlformats.org/officeDocument/2006/relationships/hyperlink" Target="https://leetcode.com/problems/reorder-list/" TargetMode="External" Id="rId803" /><Relationship Type="http://schemas.openxmlformats.org/officeDocument/2006/relationships/hyperlink" Target="https://leetcode.com/submissions/detail/1583304906/" TargetMode="External" Id="rId804" /><Relationship Type="http://schemas.openxmlformats.org/officeDocument/2006/relationships/hyperlink" Target="code/09-Linked-List/0143-reorder-list.md" TargetMode="External" Id="rId805" /><Relationship Type="http://schemas.openxmlformats.org/officeDocument/2006/relationships/hyperlink" Target="https://leetcode.com/problems/remove-nth-node-from-end-of-list/" TargetMode="External" Id="rId806" /><Relationship Type="http://schemas.openxmlformats.org/officeDocument/2006/relationships/hyperlink" Target="https://leetcode.com/submissions/detail/1583297279/" TargetMode="External" Id="rId807" /><Relationship Type="http://schemas.openxmlformats.org/officeDocument/2006/relationships/hyperlink" Target="code/09-Linked-List/0019-remove-nth-node-from-end-of-list.md" TargetMode="External" Id="rId808" /><Relationship Type="http://schemas.openxmlformats.org/officeDocument/2006/relationships/hyperlink" Target="https://leetcode.com/problems/car-pooling/" TargetMode="External" Id="rId809" /><Relationship Type="http://schemas.openxmlformats.org/officeDocument/2006/relationships/hyperlink" Target="https://leetcode.com/submissions/detail/1608472430/" TargetMode="External" Id="rId810" /><Relationship Type="http://schemas.openxmlformats.org/officeDocument/2006/relationships/hyperlink" Target="code/04-Prefix-Sum-Difference-Array/1094-car-pooling.md" TargetMode="External" Id="rId811" /><Relationship Type="http://schemas.openxmlformats.org/officeDocument/2006/relationships/hyperlink" Target="https://leetcode.com/problems/shifting-letters-ii/" TargetMode="External" Id="rId812" /><Relationship Type="http://schemas.openxmlformats.org/officeDocument/2006/relationships/hyperlink" Target="https://leetcode.com/submissions/detail/1608696090/" TargetMode="External" Id="rId813" /><Relationship Type="http://schemas.openxmlformats.org/officeDocument/2006/relationships/hyperlink" Target="code/04-Prefix-Sum-Difference-Array/2381-shifting-letters-ii.md" TargetMode="External" Id="rId814" /><Relationship Type="http://schemas.openxmlformats.org/officeDocument/2006/relationships/hyperlink" Target="https://leetcode.com/problems/number-of-flowers-in-full-bloom/" TargetMode="External" Id="rId815" /><Relationship Type="http://schemas.openxmlformats.org/officeDocument/2006/relationships/hyperlink" Target="https://leetcode.com/submissions/detail/1608755716/" TargetMode="External" Id="rId816" /><Relationship Type="http://schemas.openxmlformats.org/officeDocument/2006/relationships/hyperlink" Target="code/14-Intervals-Sweep-Line/2251-number-of-flowers-in-full-bloom.md" TargetMode="External" Id="rId817" /><Relationship Type="http://schemas.openxmlformats.org/officeDocument/2006/relationships/hyperlink" Target="https://leetcode.com/problems/maximum-length-of-pair-chain/" TargetMode="External" Id="rId818" /><Relationship Type="http://schemas.openxmlformats.org/officeDocument/2006/relationships/hyperlink" Target="https://leetcode.com/submissions/detail/1608807314/" TargetMode="External" Id="rId819" /><Relationship Type="http://schemas.openxmlformats.org/officeDocument/2006/relationships/hyperlink" Target="code/14-Intervals-Sweep-Line/0646-maximum-length-of-pair-chain.md" TargetMode="External" Id="rId820" /><Relationship Type="http://schemas.openxmlformats.org/officeDocument/2006/relationships/hyperlink" Target="https://leetcode.com/problems/number-of-provinces/" TargetMode="External" Id="rId821" /><Relationship Type="http://schemas.openxmlformats.org/officeDocument/2006/relationships/hyperlink" Target="https://leetcode.com/submissions/detail/1622466737/" TargetMode="External" Id="rId822" /><Relationship Type="http://schemas.openxmlformats.org/officeDocument/2006/relationships/hyperlink" Target="code/20-Graph-Union-Find/0547-number-of-provinces.md" TargetMode="External" Id="rId823" /><Relationship Type="http://schemas.openxmlformats.org/officeDocument/2006/relationships/hyperlink" Target="https://leetcode.com/problems/flood-fill/" TargetMode="External" Id="rId824" /><Relationship Type="http://schemas.openxmlformats.org/officeDocument/2006/relationships/hyperlink" Target="https://leetcode.com/submissions/detail/1622484431/" TargetMode="External" Id="rId825" /><Relationship Type="http://schemas.openxmlformats.org/officeDocument/2006/relationships/hyperlink" Target="code/17-Graph-Grid-BFS-DFS/0733-flood-fill.md" TargetMode="External" Id="rId826" /><Relationship Type="http://schemas.openxmlformats.org/officeDocument/2006/relationships/hyperlink" Target="https://leetcode.com/problems/clone-graph/" TargetMode="External" Id="rId827" /><Relationship Type="http://schemas.openxmlformats.org/officeDocument/2006/relationships/hyperlink" Target="https://leetcode.com/submissions/detail/1664076025/" TargetMode="External" Id="rId828" /><Relationship Type="http://schemas.openxmlformats.org/officeDocument/2006/relationships/hyperlink" Target="code/18-Graph-General-BFS-DFS/0133-clone-graph.md" TargetMode="External" Id="rId829" /><Relationship Type="http://schemas.openxmlformats.org/officeDocument/2006/relationships/table" Target="/xl/tables/table1.xml" Id="rId830" /></Relationships>
</file>

<file path=xl/worksheets/_rels/sheet3.xml.rels><Relationships xmlns="http://schemas.openxmlformats.org/package/2006/relationships"><Relationship Type="http://schemas.openxmlformats.org/officeDocument/2006/relationships/hyperlink" Target="https://leetcode.com/problems/running-sum-of-1d-array/" TargetMode="External" Id="rId1" /><Relationship Type="http://schemas.openxmlformats.org/officeDocument/2006/relationships/hyperlink" Target="https://leetcode.com/submissions/detail/910238803/" TargetMode="External" Id="rId2" /><Relationship Type="http://schemas.openxmlformats.org/officeDocument/2006/relationships/hyperlink" Target="code/04-Prefix-Sum-Difference-Array/1480-running-sum-of-1d-array.md" TargetMode="External" Id="rId3" /><Relationship Type="http://schemas.openxmlformats.org/officeDocument/2006/relationships/hyperlink" Target="https://leetcode.com/problems/find-pivot-index/" TargetMode="External" Id="rId4" /><Relationship Type="http://schemas.openxmlformats.org/officeDocument/2006/relationships/hyperlink" Target="https://leetcode.com/submissions/detail/1037856937/" TargetMode="External" Id="rId5" /><Relationship Type="http://schemas.openxmlformats.org/officeDocument/2006/relationships/hyperlink" Target="code/04-Prefix-Sum-Difference-Array/0724-find-pivot-index.md" TargetMode="External" Id="rId6" /><Relationship Type="http://schemas.openxmlformats.org/officeDocument/2006/relationships/hyperlink" Target="https://leetcode.com/problems/binary-tree-vertical-order-traversal/" TargetMode="External" Id="rId7" /><Relationship Type="http://schemas.openxmlformats.org/officeDocument/2006/relationships/hyperlink" Target="https://leetcode.com/submissions/detail/1111892126/" TargetMode="External" Id="rId8" /><Relationship Type="http://schemas.openxmlformats.org/officeDocument/2006/relationships/hyperlink" Target="code/11-Binary-Tree-BFS-Level-Order/0314-binary-tree-vertical-order-traversal.md" TargetMode="External" Id="rId9" /><Relationship Type="http://schemas.openxmlformats.org/officeDocument/2006/relationships/hyperlink" Target="https://leetcode.com/problems/merge-strings-alternately/" TargetMode="External" Id="rId10" /><Relationship Type="http://schemas.openxmlformats.org/officeDocument/2006/relationships/hyperlink" Target="https://leetcode.com/submissions/detail/1024218483/" TargetMode="External" Id="rId11" /><Relationship Type="http://schemas.openxmlformats.org/officeDocument/2006/relationships/hyperlink" Target="code/02-Two-Pointers/1768-merge-strings-alternately.md" TargetMode="External" Id="rId12" /><Relationship Type="http://schemas.openxmlformats.org/officeDocument/2006/relationships/hyperlink" Target="https://leetcode.com/problems/greatest-common-divisor-of-strings/" TargetMode="External" Id="rId13" /><Relationship Type="http://schemas.openxmlformats.org/officeDocument/2006/relationships/hyperlink" Target="https://leetcode.com/submissions/detail/1024263824/" TargetMode="External" Id="rId14" /><Relationship Type="http://schemas.openxmlformats.org/officeDocument/2006/relationships/hyperlink" Target="code/34-Math-Bit-Manipulation/1071-greatest-common-divisor-of-strings.md" TargetMode="External" Id="rId15" /><Relationship Type="http://schemas.openxmlformats.org/officeDocument/2006/relationships/hyperlink" Target="https://leetcode.com/problems/kids-with-the-greatest-number-of-candies/" TargetMode="External" Id="rId16" /><Relationship Type="http://schemas.openxmlformats.org/officeDocument/2006/relationships/hyperlink" Target="https://leetcode.com/submissions/detail/1025007443/" TargetMode="External" Id="rId17" /><Relationship Type="http://schemas.openxmlformats.org/officeDocument/2006/relationships/hyperlink" Target="code/01-Arrays-Hashing-Sorting/1431-kids-with-the-greatest-number-of-candies.md" TargetMode="External" Id="rId18" /><Relationship Type="http://schemas.openxmlformats.org/officeDocument/2006/relationships/hyperlink" Target="https://leetcode.com/problems/can-place-flowers/" TargetMode="External" Id="rId19" /><Relationship Type="http://schemas.openxmlformats.org/officeDocument/2006/relationships/hyperlink" Target="https://leetcode.com/submissions/detail/1025106754/" TargetMode="External" Id="rId20" /><Relationship Type="http://schemas.openxmlformats.org/officeDocument/2006/relationships/hyperlink" Target="code/15-Greedy/0605-can-place-flowers.md" TargetMode="External" Id="rId21" /><Relationship Type="http://schemas.openxmlformats.org/officeDocument/2006/relationships/hyperlink" Target="https://leetcode.com/problems/reverse-vowels-of-a-string/" TargetMode="External" Id="rId22" /><Relationship Type="http://schemas.openxmlformats.org/officeDocument/2006/relationships/hyperlink" Target="https://leetcode.com/submissions/detail/1025126413/" TargetMode="External" Id="rId23" /><Relationship Type="http://schemas.openxmlformats.org/officeDocument/2006/relationships/hyperlink" Target="code/02-Two-Pointers/0345-reverse-vowels-of-a-string.md" TargetMode="External" Id="rId24" /><Relationship Type="http://schemas.openxmlformats.org/officeDocument/2006/relationships/hyperlink" Target="https://leetcode.com/problems/reverse-words-in-a-string/" TargetMode="External" Id="rId25" /><Relationship Type="http://schemas.openxmlformats.org/officeDocument/2006/relationships/hyperlink" Target="https://leetcode.com/submissions/detail/1029596542/" TargetMode="External" Id="rId26" /><Relationship Type="http://schemas.openxmlformats.org/officeDocument/2006/relationships/hyperlink" Target="code/02-Two-Pointers/0151-reverse-words-in-a-string.md" TargetMode="External" Id="rId27" /><Relationship Type="http://schemas.openxmlformats.org/officeDocument/2006/relationships/hyperlink" Target="https://leetcode.com/problems/product-of-array-except-self/" TargetMode="External" Id="rId28" /><Relationship Type="http://schemas.openxmlformats.org/officeDocument/2006/relationships/hyperlink" Target="https://leetcode.com/submissions/detail/1029620534/" TargetMode="External" Id="rId29" /><Relationship Type="http://schemas.openxmlformats.org/officeDocument/2006/relationships/hyperlink" Target="code/04-Prefix-Sum-Difference-Array/0238-product-of-array-except-self.md" TargetMode="External" Id="rId30" /><Relationship Type="http://schemas.openxmlformats.org/officeDocument/2006/relationships/hyperlink" Target="https://leetcode.com/problems/increasing-triplet-subsequence/" TargetMode="External" Id="rId31" /><Relationship Type="http://schemas.openxmlformats.org/officeDocument/2006/relationships/hyperlink" Target="https://leetcode.com/submissions/detail/1029652848/" TargetMode="External" Id="rId32" /><Relationship Type="http://schemas.openxmlformats.org/officeDocument/2006/relationships/hyperlink" Target="code/15-Greedy/0334-increasing-triplet-subsequence.md" TargetMode="External" Id="rId33" /><Relationship Type="http://schemas.openxmlformats.org/officeDocument/2006/relationships/hyperlink" Target="https://leetcode.com/problems/string-compression/" TargetMode="External" Id="rId34" /><Relationship Type="http://schemas.openxmlformats.org/officeDocument/2006/relationships/hyperlink" Target="https://leetcode.com/submissions/detail/1029879136/" TargetMode="External" Id="rId35" /><Relationship Type="http://schemas.openxmlformats.org/officeDocument/2006/relationships/hyperlink" Target="code/02-Two-Pointers/0443-string-compression.md" TargetMode="External" Id="rId36" /><Relationship Type="http://schemas.openxmlformats.org/officeDocument/2006/relationships/hyperlink" Target="https://leetcode.com/problems/move-zeroes/" TargetMode="External" Id="rId37" /><Relationship Type="http://schemas.openxmlformats.org/officeDocument/2006/relationships/hyperlink" Target="https://leetcode.com/submissions/detail/1112443699/" TargetMode="External" Id="rId38" /><Relationship Type="http://schemas.openxmlformats.org/officeDocument/2006/relationships/hyperlink" Target="code/02-Two-Pointers/0283-move-zeroes.md" TargetMode="External" Id="rId39" /><Relationship Type="http://schemas.openxmlformats.org/officeDocument/2006/relationships/hyperlink" Target="https://leetcode.com/problems/is-subsequence/" TargetMode="External" Id="rId40" /><Relationship Type="http://schemas.openxmlformats.org/officeDocument/2006/relationships/hyperlink" Target="https://leetcode.com/submissions/detail/1030693648/" TargetMode="External" Id="rId41" /><Relationship Type="http://schemas.openxmlformats.org/officeDocument/2006/relationships/hyperlink" Target="code/02-Two-Pointers/0392-is-subsequence.md" TargetMode="External" Id="rId42" /><Relationship Type="http://schemas.openxmlformats.org/officeDocument/2006/relationships/hyperlink" Target="https://leetcode.com/problems/container-with-most-water/" TargetMode="External" Id="rId43" /><Relationship Type="http://schemas.openxmlformats.org/officeDocument/2006/relationships/hyperlink" Target="https://leetcode.com/submissions/detail/1030734523/" TargetMode="External" Id="rId44" /><Relationship Type="http://schemas.openxmlformats.org/officeDocument/2006/relationships/hyperlink" Target="code/02-Two-Pointers/0011-container-with-most-water.md" TargetMode="External" Id="rId45" /><Relationship Type="http://schemas.openxmlformats.org/officeDocument/2006/relationships/hyperlink" Target="https://leetcode.com/problems/max-number-of-k-sum-pairs/" TargetMode="External" Id="rId46" /><Relationship Type="http://schemas.openxmlformats.org/officeDocument/2006/relationships/hyperlink" Target="https://leetcode.com/submissions/detail/1030753639/" TargetMode="External" Id="rId47" /><Relationship Type="http://schemas.openxmlformats.org/officeDocument/2006/relationships/hyperlink" Target="code/02-Two-Pointers/1679-max-number-of-k-sum-pairs.md" TargetMode="External" Id="rId48" /><Relationship Type="http://schemas.openxmlformats.org/officeDocument/2006/relationships/hyperlink" Target="https://leetcode.com/problems/maximum-average-subarray-i/" TargetMode="External" Id="rId49" /><Relationship Type="http://schemas.openxmlformats.org/officeDocument/2006/relationships/hyperlink" Target="https://leetcode.com/submissions/detail/1101111135/" TargetMode="External" Id="rId50" /><Relationship Type="http://schemas.openxmlformats.org/officeDocument/2006/relationships/hyperlink" Target="code/03-Sliding-Window/0643-maximum-average-subarray-i.md" TargetMode="External" Id="rId51" /><Relationship Type="http://schemas.openxmlformats.org/officeDocument/2006/relationships/hyperlink" Target="https://leetcode.com/problems/maximum-number-of-vowels-in-a-substring-of-given-length/" TargetMode="External" Id="rId52" /><Relationship Type="http://schemas.openxmlformats.org/officeDocument/2006/relationships/hyperlink" Target="https://leetcode.com/submissions/detail/1031598078/" TargetMode="External" Id="rId53" /><Relationship Type="http://schemas.openxmlformats.org/officeDocument/2006/relationships/hyperlink" Target="code/03-Sliding-Window/1456-maximum-number-of-vowels-in-a-substring-of-given-length.md" TargetMode="External" Id="rId54" /><Relationship Type="http://schemas.openxmlformats.org/officeDocument/2006/relationships/hyperlink" Target="https://leetcode.com/problems/max-consecutive-ones-iii/" TargetMode="External" Id="rId55" /><Relationship Type="http://schemas.openxmlformats.org/officeDocument/2006/relationships/hyperlink" Target="https://leetcode.com/submissions/detail/1158417154/" TargetMode="External" Id="rId56" /><Relationship Type="http://schemas.openxmlformats.org/officeDocument/2006/relationships/hyperlink" Target="code/03-Sliding-Window/1004-max-consecutive-ones-iii.md" TargetMode="External" Id="rId57" /><Relationship Type="http://schemas.openxmlformats.org/officeDocument/2006/relationships/hyperlink" Target="https://leetcode.com/problems/longest-subarray-of-1s-after-deleting-one-element/" TargetMode="External" Id="rId58" /><Relationship Type="http://schemas.openxmlformats.org/officeDocument/2006/relationships/hyperlink" Target="https://leetcode.com/submissions/detail/1037751435/" TargetMode="External" Id="rId59" /><Relationship Type="http://schemas.openxmlformats.org/officeDocument/2006/relationships/hyperlink" Target="code/03-Sliding-Window/1493-longest-subarray-of-1s-after-deleting-one-element.md" TargetMode="External" Id="rId60" /><Relationship Type="http://schemas.openxmlformats.org/officeDocument/2006/relationships/hyperlink" Target="https://leetcode.com/problems/find-the-highest-altitude/" TargetMode="External" Id="rId61" /><Relationship Type="http://schemas.openxmlformats.org/officeDocument/2006/relationships/hyperlink" Target="https://leetcode.com/submissions/detail/1037851819/" TargetMode="External" Id="rId62" /><Relationship Type="http://schemas.openxmlformats.org/officeDocument/2006/relationships/hyperlink" Target="code/04-Prefix-Sum-Difference-Array/1732-find-the-highest-altitude.md" TargetMode="External" Id="rId63" /><Relationship Type="http://schemas.openxmlformats.org/officeDocument/2006/relationships/hyperlink" Target="https://leetcode.com/problems/find-the-difference-of-two-arrays/" TargetMode="External" Id="rId64" /><Relationship Type="http://schemas.openxmlformats.org/officeDocument/2006/relationships/hyperlink" Target="https://leetcode.com/submissions/detail/1043842772/" TargetMode="External" Id="rId65" /><Relationship Type="http://schemas.openxmlformats.org/officeDocument/2006/relationships/hyperlink" Target="code/01-Arrays-Hashing-Sorting/2215-find-the-difference-of-two-arrays.md" TargetMode="External" Id="rId66" /><Relationship Type="http://schemas.openxmlformats.org/officeDocument/2006/relationships/hyperlink" Target="https://leetcode.com/problems/unique-number-of-occurrences/" TargetMode="External" Id="rId67" /><Relationship Type="http://schemas.openxmlformats.org/officeDocument/2006/relationships/hyperlink" Target="https://leetcode.com/submissions/detail/1044102868/" TargetMode="External" Id="rId68" /><Relationship Type="http://schemas.openxmlformats.org/officeDocument/2006/relationships/hyperlink" Target="code/01-Arrays-Hashing-Sorting/1207-unique-number-of-occurrences.md" TargetMode="External" Id="rId69" /><Relationship Type="http://schemas.openxmlformats.org/officeDocument/2006/relationships/hyperlink" Target="https://leetcode.com/problems/equal-row-and-column-pairs/" TargetMode="External" Id="rId70" /><Relationship Type="http://schemas.openxmlformats.org/officeDocument/2006/relationships/hyperlink" Target="https://leetcode.com/submissions/detail/1044163612/" TargetMode="External" Id="rId71" /><Relationship Type="http://schemas.openxmlformats.org/officeDocument/2006/relationships/hyperlink" Target="code/01-Arrays-Hashing-Sorting/2352-equal-row-and-column-pairs.md" TargetMode="External" Id="rId72" /><Relationship Type="http://schemas.openxmlformats.org/officeDocument/2006/relationships/hyperlink" Target="https://leetcode.com/problems/removing-stars-from-a-string/" TargetMode="External" Id="rId73" /><Relationship Type="http://schemas.openxmlformats.org/officeDocument/2006/relationships/hyperlink" Target="https://leetcode.com/submissions/detail/1047537156/" TargetMode="External" Id="rId74" /><Relationship Type="http://schemas.openxmlformats.org/officeDocument/2006/relationships/hyperlink" Target="code/07-Stack/2390-removing-stars-from-a-string.md" TargetMode="External" Id="rId75" /><Relationship Type="http://schemas.openxmlformats.org/officeDocument/2006/relationships/hyperlink" Target="https://leetcode.com/problems/asteroid-collision/" TargetMode="External" Id="rId76" /><Relationship Type="http://schemas.openxmlformats.org/officeDocument/2006/relationships/hyperlink" Target="https://leetcode.com/submissions/detail/1047569035/" TargetMode="External" Id="rId77" /><Relationship Type="http://schemas.openxmlformats.org/officeDocument/2006/relationships/hyperlink" Target="code/07-Stack/0735-asteroid-collision.md" TargetMode="External" Id="rId78" /><Relationship Type="http://schemas.openxmlformats.org/officeDocument/2006/relationships/hyperlink" Target="https://leetcode.com/problems/decode-string/" TargetMode="External" Id="rId79" /><Relationship Type="http://schemas.openxmlformats.org/officeDocument/2006/relationships/hyperlink" Target="https://leetcode.com/submissions/detail/1047748694/" TargetMode="External" Id="rId80" /><Relationship Type="http://schemas.openxmlformats.org/officeDocument/2006/relationships/hyperlink" Target="code/07-Stack/0394-decode-string.md" TargetMode="External" Id="rId81" /><Relationship Type="http://schemas.openxmlformats.org/officeDocument/2006/relationships/hyperlink" Target="https://leetcode.com/problems/number-of-recent-calls/" TargetMode="External" Id="rId82" /><Relationship Type="http://schemas.openxmlformats.org/officeDocument/2006/relationships/hyperlink" Target="https://leetcode.com/submissions/detail/1047767716/" TargetMode="External" Id="rId83" /><Relationship Type="http://schemas.openxmlformats.org/officeDocument/2006/relationships/hyperlink" Target="code/32-Design/0933-number-of-recent-calls.md" TargetMode="External" Id="rId84" /><Relationship Type="http://schemas.openxmlformats.org/officeDocument/2006/relationships/hyperlink" Target="https://leetcode.com/problems/valid-word-abbreviation/" TargetMode="External" Id="rId85" /><Relationship Type="http://schemas.openxmlformats.org/officeDocument/2006/relationships/hyperlink" Target="https://leetcode.com/submissions/detail/1144355158/" TargetMode="External" Id="rId86" /><Relationship Type="http://schemas.openxmlformats.org/officeDocument/2006/relationships/hyperlink" Target="code/02-Two-Pointers/0408-valid-word-abbreviation.md" TargetMode="External" Id="rId87" /><Relationship Type="http://schemas.openxmlformats.org/officeDocument/2006/relationships/hyperlink" Target="https://leetcode.com/problems/nested-list-weight-sum/" TargetMode="External" Id="rId88" /><Relationship Type="http://schemas.openxmlformats.org/officeDocument/2006/relationships/hyperlink" Target="https://leetcode.com/submissions/detail/1111957079/" TargetMode="External" Id="rId89" /><Relationship Type="http://schemas.openxmlformats.org/officeDocument/2006/relationships/hyperlink" Target="code/10-Binary-Tree-DFS-Recursion/0339-nested-list-weight-sum.md" TargetMode="External" Id="rId90" /><Relationship Type="http://schemas.openxmlformats.org/officeDocument/2006/relationships/hyperlink" Target="https://leetcode.com/problems/making-a-large-island/" TargetMode="External" Id="rId91" /><Relationship Type="http://schemas.openxmlformats.org/officeDocument/2006/relationships/hyperlink" Target="https://leetcode.com/submissions/detail/1167335012/" TargetMode="External" Id="rId92" /><Relationship Type="http://schemas.openxmlformats.org/officeDocument/2006/relationships/hyperlink" Target="code/17-Graph-Grid-BFS-DFS/0827-making-a-large-island.md" TargetMode="External" Id="rId93" /><Relationship Type="http://schemas.openxmlformats.org/officeDocument/2006/relationships/hyperlink" Target="https://leetcode.com/problems/minimum-add-to-make-parentheses-valid/" TargetMode="External" Id="rId94" /><Relationship Type="http://schemas.openxmlformats.org/officeDocument/2006/relationships/hyperlink" Target="https://leetcode.com/submissions/detail/1112386888/" TargetMode="External" Id="rId95" /><Relationship Type="http://schemas.openxmlformats.org/officeDocument/2006/relationships/hyperlink" Target="code/15-Greedy/0921-minimum-add-to-make-parentheses-valid.md" TargetMode="External" Id="rId96" /><Relationship Type="http://schemas.openxmlformats.org/officeDocument/2006/relationships/hyperlink" Target="https://leetcode.com/problems/toeplitz-matrix/" TargetMode="External" Id="rId97" /><Relationship Type="http://schemas.openxmlformats.org/officeDocument/2006/relationships/hyperlink" Target="https://leetcode.com/submissions/detail/1112372456/" TargetMode="External" Id="rId98" /><Relationship Type="http://schemas.openxmlformats.org/officeDocument/2006/relationships/hyperlink" Target="code/35-Strings-Simulation/0766-toeplitz-matrix.md" TargetMode="External" Id="rId99" /><Relationship Type="http://schemas.openxmlformats.org/officeDocument/2006/relationships/hyperlink" Target="https://leetcode.com/problems/binary-tree-right-side-view/" TargetMode="External" Id="rId100" /><Relationship Type="http://schemas.openxmlformats.org/officeDocument/2006/relationships/hyperlink" Target="https://leetcode.com/submissions/detail/1152935407/" TargetMode="External" Id="rId101" /><Relationship Type="http://schemas.openxmlformats.org/officeDocument/2006/relationships/hyperlink" Target="code/11-Binary-Tree-BFS-Level-Order/0199-binary-tree-right-side-view.md" TargetMode="External" Id="rId102" /><Relationship Type="http://schemas.openxmlformats.org/officeDocument/2006/relationships/hyperlink" Target="https://leetcode.com/problems/merge-sorted-array/" TargetMode="External" Id="rId103" /><Relationship Type="http://schemas.openxmlformats.org/officeDocument/2006/relationships/hyperlink" Target="https://leetcode.com/submissions/detail/1112489517/" TargetMode="External" Id="rId104" /><Relationship Type="http://schemas.openxmlformats.org/officeDocument/2006/relationships/hyperlink" Target="code/02-Two-Pointers/0088-merge-sorted-array.md" TargetMode="External" Id="rId105" /><Relationship Type="http://schemas.openxmlformats.org/officeDocument/2006/relationships/hyperlink" Target="https://leetcode.com/problems/valid-palindrome/" TargetMode="External" Id="rId106" /><Relationship Type="http://schemas.openxmlformats.org/officeDocument/2006/relationships/hyperlink" Target="https://leetcode.com/submissions/detail/1165501847/" TargetMode="External" Id="rId107" /><Relationship Type="http://schemas.openxmlformats.org/officeDocument/2006/relationships/hyperlink" Target="code/02-Two-Pointers/0125-valid-palindrome.md" TargetMode="External" Id="rId108" /><Relationship Type="http://schemas.openxmlformats.org/officeDocument/2006/relationships/hyperlink" Target="https://leetcode.com/problems/maximum-swap/" TargetMode="External" Id="rId109" /><Relationship Type="http://schemas.openxmlformats.org/officeDocument/2006/relationships/hyperlink" Target="https://leetcode.com/submissions/detail/1164268995/" TargetMode="External" Id="rId110" /><Relationship Type="http://schemas.openxmlformats.org/officeDocument/2006/relationships/hyperlink" Target="code/15-Greedy/0670-maximum-swap.md" TargetMode="External" Id="rId111" /><Relationship Type="http://schemas.openxmlformats.org/officeDocument/2006/relationships/hyperlink" Target="https://leetcode.com/problems/interval-list-intersections/" TargetMode="External" Id="rId112" /><Relationship Type="http://schemas.openxmlformats.org/officeDocument/2006/relationships/hyperlink" Target="https://leetcode.com/submissions/detail/1170940559/" TargetMode="External" Id="rId113" /><Relationship Type="http://schemas.openxmlformats.org/officeDocument/2006/relationships/hyperlink" Target="code/14-Intervals-Sweep-Line/0986-interval-list-intersections.md" TargetMode="External" Id="rId114" /><Relationship Type="http://schemas.openxmlformats.org/officeDocument/2006/relationships/hyperlink" Target="https://leetcode.com/problems/best-meeting-point/" TargetMode="External" Id="rId115" /><Relationship Type="http://schemas.openxmlformats.org/officeDocument/2006/relationships/hyperlink" Target="https://leetcode.com/submissions/detail/1112468782/" TargetMode="External" Id="rId116" /><Relationship Type="http://schemas.openxmlformats.org/officeDocument/2006/relationships/hyperlink" Target="code/34-Math-Bit-Manipulation/0296-best-meeting-point.md" TargetMode="External" Id="rId117" /><Relationship Type="http://schemas.openxmlformats.org/officeDocument/2006/relationships/hyperlink" Target="https://leetcode.com/problems/sliding-window-median/" TargetMode="External" Id="rId118" /><Relationship Type="http://schemas.openxmlformats.org/officeDocument/2006/relationships/hyperlink" Target="https://leetcode.com/submissions/detail/1157053663/" TargetMode="External" Id="rId119" /><Relationship Type="http://schemas.openxmlformats.org/officeDocument/2006/relationships/hyperlink" Target="code/13-Heap-Top-K/0480-sliding-window-median.md" TargetMode="External" Id="rId120" /><Relationship Type="http://schemas.openxmlformats.org/officeDocument/2006/relationships/hyperlink" Target="https://leetcode.com/problems/contains-duplicate/" TargetMode="External" Id="rId121" /><Relationship Type="http://schemas.openxmlformats.org/officeDocument/2006/relationships/hyperlink" Target="code/01-Arrays-Hashing-Sorting/0217-contains-duplicate.md" TargetMode="External" Id="rId122" /><Relationship Type="http://schemas.openxmlformats.org/officeDocument/2006/relationships/hyperlink" Target="https://leetcode.com/problems/contains-duplicate-ii/" TargetMode="External" Id="rId123" /><Relationship Type="http://schemas.openxmlformats.org/officeDocument/2006/relationships/hyperlink" Target="https://leetcode.com/submissions/detail/1101040393/" TargetMode="External" Id="rId124" /><Relationship Type="http://schemas.openxmlformats.org/officeDocument/2006/relationships/hyperlink" Target="code/03-Sliding-Window/0219-contains-duplicate-ii.md" TargetMode="External" Id="rId125" /><Relationship Type="http://schemas.openxmlformats.org/officeDocument/2006/relationships/hyperlink" Target="https://leetcode.com/problems/top-k-frequent-elements/" TargetMode="External" Id="rId126" /><Relationship Type="http://schemas.openxmlformats.org/officeDocument/2006/relationships/hyperlink" Target="https://leetcode.com/submissions/detail/1146455372/" TargetMode="External" Id="rId127" /><Relationship Type="http://schemas.openxmlformats.org/officeDocument/2006/relationships/hyperlink" Target="code/13-Heap-Top-K/0347-top-k-frequent-elements.md" TargetMode="External" Id="rId128" /><Relationship Type="http://schemas.openxmlformats.org/officeDocument/2006/relationships/hyperlink" Target="https://leetcode.com/problems/the-maze/" TargetMode="External" Id="rId129" /><Relationship Type="http://schemas.openxmlformats.org/officeDocument/2006/relationships/hyperlink" Target="https://leetcode.com/submissions/detail/1102138705/" TargetMode="External" Id="rId130" /><Relationship Type="http://schemas.openxmlformats.org/officeDocument/2006/relationships/hyperlink" Target="code/17-Graph-Grid-BFS-DFS/0490-the-maze.md" TargetMode="External" Id="rId131" /><Relationship Type="http://schemas.openxmlformats.org/officeDocument/2006/relationships/hyperlink" Target="https://leetcode.com/problems/capacity-to-ship-packages-within-d-days/" TargetMode="External" Id="rId132" /><Relationship Type="http://schemas.openxmlformats.org/officeDocument/2006/relationships/hyperlink" Target="https://leetcode.com/submissions/detail/1107477954/" TargetMode="External" Id="rId133" /><Relationship Type="http://schemas.openxmlformats.org/officeDocument/2006/relationships/hyperlink" Target="code/06-Binary-Search-on-Answer/1011-capacity-to-ship-packages-within-d-days.md" TargetMode="External" Id="rId134" /><Relationship Type="http://schemas.openxmlformats.org/officeDocument/2006/relationships/hyperlink" Target="https://leetcode.com/problems/kth-largest-element-in-an-array/" TargetMode="External" Id="rId135" /><Relationship Type="http://schemas.openxmlformats.org/officeDocument/2006/relationships/hyperlink" Target="https://leetcode.com/submissions/detail/1360851507/" TargetMode="External" Id="rId136" /><Relationship Type="http://schemas.openxmlformats.org/officeDocument/2006/relationships/hyperlink" Target="code/13-Heap-Top-K/0215-kth-largest-element-in-an-array.md" TargetMode="External" Id="rId137" /><Relationship Type="http://schemas.openxmlformats.org/officeDocument/2006/relationships/hyperlink" Target="https://leetcode.com/problems/minimum-remove-to-make-valid-parentheses/" TargetMode="External" Id="rId138" /><Relationship Type="http://schemas.openxmlformats.org/officeDocument/2006/relationships/hyperlink" Target="https://leetcode.com/submissions/detail/1699732158/" TargetMode="External" Id="rId139" /><Relationship Type="http://schemas.openxmlformats.org/officeDocument/2006/relationships/hyperlink" Target="code/07-Stack/1249-minimum-remove-to-make-valid-parentheses.md" TargetMode="External" Id="rId140" /><Relationship Type="http://schemas.openxmlformats.org/officeDocument/2006/relationships/hyperlink" Target="https://leetcode.com/problems/lowest-common-ancestor-of-a-binary-tree-iii/" TargetMode="External" Id="rId141" /><Relationship Type="http://schemas.openxmlformats.org/officeDocument/2006/relationships/hyperlink" Target="https://leetcode.com/submissions/detail/1144374104/" TargetMode="External" Id="rId142" /><Relationship Type="http://schemas.openxmlformats.org/officeDocument/2006/relationships/hyperlink" Target="code/10-Binary-Tree-DFS-Recursion/1650-lowest-common-ancestor-of-a-binary-tree-iii.md" TargetMode="External" Id="rId143" /><Relationship Type="http://schemas.openxmlformats.org/officeDocument/2006/relationships/hyperlink" Target="https://leetcode.com/problems/add-strings/" TargetMode="External" Id="rId144" /><Relationship Type="http://schemas.openxmlformats.org/officeDocument/2006/relationships/hyperlink" Target="https://leetcode.com/submissions/detail/1152910148/" TargetMode="External" Id="rId145" /><Relationship Type="http://schemas.openxmlformats.org/officeDocument/2006/relationships/hyperlink" Target="code/35-Strings-Simulation/0415-add-strings.md" TargetMode="External" Id="rId146" /><Relationship Type="http://schemas.openxmlformats.org/officeDocument/2006/relationships/hyperlink" Target="https://leetcode.com/problems/add-binary/" TargetMode="External" Id="rId147" /><Relationship Type="http://schemas.openxmlformats.org/officeDocument/2006/relationships/hyperlink" Target="https://leetcode.com/submissions/detail/1103721779/" TargetMode="External" Id="rId148" /><Relationship Type="http://schemas.openxmlformats.org/officeDocument/2006/relationships/hyperlink" Target="code/35-Strings-Simulation/0067-add-binary.md" TargetMode="External" Id="rId149" /><Relationship Type="http://schemas.openxmlformats.org/officeDocument/2006/relationships/hyperlink" Target="https://leetcode.com/problems/insert-into-a-sorted-circular-linked-list/" TargetMode="External" Id="rId150" /><Relationship Type="http://schemas.openxmlformats.org/officeDocument/2006/relationships/hyperlink" Target="https://leetcode.com/submissions/detail/1132452299/" TargetMode="External" Id="rId151" /><Relationship Type="http://schemas.openxmlformats.org/officeDocument/2006/relationships/hyperlink" Target="code/09-Linked-List/0708-insert-into-a-sorted-circular-linked-list.md" TargetMode="External" Id="rId152" /><Relationship Type="http://schemas.openxmlformats.org/officeDocument/2006/relationships/hyperlink" Target="https://leetcode.com/problems/convert-binary-search-tree-to-sorted-doubly-linked-list/" TargetMode="External" Id="rId153" /><Relationship Type="http://schemas.openxmlformats.org/officeDocument/2006/relationships/hyperlink" Target="https://leetcode.com/submissions/detail/1144582411/" TargetMode="External" Id="rId154" /><Relationship Type="http://schemas.openxmlformats.org/officeDocument/2006/relationships/hyperlink" Target="code/12-Binary-Search-Tree/0426-convert-binary-search-tree-to-sorted-doubly-linked-list.md" TargetMode="External" Id="rId155" /><Relationship Type="http://schemas.openxmlformats.org/officeDocument/2006/relationships/hyperlink" Target="https://leetcode.com/problems/valid-number/" TargetMode="External" Id="rId156" /><Relationship Type="http://schemas.openxmlformats.org/officeDocument/2006/relationships/hyperlink" Target="https://leetcode.com/submissions/detail/1170890636/" TargetMode="External" Id="rId157" /><Relationship Type="http://schemas.openxmlformats.org/officeDocument/2006/relationships/hyperlink" Target="code/35-Strings-Simulation/0065-valid-number.md" TargetMode="External" Id="rId158" /><Relationship Type="http://schemas.openxmlformats.org/officeDocument/2006/relationships/hyperlink" Target="https://leetcode.com/problems/simplify-path/" TargetMode="External" Id="rId159" /><Relationship Type="http://schemas.openxmlformats.org/officeDocument/2006/relationships/hyperlink" Target="https://leetcode.com/submissions/detail/1111972681/" TargetMode="External" Id="rId160" /><Relationship Type="http://schemas.openxmlformats.org/officeDocument/2006/relationships/hyperlink" Target="code/07-Stack/0071-simplify-path.md" TargetMode="External" Id="rId161" /><Relationship Type="http://schemas.openxmlformats.org/officeDocument/2006/relationships/hyperlink" Target="https://leetcode.com/problems/3sum-smaller/" TargetMode="External" Id="rId162" /><Relationship Type="http://schemas.openxmlformats.org/officeDocument/2006/relationships/hyperlink" Target="https://leetcode.com/submissions/detail/1104557842/" TargetMode="External" Id="rId163" /><Relationship Type="http://schemas.openxmlformats.org/officeDocument/2006/relationships/hyperlink" Target="code/02-Two-Pointers/0259-3sum-smaller.md" TargetMode="External" Id="rId164" /><Relationship Type="http://schemas.openxmlformats.org/officeDocument/2006/relationships/hyperlink" Target="https://leetcode.com/problems/buildings-with-an-ocean-view/" TargetMode="External" Id="rId165" /><Relationship Type="http://schemas.openxmlformats.org/officeDocument/2006/relationships/hyperlink" Target="https://leetcode.com/submissions/detail/1111935541/" TargetMode="External" Id="rId166" /><Relationship Type="http://schemas.openxmlformats.org/officeDocument/2006/relationships/hyperlink" Target="code/08-Monotonic-Stack-Deque/1762-buildings-with-an-ocean-view.md" TargetMode="External" Id="rId167" /><Relationship Type="http://schemas.openxmlformats.org/officeDocument/2006/relationships/hyperlink" Target="https://leetcode.com/problems/continuous-subarray-sum/" TargetMode="External" Id="rId168" /><Relationship Type="http://schemas.openxmlformats.org/officeDocument/2006/relationships/hyperlink" Target="https://leetcode.com/submissions/detail/1158721195/" TargetMode="External" Id="rId169" /><Relationship Type="http://schemas.openxmlformats.org/officeDocument/2006/relationships/hyperlink" Target="code/04-Prefix-Sum-Difference-Array/0523-continuous-subarray-sum.md" TargetMode="External" Id="rId170" /><Relationship Type="http://schemas.openxmlformats.org/officeDocument/2006/relationships/hyperlink" Target="https://leetcode.com/problems/design-tic-tac-toe/" TargetMode="External" Id="rId171" /><Relationship Type="http://schemas.openxmlformats.org/officeDocument/2006/relationships/hyperlink" Target="https://leetcode.com/submissions/detail/1127706827/" TargetMode="External" Id="rId172" /><Relationship Type="http://schemas.openxmlformats.org/officeDocument/2006/relationships/hyperlink" Target="code/32-Design/0348-design-tic-tac-toe.md" TargetMode="External" Id="rId173" /><Relationship Type="http://schemas.openxmlformats.org/officeDocument/2006/relationships/hyperlink" Target="https://leetcode.com/problems/random-pick-index/" TargetMode="External" Id="rId174" /><Relationship Type="http://schemas.openxmlformats.org/officeDocument/2006/relationships/hyperlink" Target="code/34-Math-Bit-Manipulation/0398-random-pick-index.md" TargetMode="External" Id="rId175" /><Relationship Type="http://schemas.openxmlformats.org/officeDocument/2006/relationships/hyperlink" Target="https://leetcode.com/problems/shortest-distance-from-all-buildings/" TargetMode="External" Id="rId176" /><Relationship Type="http://schemas.openxmlformats.org/officeDocument/2006/relationships/hyperlink" Target="https://leetcode.com/submissions/detail/1111111437/" TargetMode="External" Id="rId177" /><Relationship Type="http://schemas.openxmlformats.org/officeDocument/2006/relationships/hyperlink" Target="code/17-Graph-Grid-BFS-DFS/0317-shortest-distance-from-all-buildings.md" TargetMode="External" Id="rId178" /><Relationship Type="http://schemas.openxmlformats.org/officeDocument/2006/relationships/hyperlink" Target="https://leetcode.com/problems/diagonal-traverse/" TargetMode="External" Id="rId179" /><Relationship Type="http://schemas.openxmlformats.org/officeDocument/2006/relationships/hyperlink" Target="https://leetcode.com/submissions/detail/1112438365/" TargetMode="External" Id="rId180" /><Relationship Type="http://schemas.openxmlformats.org/officeDocument/2006/relationships/hyperlink" Target="code/35-Strings-Simulation/0498-diagonal-traverse.md" TargetMode="External" Id="rId181" /><Relationship Type="http://schemas.openxmlformats.org/officeDocument/2006/relationships/hyperlink" Target="https://leetcode.com/problems/verifying-an-alien-dictionary/" TargetMode="External" Id="rId182" /><Relationship Type="http://schemas.openxmlformats.org/officeDocument/2006/relationships/hyperlink" Target="https://leetcode.com/submissions/detail/1156830185/" TargetMode="External" Id="rId183" /><Relationship Type="http://schemas.openxmlformats.org/officeDocument/2006/relationships/hyperlink" Target="code/01-Arrays-Hashing-Sorting/0953-verifying-an-alien-dictionary.md" TargetMode="External" Id="rId184" /><Relationship Type="http://schemas.openxmlformats.org/officeDocument/2006/relationships/hyperlink" Target="https://leetcode.com/problems/cutting-ribbons/" TargetMode="External" Id="rId185" /><Relationship Type="http://schemas.openxmlformats.org/officeDocument/2006/relationships/hyperlink" Target="https://leetcode.com/submissions/detail/1107532903/" TargetMode="External" Id="rId186" /><Relationship Type="http://schemas.openxmlformats.org/officeDocument/2006/relationships/hyperlink" Target="code/06-Binary-Search-on-Answer/1891-cutting-ribbons.md" TargetMode="External" Id="rId187" /><Relationship Type="http://schemas.openxmlformats.org/officeDocument/2006/relationships/hyperlink" Target="https://leetcode.com/problems/minimum-insertions-to-balance-a-parentheses-string/" TargetMode="External" Id="rId188" /><Relationship Type="http://schemas.openxmlformats.org/officeDocument/2006/relationships/hyperlink" Target="https://leetcode.com/submissions/detail/1107805104/" TargetMode="External" Id="rId189" /><Relationship Type="http://schemas.openxmlformats.org/officeDocument/2006/relationships/hyperlink" Target="code/15-Greedy/1541-minimum-insertions-to-balance-a-parentheses-string.md" TargetMode="External" Id="rId190" /><Relationship Type="http://schemas.openxmlformats.org/officeDocument/2006/relationships/hyperlink" Target="https://leetcode.com/problems/valid-palindrome-iii/" TargetMode="External" Id="rId191" /><Relationship Type="http://schemas.openxmlformats.org/officeDocument/2006/relationships/hyperlink" Target="https://leetcode.com/submissions/detail/1112482609/" TargetMode="External" Id="rId192" /><Relationship Type="http://schemas.openxmlformats.org/officeDocument/2006/relationships/hyperlink" Target="code/25-DP-Strings-LCS-Edit-Matching/1216-valid-palindrome-iii.md" TargetMode="External" Id="rId193" /><Relationship Type="http://schemas.openxmlformats.org/officeDocument/2006/relationships/hyperlink" Target="https://leetcode.com/problems/range-sum-query-2d-immutable/" TargetMode="External" Id="rId194" /><Relationship Type="http://schemas.openxmlformats.org/officeDocument/2006/relationships/hyperlink" Target="code/04-Prefix-Sum-Difference-Array/0304-range-sum-query-2d-immutable.md" TargetMode="External" Id="rId195" /><Relationship Type="http://schemas.openxmlformats.org/officeDocument/2006/relationships/hyperlink" Target="https://leetcode.com/problems/find-median-from-data-stream/" TargetMode="External" Id="rId196" /><Relationship Type="http://schemas.openxmlformats.org/officeDocument/2006/relationships/hyperlink" Target="https://leetcode.com/submissions/detail/1171872574/" TargetMode="External" Id="rId197" /><Relationship Type="http://schemas.openxmlformats.org/officeDocument/2006/relationships/hyperlink" Target="code/13-Heap-Top-K/0295-find-median-from-data-stream.md" TargetMode="External" Id="rId198" /><Relationship Type="http://schemas.openxmlformats.org/officeDocument/2006/relationships/hyperlink" Target="https://leetcode.com/problems/maximum-subarray-sum-with-one-deletion/" TargetMode="External" Id="rId199" /><Relationship Type="http://schemas.openxmlformats.org/officeDocument/2006/relationships/hyperlink" Target="https://leetcode.com/submissions/detail/1171581598/" TargetMode="External" Id="rId200" /><Relationship Type="http://schemas.openxmlformats.org/officeDocument/2006/relationships/hyperlink" Target="code/22-DP-1D-Linear/1186-maximum-subarray-sum-with-one-deletion.md" TargetMode="External" Id="rId201" /><Relationship Type="http://schemas.openxmlformats.org/officeDocument/2006/relationships/hyperlink" Target="https://leetcode.com/problems/dot-product-of-two-sparse-vectors/" TargetMode="External" Id="rId202" /><Relationship Type="http://schemas.openxmlformats.org/officeDocument/2006/relationships/hyperlink" Target="https://leetcode.com/submissions/detail/1109825198/" TargetMode="External" Id="rId203" /><Relationship Type="http://schemas.openxmlformats.org/officeDocument/2006/relationships/hyperlink" Target="code/32-Design/1570-dot-product-of-two-sparse-vectors.md" TargetMode="External" Id="rId204" /><Relationship Type="http://schemas.openxmlformats.org/officeDocument/2006/relationships/hyperlink" Target="https://leetcode.com/problems/group-shifted-strings/" TargetMode="External" Id="rId205" /><Relationship Type="http://schemas.openxmlformats.org/officeDocument/2006/relationships/hyperlink" Target="https://leetcode.com/submissions/detail/1112242328/" TargetMode="External" Id="rId206" /><Relationship Type="http://schemas.openxmlformats.org/officeDocument/2006/relationships/hyperlink" Target="code/01-Arrays-Hashing-Sorting/0249-group-shifted-strings.md" TargetMode="External" Id="rId207" /><Relationship Type="http://schemas.openxmlformats.org/officeDocument/2006/relationships/hyperlink" Target="https://leetcode.com/problems/friends-of-appropriate-ages/" TargetMode="External" Id="rId208" /><Relationship Type="http://schemas.openxmlformats.org/officeDocument/2006/relationships/hyperlink" Target="https://leetcode.com/submissions/detail/1156696705/" TargetMode="External" Id="rId209" /><Relationship Type="http://schemas.openxmlformats.org/officeDocument/2006/relationships/hyperlink" Target="code/01-Arrays-Hashing-Sorting/0825-friends-of-appropriate-ages.md" TargetMode="External" Id="rId210" /><Relationship Type="http://schemas.openxmlformats.org/officeDocument/2006/relationships/hyperlink" Target="https://leetcode.com/problems/custom-sort-string/" TargetMode="External" Id="rId211" /><Relationship Type="http://schemas.openxmlformats.org/officeDocument/2006/relationships/hyperlink" Target="https://leetcode.com/submissions/detail/1165073106/" TargetMode="External" Id="rId212" /><Relationship Type="http://schemas.openxmlformats.org/officeDocument/2006/relationships/hyperlink" Target="code/01-Arrays-Hashing-Sorting/0791-custom-sort-string.md" TargetMode="External" Id="rId213" /><Relationship Type="http://schemas.openxmlformats.org/officeDocument/2006/relationships/hyperlink" Target="https://leetcode.com/problems/stickers-to-spell-word/" TargetMode="External" Id="rId214" /><Relationship Type="http://schemas.openxmlformats.org/officeDocument/2006/relationships/hyperlink" Target="https://leetcode.com/submissions/detail/1164265403/" TargetMode="External" Id="rId215" /><Relationship Type="http://schemas.openxmlformats.org/officeDocument/2006/relationships/hyperlink" Target="code/30-DP-Bitmask/0691-stickers-to-spell-word.md" TargetMode="External" Id="rId216" /><Relationship Type="http://schemas.openxmlformats.org/officeDocument/2006/relationships/hyperlink" Target="https://leetcode.com/problems/expression-add-operators/" TargetMode="External" Id="rId217" /><Relationship Type="http://schemas.openxmlformats.org/officeDocument/2006/relationships/hyperlink" Target="https://leetcode.com/submissions/detail/1131582212/" TargetMode="External" Id="rId218" /><Relationship Type="http://schemas.openxmlformats.org/officeDocument/2006/relationships/hyperlink" Target="code/16-Backtracking/0282-expression-add-operators.md" TargetMode="External" Id="rId219" /><Relationship Type="http://schemas.openxmlformats.org/officeDocument/2006/relationships/hyperlink" Target="https://leetcode.com/problems/count-and-say/" TargetMode="External" Id="rId220" /><Relationship Type="http://schemas.openxmlformats.org/officeDocument/2006/relationships/hyperlink" Target="https://leetcode.com/submissions/detail/1134094340/" TargetMode="External" Id="rId221" /><Relationship Type="http://schemas.openxmlformats.org/officeDocument/2006/relationships/hyperlink" Target="code/35-Strings-Simulation/0038-count-and-say.md" TargetMode="External" Id="rId222" /><Relationship Type="http://schemas.openxmlformats.org/officeDocument/2006/relationships/hyperlink" Target="https://leetcode.com/problems/diagonal-traverse-ii/" TargetMode="External" Id="rId223" /><Relationship Type="http://schemas.openxmlformats.org/officeDocument/2006/relationships/hyperlink" Target="https://leetcode.com/submissions/detail/1157919798/" TargetMode="External" Id="rId224" /><Relationship Type="http://schemas.openxmlformats.org/officeDocument/2006/relationships/hyperlink" Target="code/01-Arrays-Hashing-Sorting/1424-diagonal-traverse-ii.md" TargetMode="External" Id="rId225" /><Relationship Type="http://schemas.openxmlformats.org/officeDocument/2006/relationships/hyperlink" Target="https://leetcode.com/problems/diameter-of-n-ary-tree/" TargetMode="External" Id="rId226" /><Relationship Type="http://schemas.openxmlformats.org/officeDocument/2006/relationships/hyperlink" Target="https://leetcode.com/submissions/detail/1117330803/" TargetMode="External" Id="rId227" /><Relationship Type="http://schemas.openxmlformats.org/officeDocument/2006/relationships/hyperlink" Target="code/29-DP-On-Trees/1522-diameter-of-n-ary-tree.md" TargetMode="External" Id="rId228" /><Relationship Type="http://schemas.openxmlformats.org/officeDocument/2006/relationships/hyperlink" Target="https://leetcode.com/problems/missing-element-in-sorted-array/" TargetMode="External" Id="rId229" /><Relationship Type="http://schemas.openxmlformats.org/officeDocument/2006/relationships/hyperlink" Target="https://leetcode.com/submissions/detail/1155179452/" TargetMode="External" Id="rId230" /><Relationship Type="http://schemas.openxmlformats.org/officeDocument/2006/relationships/hyperlink" Target="code/05-Binary-Search/1060-missing-element-in-sorted-array.md" TargetMode="External" Id="rId231" /><Relationship Type="http://schemas.openxmlformats.org/officeDocument/2006/relationships/hyperlink" Target="https://leetcode.com/problems/remove-all-adjacent-duplicates-in-string-ii/" TargetMode="External" Id="rId232" /><Relationship Type="http://schemas.openxmlformats.org/officeDocument/2006/relationships/hyperlink" Target="https://leetcode.com/submissions/detail/1117569269/" TargetMode="External" Id="rId233" /><Relationship Type="http://schemas.openxmlformats.org/officeDocument/2006/relationships/hyperlink" Target="code/07-Stack/1209-remove-all-adjacent-duplicates-in-string-ii.md" TargetMode="External" Id="rId234" /><Relationship Type="http://schemas.openxmlformats.org/officeDocument/2006/relationships/hyperlink" Target="https://leetcode.com/problems/diameter-of-binary-tree/" TargetMode="External" Id="rId235" /><Relationship Type="http://schemas.openxmlformats.org/officeDocument/2006/relationships/hyperlink" Target="https://leetcode.com/submissions/detail/1165187633/" TargetMode="External" Id="rId236" /><Relationship Type="http://schemas.openxmlformats.org/officeDocument/2006/relationships/hyperlink" Target="code/29-DP-On-Trees/0543-diameter-of-binary-tree.md" TargetMode="External" Id="rId237" /><Relationship Type="http://schemas.openxmlformats.org/officeDocument/2006/relationships/hyperlink" Target="https://leetcode.com/problems/binary-search-tree-iterator/" TargetMode="External" Id="rId238" /><Relationship Type="http://schemas.openxmlformats.org/officeDocument/2006/relationships/hyperlink" Target="https://leetcode.com/submissions/detail/1703293806/" TargetMode="External" Id="rId239" /><Relationship Type="http://schemas.openxmlformats.org/officeDocument/2006/relationships/hyperlink" Target="code/12-Binary-Search-Tree/0173-binary-search-tree-iterator.md" TargetMode="External" Id="rId240" /><Relationship Type="http://schemas.openxmlformats.org/officeDocument/2006/relationships/hyperlink" Target="https://leetcode.com/problems/robot-room-cleaner/" TargetMode="External" Id="rId241" /><Relationship Type="http://schemas.openxmlformats.org/officeDocument/2006/relationships/hyperlink" Target="https://leetcode.com/submissions/detail/1128338242/" TargetMode="External" Id="rId242" /><Relationship Type="http://schemas.openxmlformats.org/officeDocument/2006/relationships/hyperlink" Target="code/16-Backtracking/0489-robot-room-cleaner.md" TargetMode="External" Id="rId243" /><Relationship Type="http://schemas.openxmlformats.org/officeDocument/2006/relationships/hyperlink" Target="https://leetcode.com/problems/number-of-squareful-arrays/" TargetMode="External" Id="rId244" /><Relationship Type="http://schemas.openxmlformats.org/officeDocument/2006/relationships/hyperlink" Target="https://leetcode.com/submissions/detail/1171534805/" TargetMode="External" Id="rId245" /><Relationship Type="http://schemas.openxmlformats.org/officeDocument/2006/relationships/hyperlink" Target="code/16-Backtracking/0996-number-of-squareful-arrays.md" TargetMode="External" Id="rId246" /><Relationship Type="http://schemas.openxmlformats.org/officeDocument/2006/relationships/hyperlink" Target="https://leetcode.com/problems/basic-calculator/" TargetMode="External" Id="rId247" /><Relationship Type="http://schemas.openxmlformats.org/officeDocument/2006/relationships/hyperlink" Target="https://leetcode.com/submissions/detail/1179746617/" TargetMode="External" Id="rId248" /><Relationship Type="http://schemas.openxmlformats.org/officeDocument/2006/relationships/hyperlink" Target="code/07-Stack/0224-basic-calculator.md" TargetMode="External" Id="rId249" /><Relationship Type="http://schemas.openxmlformats.org/officeDocument/2006/relationships/hyperlink" Target="https://leetcode.com/problems/swim-in-rising-water/" TargetMode="External" Id="rId250" /><Relationship Type="http://schemas.openxmlformats.org/officeDocument/2006/relationships/hyperlink" Target="https://leetcode.com/submissions/detail/1157922288/" TargetMode="External" Id="rId251" /><Relationship Type="http://schemas.openxmlformats.org/officeDocument/2006/relationships/hyperlink" Target="code/21-Graph-Shortest-Path/0778-swim-in-rising-water.md" TargetMode="External" Id="rId252" /><Relationship Type="http://schemas.openxmlformats.org/officeDocument/2006/relationships/hyperlink" Target="https://leetcode.com/problems/sum-of-unique-elements/" TargetMode="External" Id="rId253" /><Relationship Type="http://schemas.openxmlformats.org/officeDocument/2006/relationships/hyperlink" Target="https://leetcode.com/submissions/detail/1132621107/" TargetMode="External" Id="rId254" /><Relationship Type="http://schemas.openxmlformats.org/officeDocument/2006/relationships/hyperlink" Target="code/01-Arrays-Hashing-Sorting/1748-sum-of-unique-elements.md" TargetMode="External" Id="rId255" /><Relationship Type="http://schemas.openxmlformats.org/officeDocument/2006/relationships/hyperlink" Target="https://leetcode.com/problems/binary-tree-pruning/" TargetMode="External" Id="rId256" /><Relationship Type="http://schemas.openxmlformats.org/officeDocument/2006/relationships/hyperlink" Target="https://leetcode.com/submissions/detail/1132625993/" TargetMode="External" Id="rId257" /><Relationship Type="http://schemas.openxmlformats.org/officeDocument/2006/relationships/hyperlink" Target="code/10-Binary-Tree-DFS-Recursion/0814-binary-tree-pruning.md" TargetMode="External" Id="rId258" /><Relationship Type="http://schemas.openxmlformats.org/officeDocument/2006/relationships/hyperlink" Target="https://leetcode.com/problems/design-add-and-search-words-data-structure/" TargetMode="External" Id="rId259" /><Relationship Type="http://schemas.openxmlformats.org/officeDocument/2006/relationships/hyperlink" Target="https://leetcode.com/submissions/detail/1132671929/" TargetMode="External" Id="rId260" /><Relationship Type="http://schemas.openxmlformats.org/officeDocument/2006/relationships/hyperlink" Target="code/31-Trie/0211-design-add-and-search-words-data-structure.md" TargetMode="External" Id="rId261" /><Relationship Type="http://schemas.openxmlformats.org/officeDocument/2006/relationships/hyperlink" Target="https://leetcode.com/problems/ransom-note/" TargetMode="External" Id="rId262" /><Relationship Type="http://schemas.openxmlformats.org/officeDocument/2006/relationships/hyperlink" Target="https://leetcode.com/submissions/detail/1136046852/" TargetMode="External" Id="rId263" /><Relationship Type="http://schemas.openxmlformats.org/officeDocument/2006/relationships/hyperlink" Target="code/01-Arrays-Hashing-Sorting/0383-ransom-note.md" TargetMode="External" Id="rId264" /><Relationship Type="http://schemas.openxmlformats.org/officeDocument/2006/relationships/hyperlink" Target="https://leetcode.com/problems/product-of-two-run-length-encoded-arrays/" TargetMode="External" Id="rId265" /><Relationship Type="http://schemas.openxmlformats.org/officeDocument/2006/relationships/hyperlink" Target="https://leetcode.com/submissions/detail/1137834234/" TargetMode="External" Id="rId266" /><Relationship Type="http://schemas.openxmlformats.org/officeDocument/2006/relationships/hyperlink" Target="code/02-Two-Pointers/1868-product-of-two-run-length-encoded-arrays.md" TargetMode="External" Id="rId267" /><Relationship Type="http://schemas.openxmlformats.org/officeDocument/2006/relationships/hyperlink" Target="https://leetcode.com/problems/kth-missing-positive-number/" TargetMode="External" Id="rId268" /><Relationship Type="http://schemas.openxmlformats.org/officeDocument/2006/relationships/hyperlink" Target="https://leetcode.com/submissions/detail/1690679643/" TargetMode="External" Id="rId269" /><Relationship Type="http://schemas.openxmlformats.org/officeDocument/2006/relationships/hyperlink" Target="code/05-Binary-Search/1539-kth-missing-positive-number.md" TargetMode="External" Id="rId270" /><Relationship Type="http://schemas.openxmlformats.org/officeDocument/2006/relationships/hyperlink" Target="https://leetcode.com/problems/search-a-2d-matrix/" TargetMode="External" Id="rId271" /><Relationship Type="http://schemas.openxmlformats.org/officeDocument/2006/relationships/hyperlink" Target="https://leetcode.com/submissions/detail/1138953190/" TargetMode="External" Id="rId272" /><Relationship Type="http://schemas.openxmlformats.org/officeDocument/2006/relationships/hyperlink" Target="code/05-Binary-Search/0074-search-a-2d-matrix.md" TargetMode="External" Id="rId273" /><Relationship Type="http://schemas.openxmlformats.org/officeDocument/2006/relationships/hyperlink" Target="https://leetcode.com/problems/integer-to-english-words/" TargetMode="External" Id="rId274" /><Relationship Type="http://schemas.openxmlformats.org/officeDocument/2006/relationships/hyperlink" Target="https://leetcode.com/submissions/detail/1170730755/" TargetMode="External" Id="rId275" /><Relationship Type="http://schemas.openxmlformats.org/officeDocument/2006/relationships/hyperlink" Target="code/35-Strings-Simulation/0273-integer-to-english-words.md" TargetMode="External" Id="rId276" /><Relationship Type="http://schemas.openxmlformats.org/officeDocument/2006/relationships/hyperlink" Target="https://leetcode.com/problems/number-of-substrings-containing-all-three-characters/" TargetMode="External" Id="rId277" /><Relationship Type="http://schemas.openxmlformats.org/officeDocument/2006/relationships/hyperlink" Target="https://leetcode.com/submissions/detail/1147351380/" TargetMode="External" Id="rId278" /><Relationship Type="http://schemas.openxmlformats.org/officeDocument/2006/relationships/hyperlink" Target="code/03-Sliding-Window/1358-number-of-substrings-containing-all-three-characters.md" TargetMode="External" Id="rId279" /><Relationship Type="http://schemas.openxmlformats.org/officeDocument/2006/relationships/hyperlink" Target="https://leetcode.com/problems/number-of-visible-people-in-a-queue/" TargetMode="External" Id="rId280" /><Relationship Type="http://schemas.openxmlformats.org/officeDocument/2006/relationships/hyperlink" Target="https://leetcode.com/submissions/detail/1171657448/" TargetMode="External" Id="rId281" /><Relationship Type="http://schemas.openxmlformats.org/officeDocument/2006/relationships/hyperlink" Target="code/08-Monotonic-Stack-Deque/1944-number-of-visible-people-in-a-queue.md" TargetMode="External" Id="rId282" /><Relationship Type="http://schemas.openxmlformats.org/officeDocument/2006/relationships/hyperlink" Target="https://leetcode.com/problems/task-scheduler-ii/" TargetMode="External" Id="rId283" /><Relationship Type="http://schemas.openxmlformats.org/officeDocument/2006/relationships/hyperlink" Target="code/01-Arrays-Hashing-Sorting/2365-task-scheduler-ii.md" TargetMode="External" Id="rId284" /><Relationship Type="http://schemas.openxmlformats.org/officeDocument/2006/relationships/hyperlink" Target="https://leetcode.com/problems/missing-ranges/" TargetMode="External" Id="rId285" /><Relationship Type="http://schemas.openxmlformats.org/officeDocument/2006/relationships/hyperlink" Target="https://leetcode.com/submissions/detail/1171631028/" TargetMode="External" Id="rId286" /><Relationship Type="http://schemas.openxmlformats.org/officeDocument/2006/relationships/hyperlink" Target="code/01-Arrays-Hashing-Sorting/0163-missing-ranges.md" TargetMode="External" Id="rId287" /><Relationship Type="http://schemas.openxmlformats.org/officeDocument/2006/relationships/hyperlink" Target="https://leetcode.com/problems/top-k-frequent-words/" TargetMode="External" Id="rId288" /><Relationship Type="http://schemas.openxmlformats.org/officeDocument/2006/relationships/hyperlink" Target="code/13-Heap-Top-K/0692-top-k-frequent-words.md" TargetMode="External" Id="rId289" /><Relationship Type="http://schemas.openxmlformats.org/officeDocument/2006/relationships/hyperlink" Target="https://leetcode.com/problems/one-edit-distance/" TargetMode="External" Id="rId290" /><Relationship Type="http://schemas.openxmlformats.org/officeDocument/2006/relationships/hyperlink" Target="https://leetcode.com/submissions/detail/1159609851/" TargetMode="External" Id="rId291" /><Relationship Type="http://schemas.openxmlformats.org/officeDocument/2006/relationships/hyperlink" Target="code/02-Two-Pointers/0161-one-edit-distance.md" TargetMode="External" Id="rId292" /><Relationship Type="http://schemas.openxmlformats.org/officeDocument/2006/relationships/hyperlink" Target="https://leetcode.com/problems/construct-binary-tree-from-string/" TargetMode="External" Id="rId293" /><Relationship Type="http://schemas.openxmlformats.org/officeDocument/2006/relationships/hyperlink" Target="https://leetcode.com/submissions/detail/1160501419/" TargetMode="External" Id="rId294" /><Relationship Type="http://schemas.openxmlformats.org/officeDocument/2006/relationships/hyperlink" Target="code/10-Binary-Tree-DFS-Recursion/0536-construct-binary-tree-from-string.md" TargetMode="External" Id="rId295" /><Relationship Type="http://schemas.openxmlformats.org/officeDocument/2006/relationships/hyperlink" Target="https://leetcode.com/problems/maximum-sum-of-3-non-overlapping-subarrays/" TargetMode="External" Id="rId296" /><Relationship Type="http://schemas.openxmlformats.org/officeDocument/2006/relationships/hyperlink" Target="code/04-Prefix-Sum-Difference-Array/0689-maximum-sum-of-3-non-overlapping-subarrays.md" TargetMode="External" Id="rId297" /><Relationship Type="http://schemas.openxmlformats.org/officeDocument/2006/relationships/hyperlink" Target="https://leetcode.com/problems/4sum/" TargetMode="External" Id="rId298" /><Relationship Type="http://schemas.openxmlformats.org/officeDocument/2006/relationships/hyperlink" Target="https://leetcode.com/submissions/detail/1167304301/" TargetMode="External" Id="rId299" /><Relationship Type="http://schemas.openxmlformats.org/officeDocument/2006/relationships/hyperlink" Target="code/02-Two-Pointers/0018-4sum.md" TargetMode="External" Id="rId300" /><Relationship Type="http://schemas.openxmlformats.org/officeDocument/2006/relationships/hyperlink" Target="https://leetcode.com/problems/balance-a-binary-search-tree/" TargetMode="External" Id="rId301" /><Relationship Type="http://schemas.openxmlformats.org/officeDocument/2006/relationships/hyperlink" Target="https://leetcode.com/submissions/detail/1167477754/" TargetMode="External" Id="rId302" /><Relationship Type="http://schemas.openxmlformats.org/officeDocument/2006/relationships/hyperlink" Target="code/12-Binary-Search-Tree/1382-balance-a-binary-search-tree.md" TargetMode="External" Id="rId303" /><Relationship Type="http://schemas.openxmlformats.org/officeDocument/2006/relationships/hyperlink" Target="https://leetcode.com/problems/count-nodes-equal-to-average-of-subtree/" TargetMode="External" Id="rId304" /><Relationship Type="http://schemas.openxmlformats.org/officeDocument/2006/relationships/hyperlink" Target="https://leetcode.com/submissions/detail/1167489848/" TargetMode="External" Id="rId305" /><Relationship Type="http://schemas.openxmlformats.org/officeDocument/2006/relationships/hyperlink" Target="code/10-Binary-Tree-DFS-Recursion/2265-count-nodes-equal-to-average-of-subtree.md" TargetMode="External" Id="rId306" /><Relationship Type="http://schemas.openxmlformats.org/officeDocument/2006/relationships/hyperlink" Target="https://leetcode.com/problems/maximum-level-sum-of-a-binary-tree/" TargetMode="External" Id="rId307" /><Relationship Type="http://schemas.openxmlformats.org/officeDocument/2006/relationships/hyperlink" Target="https://leetcode.com/submissions/detail/1168161300/" TargetMode="External" Id="rId308" /><Relationship Type="http://schemas.openxmlformats.org/officeDocument/2006/relationships/hyperlink" Target="code/11-Binary-Tree-BFS-Level-Order/1161-maximum-level-sum-of-a-binary-tree.md" TargetMode="External" Id="rId309" /><Relationship Type="http://schemas.openxmlformats.org/officeDocument/2006/relationships/hyperlink" Target="https://leetcode.com/problems/lowest-common-ancestor-of-a-binary-tree-ii/" TargetMode="External" Id="rId310" /><Relationship Type="http://schemas.openxmlformats.org/officeDocument/2006/relationships/hyperlink" Target="https://leetcode.com/submissions/detail/1171287329/" TargetMode="External" Id="rId311" /><Relationship Type="http://schemas.openxmlformats.org/officeDocument/2006/relationships/hyperlink" Target="code/10-Binary-Tree-DFS-Recursion/1644-lowest-common-ancestor-of-a-binary-tree-ii.md" TargetMode="External" Id="rId312" /><Relationship Type="http://schemas.openxmlformats.org/officeDocument/2006/relationships/hyperlink" Target="https://leetcode.com/problems/minimum-depth-of-binary-tree/" TargetMode="External" Id="rId313" /><Relationship Type="http://schemas.openxmlformats.org/officeDocument/2006/relationships/hyperlink" Target="https://leetcode.com/submissions/detail/1167590796/" TargetMode="External" Id="rId314" /><Relationship Type="http://schemas.openxmlformats.org/officeDocument/2006/relationships/hyperlink" Target="code/11-Binary-Tree-BFS-Level-Order/0111-minimum-depth-of-binary-tree.md" TargetMode="External" Id="rId315" /><Relationship Type="http://schemas.openxmlformats.org/officeDocument/2006/relationships/hyperlink" Target="https://leetcode.com/problems/smallest-subtree-with-all-the-deepest-nodes/" TargetMode="External" Id="rId316" /><Relationship Type="http://schemas.openxmlformats.org/officeDocument/2006/relationships/hyperlink" Target="https://leetcode.com/submissions/detail/1167935171/" TargetMode="External" Id="rId317" /><Relationship Type="http://schemas.openxmlformats.org/officeDocument/2006/relationships/hyperlink" Target="code/10-Binary-Tree-DFS-Recursion/0865-smallest-subtree-with-all-the-deepest-nodes.md" TargetMode="External" Id="rId318" /><Relationship Type="http://schemas.openxmlformats.org/officeDocument/2006/relationships/hyperlink" Target="https://leetcode.com/problems/fruit-into-baskets/" TargetMode="External" Id="rId319" /><Relationship Type="http://schemas.openxmlformats.org/officeDocument/2006/relationships/hyperlink" Target="https://leetcode.com/submissions/detail/1171274364/" TargetMode="External" Id="rId320" /><Relationship Type="http://schemas.openxmlformats.org/officeDocument/2006/relationships/hyperlink" Target="code/03-Sliding-Window/0904-fruit-into-baskets.md" TargetMode="External" Id="rId321" /><Relationship Type="http://schemas.openxmlformats.org/officeDocument/2006/relationships/hyperlink" Target="https://leetcode.com/problems/number-of-increasing-paths-in-a-grid/" TargetMode="External" Id="rId322" /><Relationship Type="http://schemas.openxmlformats.org/officeDocument/2006/relationships/hyperlink" Target="https://leetcode.com/submissions/detail/1171314082/" TargetMode="External" Id="rId323" /><Relationship Type="http://schemas.openxmlformats.org/officeDocument/2006/relationships/hyperlink" Target="code/23-DP-Grid-2D/2328-number-of-increasing-paths-in-a-grid.md" TargetMode="External" Id="rId324" /><Relationship Type="http://schemas.openxmlformats.org/officeDocument/2006/relationships/hyperlink" Target="https://leetcode.com/problems/binary-tree-zigzag-level-order-traversal/" TargetMode="External" Id="rId325" /><Relationship Type="http://schemas.openxmlformats.org/officeDocument/2006/relationships/hyperlink" Target="https://leetcode.com/submissions/detail/1171517062/" TargetMode="External" Id="rId326" /><Relationship Type="http://schemas.openxmlformats.org/officeDocument/2006/relationships/hyperlink" Target="code/11-Binary-Tree-BFS-Level-Order/0103-binary-tree-zigzag-level-order-traversal.md" TargetMode="External" Id="rId327" /><Relationship Type="http://schemas.openxmlformats.org/officeDocument/2006/relationships/hyperlink" Target="https://leetcode.com/problems/check-completeness-of-a-binary-tree/" TargetMode="External" Id="rId328" /><Relationship Type="http://schemas.openxmlformats.org/officeDocument/2006/relationships/hyperlink" Target="https://leetcode.com/submissions/detail/1171520216/" TargetMode="External" Id="rId329" /><Relationship Type="http://schemas.openxmlformats.org/officeDocument/2006/relationships/hyperlink" Target="code/11-Binary-Tree-BFS-Level-Order/0958-check-completeness-of-a-binary-tree.md" TargetMode="External" Id="rId330" /><Relationship Type="http://schemas.openxmlformats.org/officeDocument/2006/relationships/hyperlink" Target="https://leetcode.com/problems/longest-continuous-increasing-subsequence/" TargetMode="External" Id="rId331" /><Relationship Type="http://schemas.openxmlformats.org/officeDocument/2006/relationships/hyperlink" Target="https://leetcode.com/submissions/detail/1171546475/" TargetMode="External" Id="rId332" /><Relationship Type="http://schemas.openxmlformats.org/officeDocument/2006/relationships/hyperlink" Target="code/01-Arrays-Hashing-Sorting/0674-longest-continuous-increasing-subsequence.md" TargetMode="External" Id="rId333" /><Relationship Type="http://schemas.openxmlformats.org/officeDocument/2006/relationships/hyperlink" Target="https://leetcode.com/problems/lowest-common-ancestor-of-deepest-leaves/" TargetMode="External" Id="rId334" /><Relationship Type="http://schemas.openxmlformats.org/officeDocument/2006/relationships/hyperlink" Target="https://leetcode.com/submissions/detail/1171587817/" TargetMode="External" Id="rId335" /><Relationship Type="http://schemas.openxmlformats.org/officeDocument/2006/relationships/hyperlink" Target="code/10-Binary-Tree-DFS-Recursion/1123-lowest-common-ancestor-of-deepest-leaves.md" TargetMode="External" Id="rId336" /><Relationship Type="http://schemas.openxmlformats.org/officeDocument/2006/relationships/hyperlink" Target="https://leetcode.com/problems/add-two-numbers/" TargetMode="External" Id="rId337" /><Relationship Type="http://schemas.openxmlformats.org/officeDocument/2006/relationships/hyperlink" Target="https://leetcode.com/submissions/detail/1171685978/" TargetMode="External" Id="rId338" /><Relationship Type="http://schemas.openxmlformats.org/officeDocument/2006/relationships/hyperlink" Target="code/09-Linked-List/0002-add-two-numbers.md" TargetMode="External" Id="rId339" /><Relationship Type="http://schemas.openxmlformats.org/officeDocument/2006/relationships/hyperlink" Target="https://leetcode.com/problems/nearest-exit-from-entrance-in-maze/" TargetMode="External" Id="rId340" /><Relationship Type="http://schemas.openxmlformats.org/officeDocument/2006/relationships/hyperlink" Target="https://leetcode.com/submissions/detail/1207510837/" TargetMode="External" Id="rId341" /><Relationship Type="http://schemas.openxmlformats.org/officeDocument/2006/relationships/hyperlink" Target="code/17-Graph-Grid-BFS-DFS/1926-nearest-exit-from-entrance-in-maze.md" TargetMode="External" Id="rId342" /><Relationship Type="http://schemas.openxmlformats.org/officeDocument/2006/relationships/hyperlink" Target="https://leetcode.com/problems/recover-binary-search-tree/" TargetMode="External" Id="rId343" /><Relationship Type="http://schemas.openxmlformats.org/officeDocument/2006/relationships/hyperlink" Target="https://leetcode.com/submissions/detail/2037054274/" TargetMode="External" Id="rId344" /><Relationship Type="http://schemas.openxmlformats.org/officeDocument/2006/relationships/hyperlink" Target="code/12-Binary-Search-Tree/0099-recover-binary-search-tree.md" TargetMode="External" Id="rId345" /><Relationship Type="http://schemas.openxmlformats.org/officeDocument/2006/relationships/hyperlink" Target="https://leetcode.com/problems/palindrome-linked-list/" TargetMode="External" Id="rId346" /><Relationship Type="http://schemas.openxmlformats.org/officeDocument/2006/relationships/hyperlink" Target="https://leetcode.com/submissions/detail/2161729892/" TargetMode="External" Id="rId347" /><Relationship Type="http://schemas.openxmlformats.org/officeDocument/2006/relationships/hyperlink" Target="code/09-Linked-List/0234-palindrome-linked-list.md" TargetMode="External" Id="rId348" /><Relationship Type="http://schemas.openxmlformats.org/officeDocument/2006/relationships/table" Target="/xl/tables/table2.xml" Id="rId349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leetcode.com/problems/running-sum-of-1d-array/" TargetMode="External" Id="rId1" /><Relationship Type="http://schemas.openxmlformats.org/officeDocument/2006/relationships/hyperlink" Target="https://leetcode.com/submissions/detail/910238803/" TargetMode="External" Id="rId2" /><Relationship Type="http://schemas.openxmlformats.org/officeDocument/2006/relationships/hyperlink" Target="https://leetcode.com/problems/find-pivot-index/" TargetMode="External" Id="rId3" /><Relationship Type="http://schemas.openxmlformats.org/officeDocument/2006/relationships/hyperlink" Target="https://leetcode.com/submissions/detail/910244350/" TargetMode="External" Id="rId4" /><Relationship Type="http://schemas.openxmlformats.org/officeDocument/2006/relationships/hyperlink" Target="https://leetcode.com/problems/two-sum/" TargetMode="External" Id="rId5" /><Relationship Type="http://schemas.openxmlformats.org/officeDocument/2006/relationships/hyperlink" Target="https://leetcode.com/submissions/detail/910266383/" TargetMode="External" Id="rId6" /><Relationship Type="http://schemas.openxmlformats.org/officeDocument/2006/relationships/hyperlink" Target="https://leetcode.com/problems/two-sum/" TargetMode="External" Id="rId7" /><Relationship Type="http://schemas.openxmlformats.org/officeDocument/2006/relationships/hyperlink" Target="https://leetcode.com/submissions/detail/910268202/" TargetMode="External" Id="rId8" /><Relationship Type="http://schemas.openxmlformats.org/officeDocument/2006/relationships/hyperlink" Target="https://leetcode.com/problems/roman-to-integer/" TargetMode="External" Id="rId9" /><Relationship Type="http://schemas.openxmlformats.org/officeDocument/2006/relationships/hyperlink" Target="https://leetcode.com/submissions/detail/910290507/" TargetMode="External" Id="rId10" /><Relationship Type="http://schemas.openxmlformats.org/officeDocument/2006/relationships/hyperlink" Target="https://leetcode.com/problems/longest-common-prefix/" TargetMode="External" Id="rId11" /><Relationship Type="http://schemas.openxmlformats.org/officeDocument/2006/relationships/hyperlink" Target="https://leetcode.com/submissions/detail/910295360/" TargetMode="External" Id="rId12" /><Relationship Type="http://schemas.openxmlformats.org/officeDocument/2006/relationships/hyperlink" Target="https://leetcode.com/problems/longest-common-prefix/" TargetMode="External" Id="rId13" /><Relationship Type="http://schemas.openxmlformats.org/officeDocument/2006/relationships/hyperlink" Target="https://leetcode.com/submissions/detail/910296028/" TargetMode="External" Id="rId14" /><Relationship Type="http://schemas.openxmlformats.org/officeDocument/2006/relationships/hyperlink" Target="https://leetcode.com/problems/valid-parentheses/" TargetMode="External" Id="rId15" /><Relationship Type="http://schemas.openxmlformats.org/officeDocument/2006/relationships/hyperlink" Target="https://leetcode.com/submissions/detail/910304068/" TargetMode="External" Id="rId16" /><Relationship Type="http://schemas.openxmlformats.org/officeDocument/2006/relationships/hyperlink" Target="https://leetcode.com/problems/valid-parentheses/" TargetMode="External" Id="rId17" /><Relationship Type="http://schemas.openxmlformats.org/officeDocument/2006/relationships/hyperlink" Target="https://leetcode.com/submissions/detail/910304549/" TargetMode="External" Id="rId18" /><Relationship Type="http://schemas.openxmlformats.org/officeDocument/2006/relationships/hyperlink" Target="https://leetcode.com/problems/valid-parentheses/" TargetMode="External" Id="rId19" /><Relationship Type="http://schemas.openxmlformats.org/officeDocument/2006/relationships/hyperlink" Target="https://leetcode.com/submissions/detail/910307496/" TargetMode="External" Id="rId20" /><Relationship Type="http://schemas.openxmlformats.org/officeDocument/2006/relationships/hyperlink" Target="https://leetcode.com/problems/logger-rate-limiter/" TargetMode="External" Id="rId21" /><Relationship Type="http://schemas.openxmlformats.org/officeDocument/2006/relationships/hyperlink" Target="https://leetcode.com/submissions/detail/910337699/" TargetMode="External" Id="rId22" /><Relationship Type="http://schemas.openxmlformats.org/officeDocument/2006/relationships/hyperlink" Target="https://leetcode.com/problems/logger-rate-limiter/" TargetMode="External" Id="rId23" /><Relationship Type="http://schemas.openxmlformats.org/officeDocument/2006/relationships/hyperlink" Target="https://leetcode.com/submissions/detail/910342011/" TargetMode="External" Id="rId24" /><Relationship Type="http://schemas.openxmlformats.org/officeDocument/2006/relationships/hyperlink" Target="https://leetcode.com/problems/binary-search/" TargetMode="External" Id="rId25" /><Relationship Type="http://schemas.openxmlformats.org/officeDocument/2006/relationships/hyperlink" Target="https://leetcode.com/submissions/detail/910349125/" TargetMode="External" Id="rId26" /><Relationship Type="http://schemas.openxmlformats.org/officeDocument/2006/relationships/hyperlink" Target="https://leetcode.com/problems/binary-search/" TargetMode="External" Id="rId27" /><Relationship Type="http://schemas.openxmlformats.org/officeDocument/2006/relationships/hyperlink" Target="https://leetcode.com/submissions/detail/910363447/" TargetMode="External" Id="rId28" /><Relationship Type="http://schemas.openxmlformats.org/officeDocument/2006/relationships/hyperlink" Target="https://leetcode.com/problems/range-sum-of-bst/" TargetMode="External" Id="rId29" /><Relationship Type="http://schemas.openxmlformats.org/officeDocument/2006/relationships/hyperlink" Target="https://leetcode.com/submissions/detail/910366212/" TargetMode="External" Id="rId30" /><Relationship Type="http://schemas.openxmlformats.org/officeDocument/2006/relationships/hyperlink" Target="https://leetcode.com/problems/two-sum/" TargetMode="External" Id="rId31" /><Relationship Type="http://schemas.openxmlformats.org/officeDocument/2006/relationships/hyperlink" Target="https://leetcode.com/submissions/detail/910366686/" TargetMode="External" Id="rId32" /><Relationship Type="http://schemas.openxmlformats.org/officeDocument/2006/relationships/hyperlink" Target="https://leetcode.com/problems/roman-to-integer/" TargetMode="External" Id="rId33" /><Relationship Type="http://schemas.openxmlformats.org/officeDocument/2006/relationships/hyperlink" Target="https://leetcode.com/submissions/detail/910366895/" TargetMode="External" Id="rId34" /><Relationship Type="http://schemas.openxmlformats.org/officeDocument/2006/relationships/hyperlink" Target="https://leetcode.com/problems/longest-common-prefix/" TargetMode="External" Id="rId35" /><Relationship Type="http://schemas.openxmlformats.org/officeDocument/2006/relationships/hyperlink" Target="https://leetcode.com/submissions/detail/910366984/" TargetMode="External" Id="rId36" /><Relationship Type="http://schemas.openxmlformats.org/officeDocument/2006/relationships/hyperlink" Target="https://leetcode.com/problems/valid-parentheses/" TargetMode="External" Id="rId37" /><Relationship Type="http://schemas.openxmlformats.org/officeDocument/2006/relationships/hyperlink" Target="https://leetcode.com/submissions/detail/910367099/" TargetMode="External" Id="rId38" /><Relationship Type="http://schemas.openxmlformats.org/officeDocument/2006/relationships/hyperlink" Target="https://leetcode.com/problems/logger-rate-limiter/" TargetMode="External" Id="rId39" /><Relationship Type="http://schemas.openxmlformats.org/officeDocument/2006/relationships/hyperlink" Target="https://leetcode.com/submissions/detail/910367286/" TargetMode="External" Id="rId40" /><Relationship Type="http://schemas.openxmlformats.org/officeDocument/2006/relationships/hyperlink" Target="https://leetcode.com/problems/range-sum-of-bst/" TargetMode="External" Id="rId41" /><Relationship Type="http://schemas.openxmlformats.org/officeDocument/2006/relationships/hyperlink" Target="https://leetcode.com/submissions/detail/910373064/" TargetMode="External" Id="rId42" /><Relationship Type="http://schemas.openxmlformats.org/officeDocument/2006/relationships/hyperlink" Target="https://leetcode.com/problems/range-sum-of-bst/" TargetMode="External" Id="rId43" /><Relationship Type="http://schemas.openxmlformats.org/officeDocument/2006/relationships/hyperlink" Target="https://leetcode.com/submissions/detail/910373631/" TargetMode="External" Id="rId44" /><Relationship Type="http://schemas.openxmlformats.org/officeDocument/2006/relationships/hyperlink" Target="https://leetcode.com/problems/merge-intervals/" TargetMode="External" Id="rId45" /><Relationship Type="http://schemas.openxmlformats.org/officeDocument/2006/relationships/hyperlink" Target="https://leetcode.com/submissions/detail/910396906/" TargetMode="External" Id="rId46" /><Relationship Type="http://schemas.openxmlformats.org/officeDocument/2006/relationships/hyperlink" Target="https://leetcode.com/problems/merge-intervals/" TargetMode="External" Id="rId47" /><Relationship Type="http://schemas.openxmlformats.org/officeDocument/2006/relationships/hyperlink" Target="https://leetcode.com/submissions/detail/910397138/" TargetMode="External" Id="rId48" /><Relationship Type="http://schemas.openxmlformats.org/officeDocument/2006/relationships/hyperlink" Target="https://leetcode.com/problems/climbing-stairs/" TargetMode="External" Id="rId49" /><Relationship Type="http://schemas.openxmlformats.org/officeDocument/2006/relationships/hyperlink" Target="https://leetcode.com/submissions/detail/913013853/" TargetMode="External" Id="rId50" /><Relationship Type="http://schemas.openxmlformats.org/officeDocument/2006/relationships/hyperlink" Target="https://leetcode.com/problems/climbing-stairs/" TargetMode="External" Id="rId51" /><Relationship Type="http://schemas.openxmlformats.org/officeDocument/2006/relationships/hyperlink" Target="https://leetcode.com/submissions/detail/913014080/" TargetMode="External" Id="rId52" /><Relationship Type="http://schemas.openxmlformats.org/officeDocument/2006/relationships/hyperlink" Target="https://leetcode.com/problems/frog-position-after-t-seconds/" TargetMode="External" Id="rId53" /><Relationship Type="http://schemas.openxmlformats.org/officeDocument/2006/relationships/hyperlink" Target="https://leetcode.com/submissions/detail/913125591/" TargetMode="External" Id="rId54" /><Relationship Type="http://schemas.openxmlformats.org/officeDocument/2006/relationships/hyperlink" Target="https://leetcode.com/problems/frog-position-after-t-seconds/" TargetMode="External" Id="rId55" /><Relationship Type="http://schemas.openxmlformats.org/officeDocument/2006/relationships/hyperlink" Target="https://leetcode.com/submissions/detail/913148665/" TargetMode="External" Id="rId56" /><Relationship Type="http://schemas.openxmlformats.org/officeDocument/2006/relationships/hyperlink" Target="https://leetcode.com/problems/house-robber-ii/" TargetMode="External" Id="rId57" /><Relationship Type="http://schemas.openxmlformats.org/officeDocument/2006/relationships/hyperlink" Target="https://leetcode.com/submissions/detail/913184731/" TargetMode="External" Id="rId58" /><Relationship Type="http://schemas.openxmlformats.org/officeDocument/2006/relationships/hyperlink" Target="https://leetcode.com/problems/house-robber-ii/" TargetMode="External" Id="rId59" /><Relationship Type="http://schemas.openxmlformats.org/officeDocument/2006/relationships/hyperlink" Target="https://leetcode.com/submissions/detail/913185027/" TargetMode="External" Id="rId60" /><Relationship Type="http://schemas.openxmlformats.org/officeDocument/2006/relationships/hyperlink" Target="https://leetcode.com/problems/house-robber-ii/" TargetMode="External" Id="rId61" /><Relationship Type="http://schemas.openxmlformats.org/officeDocument/2006/relationships/hyperlink" Target="https://leetcode.com/submissions/detail/913185817/" TargetMode="External" Id="rId62" /><Relationship Type="http://schemas.openxmlformats.org/officeDocument/2006/relationships/hyperlink" Target="https://leetcode.com/problems/minimum-path-sum/" TargetMode="External" Id="rId63" /><Relationship Type="http://schemas.openxmlformats.org/officeDocument/2006/relationships/hyperlink" Target="https://leetcode.com/submissions/detail/913633670/" TargetMode="External" Id="rId64" /><Relationship Type="http://schemas.openxmlformats.org/officeDocument/2006/relationships/hyperlink" Target="https://leetcode.com/problems/minimum-path-sum/" TargetMode="External" Id="rId65" /><Relationship Type="http://schemas.openxmlformats.org/officeDocument/2006/relationships/hyperlink" Target="https://leetcode.com/submissions/detail/913635348/" TargetMode="External" Id="rId66" /><Relationship Type="http://schemas.openxmlformats.org/officeDocument/2006/relationships/hyperlink" Target="https://leetcode.com/problems/cherry-pickup/" TargetMode="External" Id="rId67" /><Relationship Type="http://schemas.openxmlformats.org/officeDocument/2006/relationships/hyperlink" Target="https://leetcode.com/submissions/detail/913652420/" TargetMode="External" Id="rId68" /><Relationship Type="http://schemas.openxmlformats.org/officeDocument/2006/relationships/hyperlink" Target="https://leetcode.com/problems/cherry-pickup/" TargetMode="External" Id="rId69" /><Relationship Type="http://schemas.openxmlformats.org/officeDocument/2006/relationships/hyperlink" Target="https://leetcode.com/submissions/detail/913718323/" TargetMode="External" Id="rId70" /><Relationship Type="http://schemas.openxmlformats.org/officeDocument/2006/relationships/hyperlink" Target="https://leetcode.com/problems/cherry-pickup/" TargetMode="External" Id="rId71" /><Relationship Type="http://schemas.openxmlformats.org/officeDocument/2006/relationships/hyperlink" Target="https://leetcode.com/submissions/detail/913718543/" TargetMode="External" Id="rId72" /><Relationship Type="http://schemas.openxmlformats.org/officeDocument/2006/relationships/hyperlink" Target="https://leetcode.com/problems/cherry-pickup-ii/" TargetMode="External" Id="rId73" /><Relationship Type="http://schemas.openxmlformats.org/officeDocument/2006/relationships/hyperlink" Target="https://leetcode.com/submissions/detail/913747384/" TargetMode="External" Id="rId74" /><Relationship Type="http://schemas.openxmlformats.org/officeDocument/2006/relationships/hyperlink" Target="https://leetcode.com/problems/cherry-pickup-ii/" TargetMode="External" Id="rId75" /><Relationship Type="http://schemas.openxmlformats.org/officeDocument/2006/relationships/hyperlink" Target="https://leetcode.com/submissions/detail/913776663/" TargetMode="External" Id="rId76" /><Relationship Type="http://schemas.openxmlformats.org/officeDocument/2006/relationships/hyperlink" Target="https://leetcode.com/problems/unique-paths/" TargetMode="External" Id="rId77" /><Relationship Type="http://schemas.openxmlformats.org/officeDocument/2006/relationships/hyperlink" Target="https://leetcode.com/submissions/detail/913779888/" TargetMode="External" Id="rId78" /><Relationship Type="http://schemas.openxmlformats.org/officeDocument/2006/relationships/hyperlink" Target="https://leetcode.com/problems/unique-paths-ii/" TargetMode="External" Id="rId79" /><Relationship Type="http://schemas.openxmlformats.org/officeDocument/2006/relationships/hyperlink" Target="https://leetcode.com/submissions/detail/913786083/" TargetMode="External" Id="rId80" /><Relationship Type="http://schemas.openxmlformats.org/officeDocument/2006/relationships/hyperlink" Target="https://leetcode.com/problems/unique-paths-ii/" TargetMode="External" Id="rId81" /><Relationship Type="http://schemas.openxmlformats.org/officeDocument/2006/relationships/hyperlink" Target="https://leetcode.com/submissions/detail/913786813/" TargetMode="External" Id="rId82" /><Relationship Type="http://schemas.openxmlformats.org/officeDocument/2006/relationships/hyperlink" Target="https://leetcode.com/problems/triangle/" TargetMode="External" Id="rId83" /><Relationship Type="http://schemas.openxmlformats.org/officeDocument/2006/relationships/hyperlink" Target="https://leetcode.com/submissions/detail/913799505/" TargetMode="External" Id="rId84" /><Relationship Type="http://schemas.openxmlformats.org/officeDocument/2006/relationships/hyperlink" Target="https://leetcode.com/problems/minimum-falling-path-sum/" TargetMode="External" Id="rId85" /><Relationship Type="http://schemas.openxmlformats.org/officeDocument/2006/relationships/hyperlink" Target="https://leetcode.com/submissions/detail/913806269/" TargetMode="External" Id="rId86" /><Relationship Type="http://schemas.openxmlformats.org/officeDocument/2006/relationships/hyperlink" Target="https://leetcode.com/problems/partition-equal-subset-sum/" TargetMode="External" Id="rId87" /><Relationship Type="http://schemas.openxmlformats.org/officeDocument/2006/relationships/hyperlink" Target="https://leetcode.com/submissions/detail/913930133/" TargetMode="External" Id="rId88" /><Relationship Type="http://schemas.openxmlformats.org/officeDocument/2006/relationships/hyperlink" Target="https://leetcode.com/problems/coin-change/" TargetMode="External" Id="rId89" /><Relationship Type="http://schemas.openxmlformats.org/officeDocument/2006/relationships/hyperlink" Target="https://leetcode.com/submissions/detail/914009174/" TargetMode="External" Id="rId90" /><Relationship Type="http://schemas.openxmlformats.org/officeDocument/2006/relationships/hyperlink" Target="https://leetcode.com/problems/coin-change/" TargetMode="External" Id="rId91" /><Relationship Type="http://schemas.openxmlformats.org/officeDocument/2006/relationships/hyperlink" Target="https://leetcode.com/submissions/detail/914009772/" TargetMode="External" Id="rId92" /><Relationship Type="http://schemas.openxmlformats.org/officeDocument/2006/relationships/hyperlink" Target="https://leetcode.com/problems/coin-change/" TargetMode="External" Id="rId93" /><Relationship Type="http://schemas.openxmlformats.org/officeDocument/2006/relationships/hyperlink" Target="https://leetcode.com/submissions/detail/914009950/" TargetMode="External" Id="rId94" /><Relationship Type="http://schemas.openxmlformats.org/officeDocument/2006/relationships/hyperlink" Target="https://leetcode.com/problems/target-sum/" TargetMode="External" Id="rId95" /><Relationship Type="http://schemas.openxmlformats.org/officeDocument/2006/relationships/hyperlink" Target="https://leetcode.com/submissions/detail/914018995/" TargetMode="External" Id="rId96" /><Relationship Type="http://schemas.openxmlformats.org/officeDocument/2006/relationships/hyperlink" Target="https://leetcode.com/problems/longest-common-subsequence/" TargetMode="External" Id="rId97" /><Relationship Type="http://schemas.openxmlformats.org/officeDocument/2006/relationships/hyperlink" Target="https://leetcode.com/submissions/detail/914209468/" TargetMode="External" Id="rId98" /><Relationship Type="http://schemas.openxmlformats.org/officeDocument/2006/relationships/hyperlink" Target="https://leetcode.com/problems/longest-common-subsequence/" TargetMode="External" Id="rId99" /><Relationship Type="http://schemas.openxmlformats.org/officeDocument/2006/relationships/hyperlink" Target="https://leetcode.com/submissions/detail/914210046/" TargetMode="External" Id="rId100" /><Relationship Type="http://schemas.openxmlformats.org/officeDocument/2006/relationships/hyperlink" Target="https://leetcode.com/problems/longest-common-subsequence/" TargetMode="External" Id="rId101" /><Relationship Type="http://schemas.openxmlformats.org/officeDocument/2006/relationships/hyperlink" Target="https://leetcode.com/submissions/detail/914210738/" TargetMode="External" Id="rId102" /><Relationship Type="http://schemas.openxmlformats.org/officeDocument/2006/relationships/hyperlink" Target="https://leetcode.com/problems/longest-common-subsequence/" TargetMode="External" Id="rId103" /><Relationship Type="http://schemas.openxmlformats.org/officeDocument/2006/relationships/hyperlink" Target="https://leetcode.com/submissions/detail/914214722/" TargetMode="External" Id="rId104" /><Relationship Type="http://schemas.openxmlformats.org/officeDocument/2006/relationships/hyperlink" Target="https://leetcode.com/problems/longest-common-subsequence/" TargetMode="External" Id="rId105" /><Relationship Type="http://schemas.openxmlformats.org/officeDocument/2006/relationships/hyperlink" Target="https://leetcode.com/submissions/detail/914237588/" TargetMode="External" Id="rId106" /><Relationship Type="http://schemas.openxmlformats.org/officeDocument/2006/relationships/hyperlink" Target="https://leetcode.com/problems/longest-palindromic-subsequence/" TargetMode="External" Id="rId107" /><Relationship Type="http://schemas.openxmlformats.org/officeDocument/2006/relationships/hyperlink" Target="https://leetcode.com/submissions/detail/914256431/" TargetMode="External" Id="rId108" /><Relationship Type="http://schemas.openxmlformats.org/officeDocument/2006/relationships/hyperlink" Target="https://leetcode.com/problems/minimum-insertion-steps-to-make-a-string-palindrome/" TargetMode="External" Id="rId109" /><Relationship Type="http://schemas.openxmlformats.org/officeDocument/2006/relationships/hyperlink" Target="https://leetcode.com/submissions/detail/914260676/" TargetMode="External" Id="rId110" /><Relationship Type="http://schemas.openxmlformats.org/officeDocument/2006/relationships/hyperlink" Target="https://leetcode.com/problems/shortest-common-supersequence/" TargetMode="External" Id="rId111" /><Relationship Type="http://schemas.openxmlformats.org/officeDocument/2006/relationships/hyperlink" Target="https://leetcode.com/submissions/detail/914276409/" TargetMode="External" Id="rId112" /><Relationship Type="http://schemas.openxmlformats.org/officeDocument/2006/relationships/hyperlink" Target="https://leetcode.com/problems/shortest-common-supersequence/" TargetMode="External" Id="rId113" /><Relationship Type="http://schemas.openxmlformats.org/officeDocument/2006/relationships/hyperlink" Target="https://leetcode.com/submissions/detail/914282202/" TargetMode="External" Id="rId114" /><Relationship Type="http://schemas.openxmlformats.org/officeDocument/2006/relationships/hyperlink" Target="https://leetcode.com/problems/distinct-subsequences/" TargetMode="External" Id="rId115" /><Relationship Type="http://schemas.openxmlformats.org/officeDocument/2006/relationships/hyperlink" Target="https://leetcode.com/submissions/detail/914307571/" TargetMode="External" Id="rId116" /><Relationship Type="http://schemas.openxmlformats.org/officeDocument/2006/relationships/hyperlink" Target="https://leetcode.com/problems/distinct-subsequences/" TargetMode="External" Id="rId117" /><Relationship Type="http://schemas.openxmlformats.org/officeDocument/2006/relationships/hyperlink" Target="https://leetcode.com/submissions/detail/914316326/" TargetMode="External" Id="rId118" /><Relationship Type="http://schemas.openxmlformats.org/officeDocument/2006/relationships/hyperlink" Target="https://leetcode.com/problems/distinct-subsequences/" TargetMode="External" Id="rId119" /><Relationship Type="http://schemas.openxmlformats.org/officeDocument/2006/relationships/hyperlink" Target="https://leetcode.com/submissions/detail/914319803/" TargetMode="External" Id="rId120" /><Relationship Type="http://schemas.openxmlformats.org/officeDocument/2006/relationships/hyperlink" Target="https://leetcode.com/problems/distinct-subsequences/" TargetMode="External" Id="rId121" /><Relationship Type="http://schemas.openxmlformats.org/officeDocument/2006/relationships/hyperlink" Target="https://leetcode.com/submissions/detail/914326473/" TargetMode="External" Id="rId122" /><Relationship Type="http://schemas.openxmlformats.org/officeDocument/2006/relationships/hyperlink" Target="https://leetcode.com/problems/edit-distance/" TargetMode="External" Id="rId123" /><Relationship Type="http://schemas.openxmlformats.org/officeDocument/2006/relationships/hyperlink" Target="https://leetcode.com/submissions/detail/914331669/" TargetMode="External" Id="rId124" /><Relationship Type="http://schemas.openxmlformats.org/officeDocument/2006/relationships/hyperlink" Target="https://leetcode.com/problems/wildcard-matching/" TargetMode="External" Id="rId125" /><Relationship Type="http://schemas.openxmlformats.org/officeDocument/2006/relationships/hyperlink" Target="https://leetcode.com/submissions/detail/914349601/" TargetMode="External" Id="rId126" /><Relationship Type="http://schemas.openxmlformats.org/officeDocument/2006/relationships/hyperlink" Target="https://leetcode.com/problems/wildcard-matching/" TargetMode="External" Id="rId127" /><Relationship Type="http://schemas.openxmlformats.org/officeDocument/2006/relationships/hyperlink" Target="https://leetcode.com/submissions/detail/914351652/" TargetMode="External" Id="rId128" /><Relationship Type="http://schemas.openxmlformats.org/officeDocument/2006/relationships/hyperlink" Target="https://leetcode.com/problems/wildcard-matching/" TargetMode="External" Id="rId129" /><Relationship Type="http://schemas.openxmlformats.org/officeDocument/2006/relationships/hyperlink" Target="https://leetcode.com/submissions/detail/914353737/" TargetMode="External" Id="rId130" /><Relationship Type="http://schemas.openxmlformats.org/officeDocument/2006/relationships/hyperlink" Target="https://leetcode.com/problems/best-time-to-buy-and-sell-stock/" TargetMode="External" Id="rId131" /><Relationship Type="http://schemas.openxmlformats.org/officeDocument/2006/relationships/hyperlink" Target="https://leetcode.com/submissions/detail/914358315/" TargetMode="External" Id="rId132" /><Relationship Type="http://schemas.openxmlformats.org/officeDocument/2006/relationships/hyperlink" Target="https://leetcode.com/problems/best-time-to-buy-and-sell-stock/" TargetMode="External" Id="rId133" /><Relationship Type="http://schemas.openxmlformats.org/officeDocument/2006/relationships/hyperlink" Target="https://leetcode.com/submissions/detail/914359211/" TargetMode="External" Id="rId134" /><Relationship Type="http://schemas.openxmlformats.org/officeDocument/2006/relationships/hyperlink" Target="https://leetcode.com/problems/best-time-to-buy-and-sell-stock-ii/" TargetMode="External" Id="rId135" /><Relationship Type="http://schemas.openxmlformats.org/officeDocument/2006/relationships/hyperlink" Target="https://leetcode.com/submissions/detail/914371049/" TargetMode="External" Id="rId136" /><Relationship Type="http://schemas.openxmlformats.org/officeDocument/2006/relationships/hyperlink" Target="https://leetcode.com/problems/best-time-to-buy-and-sell-stock-ii/" TargetMode="External" Id="rId137" /><Relationship Type="http://schemas.openxmlformats.org/officeDocument/2006/relationships/hyperlink" Target="https://leetcode.com/submissions/detail/914371469/" TargetMode="External" Id="rId138" /><Relationship Type="http://schemas.openxmlformats.org/officeDocument/2006/relationships/hyperlink" Target="https://leetcode.com/problems/best-time-to-buy-and-sell-stock-ii/" TargetMode="External" Id="rId139" /><Relationship Type="http://schemas.openxmlformats.org/officeDocument/2006/relationships/hyperlink" Target="https://leetcode.com/submissions/detail/914377601/" TargetMode="External" Id="rId140" /><Relationship Type="http://schemas.openxmlformats.org/officeDocument/2006/relationships/hyperlink" Target="https://leetcode.com/problems/course-schedule/" TargetMode="External" Id="rId141" /><Relationship Type="http://schemas.openxmlformats.org/officeDocument/2006/relationships/hyperlink" Target="https://leetcode.com/submissions/detail/915544402/" TargetMode="External" Id="rId142" /><Relationship Type="http://schemas.openxmlformats.org/officeDocument/2006/relationships/hyperlink" Target="https://leetcode.com/problems/minimum-time-to-complete-trips/" TargetMode="External" Id="rId143" /><Relationship Type="http://schemas.openxmlformats.org/officeDocument/2006/relationships/hyperlink" Target="https://leetcode.com/submissions/detail/916049625/" TargetMode="External" Id="rId144" /><Relationship Type="http://schemas.openxmlformats.org/officeDocument/2006/relationships/hyperlink" Target="https://leetcode.com/problems/minimum-time-to-complete-trips/" TargetMode="External" Id="rId145" /><Relationship Type="http://schemas.openxmlformats.org/officeDocument/2006/relationships/hyperlink" Target="https://leetcode.com/submissions/detail/916051318/" TargetMode="External" Id="rId146" /><Relationship Type="http://schemas.openxmlformats.org/officeDocument/2006/relationships/hyperlink" Target="https://leetcode.com/problems/minimum-time-to-complete-trips/" TargetMode="External" Id="rId147" /><Relationship Type="http://schemas.openxmlformats.org/officeDocument/2006/relationships/hyperlink" Target="https://leetcode.com/submissions/detail/916051943/" TargetMode="External" Id="rId148" /><Relationship Type="http://schemas.openxmlformats.org/officeDocument/2006/relationships/hyperlink" Target="https://leetcode.com/problems/minimum-time-to-complete-trips/" TargetMode="External" Id="rId149" /><Relationship Type="http://schemas.openxmlformats.org/officeDocument/2006/relationships/hyperlink" Target="https://leetcode.com/submissions/detail/916053208/" TargetMode="External" Id="rId150" /><Relationship Type="http://schemas.openxmlformats.org/officeDocument/2006/relationships/hyperlink" Target="https://leetcode.com/problems/minimum-time-to-complete-trips/" TargetMode="External" Id="rId151" /><Relationship Type="http://schemas.openxmlformats.org/officeDocument/2006/relationships/hyperlink" Target="https://leetcode.com/submissions/detail/916053597/" TargetMode="External" Id="rId152" /><Relationship Type="http://schemas.openxmlformats.org/officeDocument/2006/relationships/hyperlink" Target="https://leetcode.com/problems/minimum-time-to-complete-trips/" TargetMode="External" Id="rId153" /><Relationship Type="http://schemas.openxmlformats.org/officeDocument/2006/relationships/hyperlink" Target="https://leetcode.com/submissions/detail/916054851/" TargetMode="External" Id="rId154" /><Relationship Type="http://schemas.openxmlformats.org/officeDocument/2006/relationships/hyperlink" Target="https://leetcode.com/problems/minimum-time-to-complete-trips/" TargetMode="External" Id="rId155" /><Relationship Type="http://schemas.openxmlformats.org/officeDocument/2006/relationships/hyperlink" Target="https://leetcode.com/submissions/detail/916055160/" TargetMode="External" Id="rId156" /><Relationship Type="http://schemas.openxmlformats.org/officeDocument/2006/relationships/hyperlink" Target="https://leetcode.com/problems/minimum-time-to-complete-trips/" TargetMode="External" Id="rId157" /><Relationship Type="http://schemas.openxmlformats.org/officeDocument/2006/relationships/hyperlink" Target="https://leetcode.com/submissions/detail/916058795/" TargetMode="External" Id="rId158" /><Relationship Type="http://schemas.openxmlformats.org/officeDocument/2006/relationships/hyperlink" Target="https://leetcode.com/problems/pacific-atlantic-water-flow/" TargetMode="External" Id="rId159" /><Relationship Type="http://schemas.openxmlformats.org/officeDocument/2006/relationships/hyperlink" Target="https://leetcode.com/submissions/detail/916138421/" TargetMode="External" Id="rId160" /><Relationship Type="http://schemas.openxmlformats.org/officeDocument/2006/relationships/hyperlink" Target="https://leetcode.com/problems/bomb-enemy/" TargetMode="External" Id="rId161" /><Relationship Type="http://schemas.openxmlformats.org/officeDocument/2006/relationships/hyperlink" Target="https://leetcode.com/submissions/detail/916248914/" TargetMode="External" Id="rId162" /><Relationship Type="http://schemas.openxmlformats.org/officeDocument/2006/relationships/hyperlink" Target="https://leetcode.com/problems/bomb-enemy/" TargetMode="External" Id="rId163" /><Relationship Type="http://schemas.openxmlformats.org/officeDocument/2006/relationships/hyperlink" Target="https://leetcode.com/submissions/detail/916250425/" TargetMode="External" Id="rId164" /><Relationship Type="http://schemas.openxmlformats.org/officeDocument/2006/relationships/hyperlink" Target="https://leetcode.com/problems/bomb-enemy/" TargetMode="External" Id="rId165" /><Relationship Type="http://schemas.openxmlformats.org/officeDocument/2006/relationships/hyperlink" Target="https://leetcode.com/submissions/detail/916250697/" TargetMode="External" Id="rId166" /><Relationship Type="http://schemas.openxmlformats.org/officeDocument/2006/relationships/hyperlink" Target="https://leetcode.com/problems/leftmost-column-with-at-least-a-one/" TargetMode="External" Id="rId167" /><Relationship Type="http://schemas.openxmlformats.org/officeDocument/2006/relationships/hyperlink" Target="https://leetcode.com/submissions/detail/916266861/" TargetMode="External" Id="rId168" /><Relationship Type="http://schemas.openxmlformats.org/officeDocument/2006/relationships/hyperlink" Target="https://leetcode.com/problems/longest-continuous-subarray-with-absolute-diff-less-than-or-equal-to-limit/" TargetMode="External" Id="rId169" /><Relationship Type="http://schemas.openxmlformats.org/officeDocument/2006/relationships/hyperlink" Target="https://leetcode.com/submissions/detail/916283389/" TargetMode="External" Id="rId170" /><Relationship Type="http://schemas.openxmlformats.org/officeDocument/2006/relationships/hyperlink" Target="https://leetcode.com/problems/longest-continuous-subarray-with-absolute-diff-less-than-or-equal-to-limit/" TargetMode="External" Id="rId171" /><Relationship Type="http://schemas.openxmlformats.org/officeDocument/2006/relationships/hyperlink" Target="https://leetcode.com/submissions/detail/916287128/" TargetMode="External" Id="rId172" /><Relationship Type="http://schemas.openxmlformats.org/officeDocument/2006/relationships/hyperlink" Target="https://leetcode.com/problems/longest-continuous-subarray-with-absolute-diff-less-than-or-equal-to-limit/" TargetMode="External" Id="rId173" /><Relationship Type="http://schemas.openxmlformats.org/officeDocument/2006/relationships/hyperlink" Target="https://leetcode.com/submissions/detail/916288522/" TargetMode="External" Id="rId174" /><Relationship Type="http://schemas.openxmlformats.org/officeDocument/2006/relationships/hyperlink" Target="https://leetcode.com/problems/range-module/" TargetMode="External" Id="rId175" /><Relationship Type="http://schemas.openxmlformats.org/officeDocument/2006/relationships/hyperlink" Target="https://leetcode.com/submissions/detail/917810461/" TargetMode="External" Id="rId176" /><Relationship Type="http://schemas.openxmlformats.org/officeDocument/2006/relationships/hyperlink" Target="https://leetcode.com/problems/range-module/" TargetMode="External" Id="rId177" /><Relationship Type="http://schemas.openxmlformats.org/officeDocument/2006/relationships/hyperlink" Target="https://leetcode.com/submissions/detail/917819658/" TargetMode="External" Id="rId178" /><Relationship Type="http://schemas.openxmlformats.org/officeDocument/2006/relationships/hyperlink" Target="https://leetcode.com/problems/range-module/" TargetMode="External" Id="rId179" /><Relationship Type="http://schemas.openxmlformats.org/officeDocument/2006/relationships/hyperlink" Target="https://leetcode.com/submissions/detail/917821896/" TargetMode="External" Id="rId180" /><Relationship Type="http://schemas.openxmlformats.org/officeDocument/2006/relationships/hyperlink" Target="https://leetcode.com/problems/range-module/" TargetMode="External" Id="rId181" /><Relationship Type="http://schemas.openxmlformats.org/officeDocument/2006/relationships/hyperlink" Target="https://leetcode.com/submissions/detail/917822373/" TargetMode="External" Id="rId182" /><Relationship Type="http://schemas.openxmlformats.org/officeDocument/2006/relationships/hyperlink" Target="https://leetcode.com/problems/number-of-islands/" TargetMode="External" Id="rId183" /><Relationship Type="http://schemas.openxmlformats.org/officeDocument/2006/relationships/hyperlink" Target="https://leetcode.com/submissions/detail/917948684/" TargetMode="External" Id="rId184" /><Relationship Type="http://schemas.openxmlformats.org/officeDocument/2006/relationships/hyperlink" Target="https://leetcode.com/problems/longest-valid-parentheses/" TargetMode="External" Id="rId185" /><Relationship Type="http://schemas.openxmlformats.org/officeDocument/2006/relationships/hyperlink" Target="https://leetcode.com/submissions/detail/918711517/" TargetMode="External" Id="rId186" /><Relationship Type="http://schemas.openxmlformats.org/officeDocument/2006/relationships/hyperlink" Target="https://leetcode.com/problems/longest-valid-parentheses/" TargetMode="External" Id="rId187" /><Relationship Type="http://schemas.openxmlformats.org/officeDocument/2006/relationships/hyperlink" Target="https://leetcode.com/submissions/detail/918716653/" TargetMode="External" Id="rId188" /><Relationship Type="http://schemas.openxmlformats.org/officeDocument/2006/relationships/hyperlink" Target="https://leetcode.com/problems/reverse-nodes-in-k-group/" TargetMode="External" Id="rId189" /><Relationship Type="http://schemas.openxmlformats.org/officeDocument/2006/relationships/hyperlink" Target="https://leetcode.com/submissions/detail/918719901/" TargetMode="External" Id="rId190" /><Relationship Type="http://schemas.openxmlformats.org/officeDocument/2006/relationships/hyperlink" Target="https://leetcode.com/problems/lru-cache/" TargetMode="External" Id="rId191" /><Relationship Type="http://schemas.openxmlformats.org/officeDocument/2006/relationships/hyperlink" Target="https://leetcode.com/submissions/detail/918738327/" TargetMode="External" Id="rId192" /><Relationship Type="http://schemas.openxmlformats.org/officeDocument/2006/relationships/hyperlink" Target="https://leetcode.com/problems/lru-cache/" TargetMode="External" Id="rId193" /><Relationship Type="http://schemas.openxmlformats.org/officeDocument/2006/relationships/hyperlink" Target="https://leetcode.com/submissions/detail/918739058/" TargetMode="External" Id="rId194" /><Relationship Type="http://schemas.openxmlformats.org/officeDocument/2006/relationships/hyperlink" Target="https://leetcode.com/problems/longest-palindromic-substring/" TargetMode="External" Id="rId195" /><Relationship Type="http://schemas.openxmlformats.org/officeDocument/2006/relationships/hyperlink" Target="https://leetcode.com/submissions/detail/918763865/" TargetMode="External" Id="rId196" /><Relationship Type="http://schemas.openxmlformats.org/officeDocument/2006/relationships/hyperlink" Target="https://leetcode.com/problems/longest-palindromic-substring/" TargetMode="External" Id="rId197" /><Relationship Type="http://schemas.openxmlformats.org/officeDocument/2006/relationships/hyperlink" Target="https://leetcode.com/submissions/detail/918764471/" TargetMode="External" Id="rId198" /><Relationship Type="http://schemas.openxmlformats.org/officeDocument/2006/relationships/hyperlink" Target="https://leetcode.com/problems/longest-palindromic-substring/" TargetMode="External" Id="rId199" /><Relationship Type="http://schemas.openxmlformats.org/officeDocument/2006/relationships/hyperlink" Target="https://leetcode.com/submissions/detail/918765526/" TargetMode="External" Id="rId200" /><Relationship Type="http://schemas.openxmlformats.org/officeDocument/2006/relationships/hyperlink" Target="https://leetcode.com/problems/longest-palindromic-substring/" TargetMode="External" Id="rId201" /><Relationship Type="http://schemas.openxmlformats.org/officeDocument/2006/relationships/hyperlink" Target="https://leetcode.com/submissions/detail/918765732/" TargetMode="External" Id="rId202" /><Relationship Type="http://schemas.openxmlformats.org/officeDocument/2006/relationships/hyperlink" Target="https://leetcode.com/problems/find-first-and-last-position-of-element-in-sorted-array/" TargetMode="External" Id="rId203" /><Relationship Type="http://schemas.openxmlformats.org/officeDocument/2006/relationships/hyperlink" Target="https://leetcode.com/submissions/detail/919203923/" TargetMode="External" Id="rId204" /><Relationship Type="http://schemas.openxmlformats.org/officeDocument/2006/relationships/hyperlink" Target="https://leetcode.com/problems/group-anagrams/" TargetMode="External" Id="rId205" /><Relationship Type="http://schemas.openxmlformats.org/officeDocument/2006/relationships/hyperlink" Target="https://leetcode.com/submissions/detail/919219818/" TargetMode="External" Id="rId206" /><Relationship Type="http://schemas.openxmlformats.org/officeDocument/2006/relationships/hyperlink" Target="https://leetcode.com/problems/group-anagrams/" TargetMode="External" Id="rId207" /><Relationship Type="http://schemas.openxmlformats.org/officeDocument/2006/relationships/hyperlink" Target="https://leetcode.com/submissions/detail/919226157/" TargetMode="External" Id="rId208" /><Relationship Type="http://schemas.openxmlformats.org/officeDocument/2006/relationships/hyperlink" Target="https://leetcode.com/problems/group-anagrams/" TargetMode="External" Id="rId209" /><Relationship Type="http://schemas.openxmlformats.org/officeDocument/2006/relationships/hyperlink" Target="https://leetcode.com/submissions/detail/919230452/" TargetMode="External" Id="rId210" /><Relationship Type="http://schemas.openxmlformats.org/officeDocument/2006/relationships/hyperlink" Target="https://leetcode.com/problems/text-justification/" TargetMode="External" Id="rId211" /><Relationship Type="http://schemas.openxmlformats.org/officeDocument/2006/relationships/hyperlink" Target="https://leetcode.com/submissions/detail/919260300/" TargetMode="External" Id="rId212" /><Relationship Type="http://schemas.openxmlformats.org/officeDocument/2006/relationships/hyperlink" Target="https://leetcode.com/problems/minimum-window-substring/" TargetMode="External" Id="rId213" /><Relationship Type="http://schemas.openxmlformats.org/officeDocument/2006/relationships/hyperlink" Target="https://leetcode.com/submissions/detail/919296391/" TargetMode="External" Id="rId214" /><Relationship Type="http://schemas.openxmlformats.org/officeDocument/2006/relationships/hyperlink" Target="https://leetcode.com/problems/minimum-window-substring/" TargetMode="External" Id="rId215" /><Relationship Type="http://schemas.openxmlformats.org/officeDocument/2006/relationships/hyperlink" Target="https://leetcode.com/submissions/detail/919305715/" TargetMode="External" Id="rId216" /><Relationship Type="http://schemas.openxmlformats.org/officeDocument/2006/relationships/hyperlink" Target="https://leetcode.com/problems/minimum-window-substring/" TargetMode="External" Id="rId217" /><Relationship Type="http://schemas.openxmlformats.org/officeDocument/2006/relationships/hyperlink" Target="https://leetcode.com/submissions/detail/919306129/" TargetMode="External" Id="rId218" /><Relationship Type="http://schemas.openxmlformats.org/officeDocument/2006/relationships/hyperlink" Target="https://leetcode.com/problems/minimum-window-substring/" TargetMode="External" Id="rId219" /><Relationship Type="http://schemas.openxmlformats.org/officeDocument/2006/relationships/hyperlink" Target="https://leetcode.com/submissions/detail/919307944/" TargetMode="External" Id="rId220" /><Relationship Type="http://schemas.openxmlformats.org/officeDocument/2006/relationships/hyperlink" Target="https://leetcode.com/problems/minimum-window-substring/" TargetMode="External" Id="rId221" /><Relationship Type="http://schemas.openxmlformats.org/officeDocument/2006/relationships/hyperlink" Target="https://leetcode.com/submissions/detail/919309991/" TargetMode="External" Id="rId222" /><Relationship Type="http://schemas.openxmlformats.org/officeDocument/2006/relationships/hyperlink" Target="https://leetcode.com/problems/reconstruct-itinerary/" TargetMode="External" Id="rId223" /><Relationship Type="http://schemas.openxmlformats.org/officeDocument/2006/relationships/hyperlink" Target="https://leetcode.com/submissions/detail/919393964/" TargetMode="External" Id="rId224" /><Relationship Type="http://schemas.openxmlformats.org/officeDocument/2006/relationships/hyperlink" Target="https://leetcode.com/problems/evaluate-division/" TargetMode="External" Id="rId225" /><Relationship Type="http://schemas.openxmlformats.org/officeDocument/2006/relationships/hyperlink" Target="https://leetcode.com/submissions/detail/919497161/" TargetMode="External" Id="rId226" /><Relationship Type="http://schemas.openxmlformats.org/officeDocument/2006/relationships/hyperlink" Target="https://leetcode.com/problems/evaluate-division/" TargetMode="External" Id="rId227" /><Relationship Type="http://schemas.openxmlformats.org/officeDocument/2006/relationships/hyperlink" Target="https://leetcode.com/submissions/detail/919497511/" TargetMode="External" Id="rId228" /><Relationship Type="http://schemas.openxmlformats.org/officeDocument/2006/relationships/hyperlink" Target="https://leetcode.com/problems/find-duplicate-subtrees/" TargetMode="External" Id="rId229" /><Relationship Type="http://schemas.openxmlformats.org/officeDocument/2006/relationships/hyperlink" Target="https://leetcode.com/submissions/detail/919510923/" TargetMode="External" Id="rId230" /><Relationship Type="http://schemas.openxmlformats.org/officeDocument/2006/relationships/hyperlink" Target="https://leetcode.com/problems/trapping-rain-water/" TargetMode="External" Id="rId231" /><Relationship Type="http://schemas.openxmlformats.org/officeDocument/2006/relationships/hyperlink" Target="https://leetcode.com/submissions/detail/919668793/" TargetMode="External" Id="rId232" /><Relationship Type="http://schemas.openxmlformats.org/officeDocument/2006/relationships/hyperlink" Target="https://leetcode.com/problems/trapping-rain-water/" TargetMode="External" Id="rId233" /><Relationship Type="http://schemas.openxmlformats.org/officeDocument/2006/relationships/hyperlink" Target="https://leetcode.com/submissions/detail/919670634/" TargetMode="External" Id="rId234" /><Relationship Type="http://schemas.openxmlformats.org/officeDocument/2006/relationships/hyperlink" Target="https://leetcode.com/problems/trapping-rain-water/" TargetMode="External" Id="rId235" /><Relationship Type="http://schemas.openxmlformats.org/officeDocument/2006/relationships/hyperlink" Target="https://leetcode.com/submissions/detail/919686936/" TargetMode="External" Id="rId236" /><Relationship Type="http://schemas.openxmlformats.org/officeDocument/2006/relationships/hyperlink" Target="https://leetcode.com/problems/trapping-rain-water/" TargetMode="External" Id="rId237" /><Relationship Type="http://schemas.openxmlformats.org/officeDocument/2006/relationships/hyperlink" Target="https://leetcode.com/submissions/detail/919690241/" TargetMode="External" Id="rId238" /><Relationship Type="http://schemas.openxmlformats.org/officeDocument/2006/relationships/hyperlink" Target="https://leetcode.com/problems/meeting-rooms-ii/" TargetMode="External" Id="rId239" /><Relationship Type="http://schemas.openxmlformats.org/officeDocument/2006/relationships/hyperlink" Target="https://leetcode.com/submissions/detail/919711707/" TargetMode="External" Id="rId240" /><Relationship Type="http://schemas.openxmlformats.org/officeDocument/2006/relationships/hyperlink" Target="https://leetcode.com/problems/meeting-rooms-ii/" TargetMode="External" Id="rId241" /><Relationship Type="http://schemas.openxmlformats.org/officeDocument/2006/relationships/hyperlink" Target="https://leetcode.com/submissions/detail/919711890/" TargetMode="External" Id="rId242" /><Relationship Type="http://schemas.openxmlformats.org/officeDocument/2006/relationships/hyperlink" Target="https://leetcode.com/problems/meeting-rooms-ii/" TargetMode="External" Id="rId243" /><Relationship Type="http://schemas.openxmlformats.org/officeDocument/2006/relationships/hyperlink" Target="https://leetcode.com/submissions/detail/919712264/" TargetMode="External" Id="rId244" /><Relationship Type="http://schemas.openxmlformats.org/officeDocument/2006/relationships/hyperlink" Target="https://leetcode.com/problems/meeting-rooms-ii/" TargetMode="External" Id="rId245" /><Relationship Type="http://schemas.openxmlformats.org/officeDocument/2006/relationships/hyperlink" Target="https://leetcode.com/submissions/detail/919712810/" TargetMode="External" Id="rId246" /><Relationship Type="http://schemas.openxmlformats.org/officeDocument/2006/relationships/hyperlink" Target="https://leetcode.com/problems/meeting-rooms-ii/" TargetMode="External" Id="rId247" /><Relationship Type="http://schemas.openxmlformats.org/officeDocument/2006/relationships/hyperlink" Target="https://leetcode.com/submissions/detail/919713087/" TargetMode="External" Id="rId248" /><Relationship Type="http://schemas.openxmlformats.org/officeDocument/2006/relationships/hyperlink" Target="https://leetcode.com/problems/meeting-rooms-ii/" TargetMode="External" Id="rId249" /><Relationship Type="http://schemas.openxmlformats.org/officeDocument/2006/relationships/hyperlink" Target="https://leetcode.com/submissions/detail/919716470/" TargetMode="External" Id="rId250" /><Relationship Type="http://schemas.openxmlformats.org/officeDocument/2006/relationships/hyperlink" Target="https://leetcode.com/problems/meeting-rooms-ii/" TargetMode="External" Id="rId251" /><Relationship Type="http://schemas.openxmlformats.org/officeDocument/2006/relationships/hyperlink" Target="https://leetcode.com/submissions/detail/919716679/" TargetMode="External" Id="rId252" /><Relationship Type="http://schemas.openxmlformats.org/officeDocument/2006/relationships/hyperlink" Target="https://leetcode.com/problems/task-scheduler/" TargetMode="External" Id="rId253" /><Relationship Type="http://schemas.openxmlformats.org/officeDocument/2006/relationships/hyperlink" Target="https://leetcode.com/submissions/detail/919736147/" TargetMode="External" Id="rId254" /><Relationship Type="http://schemas.openxmlformats.org/officeDocument/2006/relationships/hyperlink" Target="https://leetcode.com/problems/task-scheduler/" TargetMode="External" Id="rId255" /><Relationship Type="http://schemas.openxmlformats.org/officeDocument/2006/relationships/hyperlink" Target="https://leetcode.com/submissions/detail/919736885/" TargetMode="External" Id="rId256" /><Relationship Type="http://schemas.openxmlformats.org/officeDocument/2006/relationships/hyperlink" Target="https://leetcode.com/problems/task-scheduler/" TargetMode="External" Id="rId257" /><Relationship Type="http://schemas.openxmlformats.org/officeDocument/2006/relationships/hyperlink" Target="https://leetcode.com/submissions/detail/919742388/" TargetMode="External" Id="rId258" /><Relationship Type="http://schemas.openxmlformats.org/officeDocument/2006/relationships/hyperlink" Target="https://leetcode.com/problems/exclusive-time-of-functions/" TargetMode="External" Id="rId259" /><Relationship Type="http://schemas.openxmlformats.org/officeDocument/2006/relationships/hyperlink" Target="https://leetcode.com/submissions/detail/919762915/" TargetMode="External" Id="rId260" /><Relationship Type="http://schemas.openxmlformats.org/officeDocument/2006/relationships/hyperlink" Target="https://leetcode.com/problems/merge-k-sorted-lists/" TargetMode="External" Id="rId261" /><Relationship Type="http://schemas.openxmlformats.org/officeDocument/2006/relationships/hyperlink" Target="https://leetcode.com/submissions/detail/919769431/" TargetMode="External" Id="rId262" /><Relationship Type="http://schemas.openxmlformats.org/officeDocument/2006/relationships/hyperlink" Target="https://leetcode.com/problems/employee-free-time/" TargetMode="External" Id="rId263" /><Relationship Type="http://schemas.openxmlformats.org/officeDocument/2006/relationships/hyperlink" Target="https://leetcode.com/submissions/detail/919932005/" TargetMode="External" Id="rId264" /><Relationship Type="http://schemas.openxmlformats.org/officeDocument/2006/relationships/hyperlink" Target="https://leetcode.com/problems/employee-free-time/" TargetMode="External" Id="rId265" /><Relationship Type="http://schemas.openxmlformats.org/officeDocument/2006/relationships/hyperlink" Target="https://leetcode.com/submissions/detail/919943695/" TargetMode="External" Id="rId266" /><Relationship Type="http://schemas.openxmlformats.org/officeDocument/2006/relationships/hyperlink" Target="https://leetcode.com/problems/letter-combinations-of-a-phone-number/" TargetMode="External" Id="rId267" /><Relationship Type="http://schemas.openxmlformats.org/officeDocument/2006/relationships/hyperlink" Target="https://leetcode.com/submissions/detail/919952195/" TargetMode="External" Id="rId268" /><Relationship Type="http://schemas.openxmlformats.org/officeDocument/2006/relationships/hyperlink" Target="https://leetcode.com/problems/letter-combinations-of-a-phone-number/" TargetMode="External" Id="rId269" /><Relationship Type="http://schemas.openxmlformats.org/officeDocument/2006/relationships/hyperlink" Target="https://leetcode.com/submissions/detail/919954817/" TargetMode="External" Id="rId270" /><Relationship Type="http://schemas.openxmlformats.org/officeDocument/2006/relationships/hyperlink" Target="https://leetcode.com/problems/letter-combinations-of-a-phone-number/" TargetMode="External" Id="rId271" /><Relationship Type="http://schemas.openxmlformats.org/officeDocument/2006/relationships/hyperlink" Target="https://leetcode.com/submissions/detail/919955350/" TargetMode="External" Id="rId272" /><Relationship Type="http://schemas.openxmlformats.org/officeDocument/2006/relationships/hyperlink" Target="https://leetcode.com/problems/letter-combinations-of-a-phone-number/" TargetMode="External" Id="rId273" /><Relationship Type="http://schemas.openxmlformats.org/officeDocument/2006/relationships/hyperlink" Target="https://leetcode.com/submissions/detail/919955559/" TargetMode="External" Id="rId274" /><Relationship Type="http://schemas.openxmlformats.org/officeDocument/2006/relationships/hyperlink" Target="https://leetcode.com/problems/subsets/" TargetMode="External" Id="rId275" /><Relationship Type="http://schemas.openxmlformats.org/officeDocument/2006/relationships/hyperlink" Target="https://leetcode.com/submissions/detail/919970680/" TargetMode="External" Id="rId276" /><Relationship Type="http://schemas.openxmlformats.org/officeDocument/2006/relationships/hyperlink" Target="https://leetcode.com/problems/subsets-ii/" TargetMode="External" Id="rId277" /><Relationship Type="http://schemas.openxmlformats.org/officeDocument/2006/relationships/hyperlink" Target="https://leetcode.com/submissions/detail/919983739/" TargetMode="External" Id="rId278" /><Relationship Type="http://schemas.openxmlformats.org/officeDocument/2006/relationships/hyperlink" Target="https://leetcode.com/problems/subsets-ii/" TargetMode="External" Id="rId279" /><Relationship Type="http://schemas.openxmlformats.org/officeDocument/2006/relationships/hyperlink" Target="https://leetcode.com/submissions/detail/919984029/" TargetMode="External" Id="rId280" /><Relationship Type="http://schemas.openxmlformats.org/officeDocument/2006/relationships/hyperlink" Target="https://leetcode.com/problems/permutations/" TargetMode="External" Id="rId281" /><Relationship Type="http://schemas.openxmlformats.org/officeDocument/2006/relationships/hyperlink" Target="https://leetcode.com/submissions/detail/919996508/" TargetMode="External" Id="rId282" /><Relationship Type="http://schemas.openxmlformats.org/officeDocument/2006/relationships/hyperlink" Target="https://leetcode.com/problems/permutations-ii/" TargetMode="External" Id="rId283" /><Relationship Type="http://schemas.openxmlformats.org/officeDocument/2006/relationships/hyperlink" Target="https://leetcode.com/submissions/detail/920000533/" TargetMode="External" Id="rId284" /><Relationship Type="http://schemas.openxmlformats.org/officeDocument/2006/relationships/hyperlink" Target="https://leetcode.com/problems/permutations-ii/" TargetMode="External" Id="rId285" /><Relationship Type="http://schemas.openxmlformats.org/officeDocument/2006/relationships/hyperlink" Target="https://leetcode.com/submissions/detail/920000773/" TargetMode="External" Id="rId286" /><Relationship Type="http://schemas.openxmlformats.org/officeDocument/2006/relationships/hyperlink" Target="https://leetcode.com/problems/word-ladder/" TargetMode="External" Id="rId287" /><Relationship Type="http://schemas.openxmlformats.org/officeDocument/2006/relationships/hyperlink" Target="https://leetcode.com/submissions/detail/920118983/" TargetMode="External" Id="rId288" /><Relationship Type="http://schemas.openxmlformats.org/officeDocument/2006/relationships/hyperlink" Target="https://leetcode.com/problems/word-ladder/" TargetMode="External" Id="rId289" /><Relationship Type="http://schemas.openxmlformats.org/officeDocument/2006/relationships/hyperlink" Target="https://leetcode.com/submissions/detail/920128078/" TargetMode="External" Id="rId290" /><Relationship Type="http://schemas.openxmlformats.org/officeDocument/2006/relationships/hyperlink" Target="https://leetcode.com/problems/word-ladder-ii/" TargetMode="External" Id="rId291" /><Relationship Type="http://schemas.openxmlformats.org/officeDocument/2006/relationships/hyperlink" Target="https://leetcode.com/submissions/detail/920159508/" TargetMode="External" Id="rId292" /><Relationship Type="http://schemas.openxmlformats.org/officeDocument/2006/relationships/hyperlink" Target="https://leetcode.com/problems/word-ladder-ii/" TargetMode="External" Id="rId293" /><Relationship Type="http://schemas.openxmlformats.org/officeDocument/2006/relationships/hyperlink" Target="https://leetcode.com/submissions/detail/920161455/" TargetMode="External" Id="rId294" /><Relationship Type="http://schemas.openxmlformats.org/officeDocument/2006/relationships/hyperlink" Target="https://leetcode.com/problems/word-ladder-ii/" TargetMode="External" Id="rId295" /><Relationship Type="http://schemas.openxmlformats.org/officeDocument/2006/relationships/hyperlink" Target="https://leetcode.com/submissions/detail/920162321/" TargetMode="External" Id="rId296" /><Relationship Type="http://schemas.openxmlformats.org/officeDocument/2006/relationships/hyperlink" Target="https://leetcode.com/problems/two-sum/" TargetMode="External" Id="rId297" /><Relationship Type="http://schemas.openxmlformats.org/officeDocument/2006/relationships/hyperlink" Target="https://leetcode.com/submissions/detail/920196208/" TargetMode="External" Id="rId298" /><Relationship Type="http://schemas.openxmlformats.org/officeDocument/2006/relationships/hyperlink" Target="https://leetcode.com/problems/find-first-and-last-position-of-element-in-sorted-array/" TargetMode="External" Id="rId299" /><Relationship Type="http://schemas.openxmlformats.org/officeDocument/2006/relationships/hyperlink" Target="https://leetcode.com/submissions/detail/920196302/" TargetMode="External" Id="rId300" /><Relationship Type="http://schemas.openxmlformats.org/officeDocument/2006/relationships/hyperlink" Target="https://leetcode.com/problems/group-anagrams/" TargetMode="External" Id="rId301" /><Relationship Type="http://schemas.openxmlformats.org/officeDocument/2006/relationships/hyperlink" Target="https://leetcode.com/submissions/detail/920196438/" TargetMode="External" Id="rId302" /><Relationship Type="http://schemas.openxmlformats.org/officeDocument/2006/relationships/hyperlink" Target="https://leetcode.com/problems/text-justification/" TargetMode="External" Id="rId303" /><Relationship Type="http://schemas.openxmlformats.org/officeDocument/2006/relationships/hyperlink" Target="https://leetcode.com/submissions/detail/920196506/" TargetMode="External" Id="rId304" /><Relationship Type="http://schemas.openxmlformats.org/officeDocument/2006/relationships/hyperlink" Target="https://leetcode.com/problems/minimum-window-substring/" TargetMode="External" Id="rId305" /><Relationship Type="http://schemas.openxmlformats.org/officeDocument/2006/relationships/hyperlink" Target="https://leetcode.com/submissions/detail/920196602/" TargetMode="External" Id="rId306" /><Relationship Type="http://schemas.openxmlformats.org/officeDocument/2006/relationships/hyperlink" Target="https://leetcode.com/problems/number-of-islands/" TargetMode="External" Id="rId307" /><Relationship Type="http://schemas.openxmlformats.org/officeDocument/2006/relationships/hyperlink" Target="https://leetcode.com/submissions/detail/920225256/" TargetMode="External" Id="rId308" /><Relationship Type="http://schemas.openxmlformats.org/officeDocument/2006/relationships/hyperlink" Target="https://leetcode.com/problems/merge-k-sorted-lists/" TargetMode="External" Id="rId309" /><Relationship Type="http://schemas.openxmlformats.org/officeDocument/2006/relationships/hyperlink" Target="https://leetcode.com/submissions/detail/920225535/" TargetMode="External" Id="rId310" /><Relationship Type="http://schemas.openxmlformats.org/officeDocument/2006/relationships/hyperlink" Target="https://leetcode.com/problems/reconstruct-itinerary/" TargetMode="External" Id="rId311" /><Relationship Type="http://schemas.openxmlformats.org/officeDocument/2006/relationships/hyperlink" Target="https://leetcode.com/submissions/detail/920225879/" TargetMode="External" Id="rId312" /><Relationship Type="http://schemas.openxmlformats.org/officeDocument/2006/relationships/hyperlink" Target="https://leetcode.com/problems/reconstruct-itinerary/" TargetMode="External" Id="rId313" /><Relationship Type="http://schemas.openxmlformats.org/officeDocument/2006/relationships/hyperlink" Target="https://leetcode.com/submissions/detail/920227119/" TargetMode="External" Id="rId314" /><Relationship Type="http://schemas.openxmlformats.org/officeDocument/2006/relationships/hyperlink" Target="https://leetcode.com/problems/reconstruct-itinerary/" TargetMode="External" Id="rId315" /><Relationship Type="http://schemas.openxmlformats.org/officeDocument/2006/relationships/hyperlink" Target="https://leetcode.com/submissions/detail/920227362/" TargetMode="External" Id="rId316" /><Relationship Type="http://schemas.openxmlformats.org/officeDocument/2006/relationships/hyperlink" Target="https://leetcode.com/problems/evaluate-division/" TargetMode="External" Id="rId317" /><Relationship Type="http://schemas.openxmlformats.org/officeDocument/2006/relationships/hyperlink" Target="https://leetcode.com/submissions/detail/920228516/" TargetMode="External" Id="rId318" /><Relationship Type="http://schemas.openxmlformats.org/officeDocument/2006/relationships/hyperlink" Target="https://leetcode.com/problems/find-duplicate-subtrees/" TargetMode="External" Id="rId319" /><Relationship Type="http://schemas.openxmlformats.org/officeDocument/2006/relationships/hyperlink" Target="https://leetcode.com/submissions/detail/920228711/" TargetMode="External" Id="rId320" /><Relationship Type="http://schemas.openxmlformats.org/officeDocument/2006/relationships/hyperlink" Target="https://leetcode.com/problems/trapping-rain-water/" TargetMode="External" Id="rId321" /><Relationship Type="http://schemas.openxmlformats.org/officeDocument/2006/relationships/hyperlink" Target="https://leetcode.com/submissions/detail/920228993/" TargetMode="External" Id="rId322" /><Relationship Type="http://schemas.openxmlformats.org/officeDocument/2006/relationships/hyperlink" Target="https://leetcode.com/problems/meeting-rooms-ii/" TargetMode="External" Id="rId323" /><Relationship Type="http://schemas.openxmlformats.org/officeDocument/2006/relationships/hyperlink" Target="https://leetcode.com/submissions/detail/920229186/" TargetMode="External" Id="rId324" /><Relationship Type="http://schemas.openxmlformats.org/officeDocument/2006/relationships/hyperlink" Target="https://leetcode.com/problems/task-scheduler/" TargetMode="External" Id="rId325" /><Relationship Type="http://schemas.openxmlformats.org/officeDocument/2006/relationships/hyperlink" Target="https://leetcode.com/submissions/detail/920229298/" TargetMode="External" Id="rId326" /><Relationship Type="http://schemas.openxmlformats.org/officeDocument/2006/relationships/hyperlink" Target="https://leetcode.com/problems/exclusive-time-of-functions/" TargetMode="External" Id="rId327" /><Relationship Type="http://schemas.openxmlformats.org/officeDocument/2006/relationships/hyperlink" Target="https://leetcode.com/submissions/detail/920229426/" TargetMode="External" Id="rId328" /><Relationship Type="http://schemas.openxmlformats.org/officeDocument/2006/relationships/hyperlink" Target="https://leetcode.com/problems/employee-free-time/" TargetMode="External" Id="rId329" /><Relationship Type="http://schemas.openxmlformats.org/officeDocument/2006/relationships/hyperlink" Target="https://leetcode.com/submissions/detail/920229589/" TargetMode="External" Id="rId330" /><Relationship Type="http://schemas.openxmlformats.org/officeDocument/2006/relationships/hyperlink" Target="https://leetcode.com/problems/letter-combinations-of-a-phone-number/" TargetMode="External" Id="rId331" /><Relationship Type="http://schemas.openxmlformats.org/officeDocument/2006/relationships/hyperlink" Target="https://leetcode.com/submissions/detail/920229842/" TargetMode="External" Id="rId332" /><Relationship Type="http://schemas.openxmlformats.org/officeDocument/2006/relationships/hyperlink" Target="https://leetcode.com/problems/subsets/" TargetMode="External" Id="rId333" /><Relationship Type="http://schemas.openxmlformats.org/officeDocument/2006/relationships/hyperlink" Target="https://leetcode.com/submissions/detail/920229956/" TargetMode="External" Id="rId334" /><Relationship Type="http://schemas.openxmlformats.org/officeDocument/2006/relationships/hyperlink" Target="https://leetcode.com/problems/merge-intervals/" TargetMode="External" Id="rId335" /><Relationship Type="http://schemas.openxmlformats.org/officeDocument/2006/relationships/hyperlink" Target="https://leetcode.com/submissions/detail/920230058/" TargetMode="External" Id="rId336" /><Relationship Type="http://schemas.openxmlformats.org/officeDocument/2006/relationships/hyperlink" Target="https://leetcode.com/problems/word-ladder-ii/" TargetMode="External" Id="rId337" /><Relationship Type="http://schemas.openxmlformats.org/officeDocument/2006/relationships/hyperlink" Target="https://leetcode.com/submissions/detail/920230156/" TargetMode="External" Id="rId338" /><Relationship Type="http://schemas.openxmlformats.org/officeDocument/2006/relationships/hyperlink" Target="https://leetcode.com/problems/number-of-islands/" TargetMode="External" Id="rId339" /><Relationship Type="http://schemas.openxmlformats.org/officeDocument/2006/relationships/hyperlink" Target="https://leetcode.com/submissions/detail/920230273/" TargetMode="External" Id="rId340" /><Relationship Type="http://schemas.openxmlformats.org/officeDocument/2006/relationships/hyperlink" Target="https://leetcode.com/problems/number-of-islands/" TargetMode="External" Id="rId341" /><Relationship Type="http://schemas.openxmlformats.org/officeDocument/2006/relationships/hyperlink" Target="https://leetcode.com/submissions/detail/920230965/" TargetMode="External" Id="rId342" /><Relationship Type="http://schemas.openxmlformats.org/officeDocument/2006/relationships/hyperlink" Target="https://leetcode.com/problems/number-of-islands/" TargetMode="External" Id="rId343" /><Relationship Type="http://schemas.openxmlformats.org/officeDocument/2006/relationships/hyperlink" Target="https://leetcode.com/submissions/detail/920231136/" TargetMode="External" Id="rId344" /><Relationship Type="http://schemas.openxmlformats.org/officeDocument/2006/relationships/hyperlink" Target="https://leetcode.com/problems/walls-and-gates/" TargetMode="External" Id="rId345" /><Relationship Type="http://schemas.openxmlformats.org/officeDocument/2006/relationships/hyperlink" Target="https://leetcode.com/submissions/detail/920247509/" TargetMode="External" Id="rId346" /><Relationship Type="http://schemas.openxmlformats.org/officeDocument/2006/relationships/hyperlink" Target="https://leetcode.com/problems/walls-and-gates/" TargetMode="External" Id="rId347" /><Relationship Type="http://schemas.openxmlformats.org/officeDocument/2006/relationships/hyperlink" Target="https://leetcode.com/submissions/detail/920247969/" TargetMode="External" Id="rId348" /><Relationship Type="http://schemas.openxmlformats.org/officeDocument/2006/relationships/hyperlink" Target="https://leetcode.com/problems/remove-invalid-parentheses/" TargetMode="External" Id="rId349" /><Relationship Type="http://schemas.openxmlformats.org/officeDocument/2006/relationships/hyperlink" Target="https://leetcode.com/submissions/detail/920285535/" TargetMode="External" Id="rId350" /><Relationship Type="http://schemas.openxmlformats.org/officeDocument/2006/relationships/hyperlink" Target="https://leetcode.com/problems/remove-invalid-parentheses/" TargetMode="External" Id="rId351" /><Relationship Type="http://schemas.openxmlformats.org/officeDocument/2006/relationships/hyperlink" Target="https://leetcode.com/submissions/detail/920301430/" TargetMode="External" Id="rId352" /><Relationship Type="http://schemas.openxmlformats.org/officeDocument/2006/relationships/hyperlink" Target="https://leetcode.com/problems/remove-invalid-parentheses/" TargetMode="External" Id="rId353" /><Relationship Type="http://schemas.openxmlformats.org/officeDocument/2006/relationships/hyperlink" Target="https://leetcode.com/submissions/detail/920302443/" TargetMode="External" Id="rId354" /><Relationship Type="http://schemas.openxmlformats.org/officeDocument/2006/relationships/hyperlink" Target="https://leetcode.com/problems/remove-invalid-parentheses/" TargetMode="External" Id="rId355" /><Relationship Type="http://schemas.openxmlformats.org/officeDocument/2006/relationships/hyperlink" Target="https://leetcode.com/submissions/detail/920304652/" TargetMode="External" Id="rId356" /><Relationship Type="http://schemas.openxmlformats.org/officeDocument/2006/relationships/hyperlink" Target="https://leetcode.com/problems/remove-invalid-parentheses/" TargetMode="External" Id="rId357" /><Relationship Type="http://schemas.openxmlformats.org/officeDocument/2006/relationships/hyperlink" Target="https://leetcode.com/submissions/detail/920307494/" TargetMode="External" Id="rId358" /><Relationship Type="http://schemas.openxmlformats.org/officeDocument/2006/relationships/hyperlink" Target="https://leetcode.com/problems/24-game/" TargetMode="External" Id="rId359" /><Relationship Type="http://schemas.openxmlformats.org/officeDocument/2006/relationships/hyperlink" Target="https://leetcode.com/submissions/detail/920324278/" TargetMode="External" Id="rId360" /><Relationship Type="http://schemas.openxmlformats.org/officeDocument/2006/relationships/hyperlink" Target="https://leetcode.com/problems/max-area-of-island/" TargetMode="External" Id="rId361" /><Relationship Type="http://schemas.openxmlformats.org/officeDocument/2006/relationships/hyperlink" Target="https://leetcode.com/submissions/detail/920335475/" TargetMode="External" Id="rId362" /><Relationship Type="http://schemas.openxmlformats.org/officeDocument/2006/relationships/hyperlink" Target="https://leetcode.com/problems/max-area-of-island/" TargetMode="External" Id="rId363" /><Relationship Type="http://schemas.openxmlformats.org/officeDocument/2006/relationships/hyperlink" Target="https://leetcode.com/submissions/detail/920337329/" TargetMode="External" Id="rId364" /><Relationship Type="http://schemas.openxmlformats.org/officeDocument/2006/relationships/hyperlink" Target="https://leetcode.com/problems/max-area-of-island/" TargetMode="External" Id="rId365" /><Relationship Type="http://schemas.openxmlformats.org/officeDocument/2006/relationships/hyperlink" Target="https://leetcode.com/submissions/detail/920338040/" TargetMode="External" Id="rId366" /><Relationship Type="http://schemas.openxmlformats.org/officeDocument/2006/relationships/hyperlink" Target="https://leetcode.com/problems/bus-routes/" TargetMode="External" Id="rId367" /><Relationship Type="http://schemas.openxmlformats.org/officeDocument/2006/relationships/hyperlink" Target="https://leetcode.com/submissions/detail/920357910/" TargetMode="External" Id="rId368" /><Relationship Type="http://schemas.openxmlformats.org/officeDocument/2006/relationships/hyperlink" Target="https://leetcode.com/problems/bus-routes/" TargetMode="External" Id="rId369" /><Relationship Type="http://schemas.openxmlformats.org/officeDocument/2006/relationships/hyperlink" Target="https://leetcode.com/submissions/detail/920358035/" TargetMode="External" Id="rId370" /><Relationship Type="http://schemas.openxmlformats.org/officeDocument/2006/relationships/hyperlink" Target="https://leetcode.com/problems/shortest-bridge/" TargetMode="External" Id="rId371" /><Relationship Type="http://schemas.openxmlformats.org/officeDocument/2006/relationships/hyperlink" Target="https://leetcode.com/submissions/detail/920365660/" TargetMode="External" Id="rId372" /><Relationship Type="http://schemas.openxmlformats.org/officeDocument/2006/relationships/hyperlink" Target="https://leetcode.com/problems/shortest-bridge/" TargetMode="External" Id="rId373" /><Relationship Type="http://schemas.openxmlformats.org/officeDocument/2006/relationships/hyperlink" Target="https://leetcode.com/submissions/detail/920365876/" TargetMode="External" Id="rId374" /><Relationship Type="http://schemas.openxmlformats.org/officeDocument/2006/relationships/hyperlink" Target="https://leetcode.com/problems/word-break/" TargetMode="External" Id="rId375" /><Relationship Type="http://schemas.openxmlformats.org/officeDocument/2006/relationships/hyperlink" Target="https://leetcode.com/submissions/detail/920595604/" TargetMode="External" Id="rId376" /><Relationship Type="http://schemas.openxmlformats.org/officeDocument/2006/relationships/hyperlink" Target="https://leetcode.com/problems/word-break/" TargetMode="External" Id="rId377" /><Relationship Type="http://schemas.openxmlformats.org/officeDocument/2006/relationships/hyperlink" Target="https://leetcode.com/submissions/detail/920596266/" TargetMode="External" Id="rId378" /><Relationship Type="http://schemas.openxmlformats.org/officeDocument/2006/relationships/hyperlink" Target="https://leetcode.com/problems/word-break-ii/" TargetMode="External" Id="rId379" /><Relationship Type="http://schemas.openxmlformats.org/officeDocument/2006/relationships/hyperlink" Target="https://leetcode.com/submissions/detail/920610898/" TargetMode="External" Id="rId380" /><Relationship Type="http://schemas.openxmlformats.org/officeDocument/2006/relationships/hyperlink" Target="https://leetcode.com/problems/word-break/" TargetMode="External" Id="rId381" /><Relationship Type="http://schemas.openxmlformats.org/officeDocument/2006/relationships/hyperlink" Target="https://leetcode.com/submissions/detail/920618340/" TargetMode="External" Id="rId382" /><Relationship Type="http://schemas.openxmlformats.org/officeDocument/2006/relationships/hyperlink" Target="https://leetcode.com/problems/perfect-squares/" TargetMode="External" Id="rId383" /><Relationship Type="http://schemas.openxmlformats.org/officeDocument/2006/relationships/hyperlink" Target="https://leetcode.com/submissions/detail/920629581/" TargetMode="External" Id="rId384" /><Relationship Type="http://schemas.openxmlformats.org/officeDocument/2006/relationships/hyperlink" Target="https://leetcode.com/problems/perfect-squares/" TargetMode="External" Id="rId385" /><Relationship Type="http://schemas.openxmlformats.org/officeDocument/2006/relationships/hyperlink" Target="https://leetcode.com/submissions/detail/920634738/" TargetMode="External" Id="rId386" /><Relationship Type="http://schemas.openxmlformats.org/officeDocument/2006/relationships/hyperlink" Target="https://leetcode.com/problems/perfect-squares/" TargetMode="External" Id="rId387" /><Relationship Type="http://schemas.openxmlformats.org/officeDocument/2006/relationships/hyperlink" Target="https://leetcode.com/submissions/detail/920639644/" TargetMode="External" Id="rId388" /><Relationship Type="http://schemas.openxmlformats.org/officeDocument/2006/relationships/hyperlink" Target="https://leetcode.com/problems/longest-increasing-subsequence/" TargetMode="External" Id="rId389" /><Relationship Type="http://schemas.openxmlformats.org/officeDocument/2006/relationships/hyperlink" Target="https://leetcode.com/submissions/detail/920663705/" TargetMode="External" Id="rId390" /><Relationship Type="http://schemas.openxmlformats.org/officeDocument/2006/relationships/hyperlink" Target="https://leetcode.com/problems/russian-doll-envelopes/" TargetMode="External" Id="rId391" /><Relationship Type="http://schemas.openxmlformats.org/officeDocument/2006/relationships/hyperlink" Target="https://leetcode.com/submissions/detail/920675714/" TargetMode="External" Id="rId392" /><Relationship Type="http://schemas.openxmlformats.org/officeDocument/2006/relationships/hyperlink" Target="https://leetcode.com/problems/russian-doll-envelopes/" TargetMode="External" Id="rId393" /><Relationship Type="http://schemas.openxmlformats.org/officeDocument/2006/relationships/hyperlink" Target="https://leetcode.com/submissions/detail/920681036/" TargetMode="External" Id="rId394" /><Relationship Type="http://schemas.openxmlformats.org/officeDocument/2006/relationships/hyperlink" Target="https://leetcode.com/problems/russian-doll-envelopes/" TargetMode="External" Id="rId395" /><Relationship Type="http://schemas.openxmlformats.org/officeDocument/2006/relationships/hyperlink" Target="https://leetcode.com/submissions/detail/920687210/" TargetMode="External" Id="rId396" /><Relationship Type="http://schemas.openxmlformats.org/officeDocument/2006/relationships/hyperlink" Target="https://leetcode.com/problems/russian-doll-envelopes/" TargetMode="External" Id="rId397" /><Relationship Type="http://schemas.openxmlformats.org/officeDocument/2006/relationships/hyperlink" Target="https://leetcode.com/submissions/detail/920692195/" TargetMode="External" Id="rId398" /><Relationship Type="http://schemas.openxmlformats.org/officeDocument/2006/relationships/hyperlink" Target="https://leetcode.com/problems/russian-doll-envelopes/" TargetMode="External" Id="rId399" /><Relationship Type="http://schemas.openxmlformats.org/officeDocument/2006/relationships/hyperlink" Target="https://leetcode.com/submissions/detail/920702885/" TargetMode="External" Id="rId400" /><Relationship Type="http://schemas.openxmlformats.org/officeDocument/2006/relationships/hyperlink" Target="https://leetcode.com/problems/russian-doll-envelopes/" TargetMode="External" Id="rId401" /><Relationship Type="http://schemas.openxmlformats.org/officeDocument/2006/relationships/hyperlink" Target="https://leetcode.com/submissions/detail/920705425/" TargetMode="External" Id="rId402" /><Relationship Type="http://schemas.openxmlformats.org/officeDocument/2006/relationships/hyperlink" Target="https://leetcode.com/problems/maximum-vacation-days/" TargetMode="External" Id="rId403" /><Relationship Type="http://schemas.openxmlformats.org/officeDocument/2006/relationships/hyperlink" Target="https://leetcode.com/submissions/detail/920722046/" TargetMode="External" Id="rId404" /><Relationship Type="http://schemas.openxmlformats.org/officeDocument/2006/relationships/hyperlink" Target="https://leetcode.com/problems/maximum-vacation-days/" TargetMode="External" Id="rId405" /><Relationship Type="http://schemas.openxmlformats.org/officeDocument/2006/relationships/hyperlink" Target="https://leetcode.com/submissions/detail/920723582/" TargetMode="External" Id="rId406" /><Relationship Type="http://schemas.openxmlformats.org/officeDocument/2006/relationships/hyperlink" Target="https://leetcode.com/problems/maximum-vacation-days/" TargetMode="External" Id="rId407" /><Relationship Type="http://schemas.openxmlformats.org/officeDocument/2006/relationships/hyperlink" Target="https://leetcode.com/submissions/detail/920726001/" TargetMode="External" Id="rId408" /><Relationship Type="http://schemas.openxmlformats.org/officeDocument/2006/relationships/hyperlink" Target="https://leetcode.com/problems/cherry-pickup/" TargetMode="External" Id="rId409" /><Relationship Type="http://schemas.openxmlformats.org/officeDocument/2006/relationships/hyperlink" Target="https://leetcode.com/submissions/detail/920744257/" TargetMode="External" Id="rId410" /><Relationship Type="http://schemas.openxmlformats.org/officeDocument/2006/relationships/hyperlink" Target="https://leetcode.com/problems/cherry-pickup/" TargetMode="External" Id="rId411" /><Relationship Type="http://schemas.openxmlformats.org/officeDocument/2006/relationships/hyperlink" Target="https://leetcode.com/submissions/detail/920765466/" TargetMode="External" Id="rId412" /><Relationship Type="http://schemas.openxmlformats.org/officeDocument/2006/relationships/hyperlink" Target="https://leetcode.com/problems/cherry-pickup/" TargetMode="External" Id="rId413" /><Relationship Type="http://schemas.openxmlformats.org/officeDocument/2006/relationships/hyperlink" Target="https://leetcode.com/submissions/detail/920766139/" TargetMode="External" Id="rId414" /><Relationship Type="http://schemas.openxmlformats.org/officeDocument/2006/relationships/hyperlink" Target="https://leetcode.com/problems/cherry-pickup/" TargetMode="External" Id="rId415" /><Relationship Type="http://schemas.openxmlformats.org/officeDocument/2006/relationships/hyperlink" Target="https://leetcode.com/submissions/detail/920779356/" TargetMode="External" Id="rId416" /><Relationship Type="http://schemas.openxmlformats.org/officeDocument/2006/relationships/hyperlink" Target="https://leetcode.com/problems/cherry-pickup/" TargetMode="External" Id="rId417" /><Relationship Type="http://schemas.openxmlformats.org/officeDocument/2006/relationships/hyperlink" Target="https://leetcode.com/submissions/detail/920780304/" TargetMode="External" Id="rId418" /><Relationship Type="http://schemas.openxmlformats.org/officeDocument/2006/relationships/hyperlink" Target="https://leetcode.com/problems/number-of-good-paths/" TargetMode="External" Id="rId419" /><Relationship Type="http://schemas.openxmlformats.org/officeDocument/2006/relationships/hyperlink" Target="https://leetcode.com/submissions/detail/920861130/" TargetMode="External" Id="rId420" /><Relationship Type="http://schemas.openxmlformats.org/officeDocument/2006/relationships/hyperlink" Target="https://leetcode.com/problems/meeting-rooms-iii/" TargetMode="External" Id="rId421" /><Relationship Type="http://schemas.openxmlformats.org/officeDocument/2006/relationships/hyperlink" Target="https://leetcode.com/submissions/detail/920905017/" TargetMode="External" Id="rId422" /><Relationship Type="http://schemas.openxmlformats.org/officeDocument/2006/relationships/hyperlink" Target="https://leetcode.com/problems/meeting-rooms-iii/" TargetMode="External" Id="rId423" /><Relationship Type="http://schemas.openxmlformats.org/officeDocument/2006/relationships/hyperlink" Target="https://leetcode.com/submissions/detail/920906718/" TargetMode="External" Id="rId424" /><Relationship Type="http://schemas.openxmlformats.org/officeDocument/2006/relationships/hyperlink" Target="https://leetcode.com/problems/race-car/" TargetMode="External" Id="rId425" /><Relationship Type="http://schemas.openxmlformats.org/officeDocument/2006/relationships/hyperlink" Target="https://leetcode.com/submissions/detail/920921933/" TargetMode="External" Id="rId426" /><Relationship Type="http://schemas.openxmlformats.org/officeDocument/2006/relationships/hyperlink" Target="https://leetcode.com/problems/shortest-path-in-a-grid-with-obstacles-elimination/" TargetMode="External" Id="rId427" /><Relationship Type="http://schemas.openxmlformats.org/officeDocument/2006/relationships/hyperlink" Target="https://leetcode.com/submissions/detail/920951219/" TargetMode="External" Id="rId428" /><Relationship Type="http://schemas.openxmlformats.org/officeDocument/2006/relationships/hyperlink" Target="https://leetcode.com/problems/shortest-path-in-a-grid-with-obstacles-elimination/" TargetMode="External" Id="rId429" /><Relationship Type="http://schemas.openxmlformats.org/officeDocument/2006/relationships/hyperlink" Target="https://leetcode.com/submissions/detail/920952432/" TargetMode="External" Id="rId430" /><Relationship Type="http://schemas.openxmlformats.org/officeDocument/2006/relationships/hyperlink" Target="https://leetcode.com/problems/shortest-path-in-a-grid-with-obstacles-elimination/" TargetMode="External" Id="rId431" /><Relationship Type="http://schemas.openxmlformats.org/officeDocument/2006/relationships/hyperlink" Target="https://leetcode.com/submissions/detail/920955793/" TargetMode="External" Id="rId432" /><Relationship Type="http://schemas.openxmlformats.org/officeDocument/2006/relationships/hyperlink" Target="https://leetcode.com/problems/shortest-path-to-get-food/" TargetMode="External" Id="rId433" /><Relationship Type="http://schemas.openxmlformats.org/officeDocument/2006/relationships/hyperlink" Target="https://leetcode.com/submissions/detail/920961036/" TargetMode="External" Id="rId434" /><Relationship Type="http://schemas.openxmlformats.org/officeDocument/2006/relationships/hyperlink" Target="https://leetcode.com/problems/height-of-binary-tree-after-subtree-removal-queries/" TargetMode="External" Id="rId435" /><Relationship Type="http://schemas.openxmlformats.org/officeDocument/2006/relationships/hyperlink" Target="https://leetcode.com/submissions/detail/920966897/" TargetMode="External" Id="rId436" /><Relationship Type="http://schemas.openxmlformats.org/officeDocument/2006/relationships/hyperlink" Target="https://leetcode.com/problems/finding-the-number-of-visible-mountains/" TargetMode="External" Id="rId437" /><Relationship Type="http://schemas.openxmlformats.org/officeDocument/2006/relationships/hyperlink" Target="https://leetcode.com/submissions/detail/921134643/" TargetMode="External" Id="rId438" /><Relationship Type="http://schemas.openxmlformats.org/officeDocument/2006/relationships/hyperlink" Target="https://leetcode.com/problems/finding-the-number-of-visible-mountains/" TargetMode="External" Id="rId439" /><Relationship Type="http://schemas.openxmlformats.org/officeDocument/2006/relationships/hyperlink" Target="https://leetcode.com/submissions/detail/921180925/" TargetMode="External" Id="rId440" /><Relationship Type="http://schemas.openxmlformats.org/officeDocument/2006/relationships/hyperlink" Target="https://leetcode.com/problems/number-of-pairs-satisfying-inequality/" TargetMode="External" Id="rId441" /><Relationship Type="http://schemas.openxmlformats.org/officeDocument/2006/relationships/hyperlink" Target="https://leetcode.com/submissions/detail/921202242/" TargetMode="External" Id="rId442" /><Relationship Type="http://schemas.openxmlformats.org/officeDocument/2006/relationships/hyperlink" Target="https://leetcode.com/problems/my-calendar-i/" TargetMode="External" Id="rId443" /><Relationship Type="http://schemas.openxmlformats.org/officeDocument/2006/relationships/hyperlink" Target="https://leetcode.com/submissions/detail/921210126/" TargetMode="External" Id="rId444" /><Relationship Type="http://schemas.openxmlformats.org/officeDocument/2006/relationships/hyperlink" Target="https://leetcode.com/problems/my-calendar-i/" TargetMode="External" Id="rId445" /><Relationship Type="http://schemas.openxmlformats.org/officeDocument/2006/relationships/hyperlink" Target="https://leetcode.com/submissions/detail/921213542/" TargetMode="External" Id="rId446" /><Relationship Type="http://schemas.openxmlformats.org/officeDocument/2006/relationships/hyperlink" Target="https://leetcode.com/problems/path-with-maximum-minimum-value/" TargetMode="External" Id="rId447" /><Relationship Type="http://schemas.openxmlformats.org/officeDocument/2006/relationships/hyperlink" Target="https://leetcode.com/submissions/detail/921232137/" TargetMode="External" Id="rId448" /><Relationship Type="http://schemas.openxmlformats.org/officeDocument/2006/relationships/hyperlink" Target="https://leetcode.com/problems/path-with-maximum-minimum-value/" TargetMode="External" Id="rId449" /><Relationship Type="http://schemas.openxmlformats.org/officeDocument/2006/relationships/hyperlink" Target="https://leetcode.com/submissions/detail/921265807/" TargetMode="External" Id="rId450" /><Relationship Type="http://schemas.openxmlformats.org/officeDocument/2006/relationships/hyperlink" Target="https://leetcode.com/problems/detonate-the-maximum-bombs/" TargetMode="External" Id="rId451" /><Relationship Type="http://schemas.openxmlformats.org/officeDocument/2006/relationships/hyperlink" Target="https://leetcode.com/submissions/detail/921287381/" TargetMode="External" Id="rId452" /><Relationship Type="http://schemas.openxmlformats.org/officeDocument/2006/relationships/hyperlink" Target="https://leetcode.com/problems/random-pick-with-weight/" TargetMode="External" Id="rId453" /><Relationship Type="http://schemas.openxmlformats.org/officeDocument/2006/relationships/hyperlink" Target="https://leetcode.com/submissions/detail/921302854/" TargetMode="External" Id="rId454" /><Relationship Type="http://schemas.openxmlformats.org/officeDocument/2006/relationships/hyperlink" Target="https://leetcode.com/problems/random-pick-with-weight/" TargetMode="External" Id="rId455" /><Relationship Type="http://schemas.openxmlformats.org/officeDocument/2006/relationships/hyperlink" Target="https://leetcode.com/submissions/detail/921304705/" TargetMode="External" Id="rId456" /><Relationship Type="http://schemas.openxmlformats.org/officeDocument/2006/relationships/hyperlink" Target="https://leetcode.com/problems/the-earliest-moment-when-everyone-become-friends/" TargetMode="External" Id="rId457" /><Relationship Type="http://schemas.openxmlformats.org/officeDocument/2006/relationships/hyperlink" Target="https://leetcode.com/submissions/detail/921317555/" TargetMode="External" Id="rId458" /><Relationship Type="http://schemas.openxmlformats.org/officeDocument/2006/relationships/hyperlink" Target="https://leetcode.com/problems/parallel-courses/" TargetMode="External" Id="rId459" /><Relationship Type="http://schemas.openxmlformats.org/officeDocument/2006/relationships/hyperlink" Target="https://leetcode.com/submissions/detail/921336511/" TargetMode="External" Id="rId460" /><Relationship Type="http://schemas.openxmlformats.org/officeDocument/2006/relationships/hyperlink" Target="https://leetcode.com/problems/parallel-courses/" TargetMode="External" Id="rId461" /><Relationship Type="http://schemas.openxmlformats.org/officeDocument/2006/relationships/hyperlink" Target="https://leetcode.com/submissions/detail/921343418/" TargetMode="External" Id="rId462" /><Relationship Type="http://schemas.openxmlformats.org/officeDocument/2006/relationships/hyperlink" Target="https://leetcode.com/problems/parallel-courses-ii/" TargetMode="External" Id="rId463" /><Relationship Type="http://schemas.openxmlformats.org/officeDocument/2006/relationships/hyperlink" Target="https://leetcode.com/submissions/detail/921383571/" TargetMode="External" Id="rId464" /><Relationship Type="http://schemas.openxmlformats.org/officeDocument/2006/relationships/hyperlink" Target="https://leetcode.com/problems/filling-bookcase-shelves/" TargetMode="External" Id="rId465" /><Relationship Type="http://schemas.openxmlformats.org/officeDocument/2006/relationships/hyperlink" Target="https://leetcode.com/submissions/detail/921475765/" TargetMode="External" Id="rId466" /><Relationship Type="http://schemas.openxmlformats.org/officeDocument/2006/relationships/hyperlink" Target="https://leetcode.com/problems/filling-bookcase-shelves/" TargetMode="External" Id="rId467" /><Relationship Type="http://schemas.openxmlformats.org/officeDocument/2006/relationships/hyperlink" Target="https://leetcode.com/submissions/detail/921478900/" TargetMode="External" Id="rId468" /><Relationship Type="http://schemas.openxmlformats.org/officeDocument/2006/relationships/hyperlink" Target="https://leetcode.com/problems/filling-bookcase-shelves/" TargetMode="External" Id="rId469" /><Relationship Type="http://schemas.openxmlformats.org/officeDocument/2006/relationships/hyperlink" Target="https://leetcode.com/submissions/detail/921480328/" TargetMode="External" Id="rId470" /><Relationship Type="http://schemas.openxmlformats.org/officeDocument/2006/relationships/hyperlink" Target="https://leetcode.com/problems/filling-bookcase-shelves/" TargetMode="External" Id="rId471" /><Relationship Type="http://schemas.openxmlformats.org/officeDocument/2006/relationships/hyperlink" Target="https://leetcode.com/submissions/detail/921484449/" TargetMode="External" Id="rId472" /><Relationship Type="http://schemas.openxmlformats.org/officeDocument/2006/relationships/hyperlink" Target="https://leetcode.com/problems/find-leaves-of-binary-tree/" TargetMode="External" Id="rId473" /><Relationship Type="http://schemas.openxmlformats.org/officeDocument/2006/relationships/hyperlink" Target="https://leetcode.com/submissions/detail/921490889/" TargetMode="External" Id="rId474" /><Relationship Type="http://schemas.openxmlformats.org/officeDocument/2006/relationships/hyperlink" Target="https://leetcode.com/problems/smallest-string-with-swaps/" TargetMode="External" Id="rId475" /><Relationship Type="http://schemas.openxmlformats.org/officeDocument/2006/relationships/hyperlink" Target="https://leetcode.com/submissions/detail/921506988/" TargetMode="External" Id="rId476" /><Relationship Type="http://schemas.openxmlformats.org/officeDocument/2006/relationships/hyperlink" Target="https://leetcode.com/problems/stock-price-fluctuation/" TargetMode="External" Id="rId477" /><Relationship Type="http://schemas.openxmlformats.org/officeDocument/2006/relationships/hyperlink" Target="https://leetcode.com/submissions/detail/921515192/" TargetMode="External" Id="rId478" /><Relationship Type="http://schemas.openxmlformats.org/officeDocument/2006/relationships/hyperlink" Target="https://leetcode.com/problems/cherry-pickup/" TargetMode="External" Id="rId479" /><Relationship Type="http://schemas.openxmlformats.org/officeDocument/2006/relationships/hyperlink" Target="https://leetcode.com/submissions/detail/921516464/" TargetMode="External" Id="rId480" /><Relationship Type="http://schemas.openxmlformats.org/officeDocument/2006/relationships/hyperlink" Target="https://leetcode.com/problems/generate-parentheses/" TargetMode="External" Id="rId481" /><Relationship Type="http://schemas.openxmlformats.org/officeDocument/2006/relationships/hyperlink" Target="https://leetcode.com/submissions/detail/921532455/" TargetMode="External" Id="rId482" /><Relationship Type="http://schemas.openxmlformats.org/officeDocument/2006/relationships/hyperlink" Target="https://leetcode.com/problems/generate-parentheses/" TargetMode="External" Id="rId483" /><Relationship Type="http://schemas.openxmlformats.org/officeDocument/2006/relationships/hyperlink" Target="https://leetcode.com/submissions/detail/921533825/" TargetMode="External" Id="rId484" /><Relationship Type="http://schemas.openxmlformats.org/officeDocument/2006/relationships/hyperlink" Target="https://leetcode.com/problems/longest-substring-without-repeating-characters/" TargetMode="External" Id="rId485" /><Relationship Type="http://schemas.openxmlformats.org/officeDocument/2006/relationships/hyperlink" Target="https://leetcode.com/submissions/detail/921690096/" TargetMode="External" Id="rId486" /><Relationship Type="http://schemas.openxmlformats.org/officeDocument/2006/relationships/hyperlink" Target="https://leetcode.com/problems/search-in-rotated-sorted-array/" TargetMode="External" Id="rId487" /><Relationship Type="http://schemas.openxmlformats.org/officeDocument/2006/relationships/hyperlink" Target="https://leetcode.com/submissions/detail/921712032/" TargetMode="External" Id="rId488" /><Relationship Type="http://schemas.openxmlformats.org/officeDocument/2006/relationships/hyperlink" Target="https://leetcode.com/problems/course-schedule-ii/" TargetMode="External" Id="rId489" /><Relationship Type="http://schemas.openxmlformats.org/officeDocument/2006/relationships/hyperlink" Target="https://leetcode.com/submissions/detail/921728668/" TargetMode="External" Id="rId490" /><Relationship Type="http://schemas.openxmlformats.org/officeDocument/2006/relationships/hyperlink" Target="https://leetcode.com/problems/odd-even-linked-list/" TargetMode="External" Id="rId491" /><Relationship Type="http://schemas.openxmlformats.org/officeDocument/2006/relationships/hyperlink" Target="https://leetcode.com/submissions/detail/921750222/" TargetMode="External" Id="rId492" /><Relationship Type="http://schemas.openxmlformats.org/officeDocument/2006/relationships/hyperlink" Target="https://leetcode.com/problems/split-linked-list-in-parts/" TargetMode="External" Id="rId493" /><Relationship Type="http://schemas.openxmlformats.org/officeDocument/2006/relationships/hyperlink" Target="https://leetcode.com/submissions/detail/921762395/" TargetMode="External" Id="rId494" /><Relationship Type="http://schemas.openxmlformats.org/officeDocument/2006/relationships/hyperlink" Target="https://leetcode.com/problems/split-linked-list-in-parts/" TargetMode="External" Id="rId495" /><Relationship Type="http://schemas.openxmlformats.org/officeDocument/2006/relationships/hyperlink" Target="https://leetcode.com/submissions/detail/921762544/" TargetMode="External" Id="rId496" /><Relationship Type="http://schemas.openxmlformats.org/officeDocument/2006/relationships/hyperlink" Target="https://leetcode.com/problems/rotate-list/" TargetMode="External" Id="rId497" /><Relationship Type="http://schemas.openxmlformats.org/officeDocument/2006/relationships/hyperlink" Target="https://leetcode.com/submissions/detail/921768791/" TargetMode="External" Id="rId498" /><Relationship Type="http://schemas.openxmlformats.org/officeDocument/2006/relationships/hyperlink" Target="https://leetcode.com/problems/rotate-list/" TargetMode="External" Id="rId499" /><Relationship Type="http://schemas.openxmlformats.org/officeDocument/2006/relationships/hyperlink" Target="https://leetcode.com/submissions/detail/921769122/" TargetMode="External" Id="rId500" /><Relationship Type="http://schemas.openxmlformats.org/officeDocument/2006/relationships/hyperlink" Target="https://leetcode.com/problems/rotate-list/" TargetMode="External" Id="rId501" /><Relationship Type="http://schemas.openxmlformats.org/officeDocument/2006/relationships/hyperlink" Target="https://leetcode.com/submissions/detail/921769552/" TargetMode="External" Id="rId502" /><Relationship Type="http://schemas.openxmlformats.org/officeDocument/2006/relationships/hyperlink" Target="https://leetcode.com/problems/rotate-list/" TargetMode="External" Id="rId503" /><Relationship Type="http://schemas.openxmlformats.org/officeDocument/2006/relationships/hyperlink" Target="https://leetcode.com/submissions/detail/921770509/" TargetMode="External" Id="rId504" /><Relationship Type="http://schemas.openxmlformats.org/officeDocument/2006/relationships/hyperlink" Target="https://leetcode.com/problems/sort-list/" TargetMode="External" Id="rId505" /><Relationship Type="http://schemas.openxmlformats.org/officeDocument/2006/relationships/hyperlink" Target="https://leetcode.com/submissions/detail/921778877/" TargetMode="External" Id="rId506" /><Relationship Type="http://schemas.openxmlformats.org/officeDocument/2006/relationships/hyperlink" Target="https://leetcode.com/problems/symmetric-tree/" TargetMode="External" Id="rId507" /><Relationship Type="http://schemas.openxmlformats.org/officeDocument/2006/relationships/hyperlink" Target="https://leetcode.com/submissions/detail/921783249/" TargetMode="External" Id="rId508" /><Relationship Type="http://schemas.openxmlformats.org/officeDocument/2006/relationships/hyperlink" Target="https://leetcode.com/problems/symmetric-tree/" TargetMode="External" Id="rId509" /><Relationship Type="http://schemas.openxmlformats.org/officeDocument/2006/relationships/hyperlink" Target="https://leetcode.com/submissions/detail/921783664/" TargetMode="External" Id="rId510" /><Relationship Type="http://schemas.openxmlformats.org/officeDocument/2006/relationships/hyperlink" Target="https://leetcode.com/problems/maximum-depth-of-binary-tree/" TargetMode="External" Id="rId511" /><Relationship Type="http://schemas.openxmlformats.org/officeDocument/2006/relationships/hyperlink" Target="https://leetcode.com/submissions/detail/921784525/" TargetMode="External" Id="rId512" /><Relationship Type="http://schemas.openxmlformats.org/officeDocument/2006/relationships/hyperlink" Target="https://leetcode.com/problems/populating-next-right-pointers-in-each-node/" TargetMode="External" Id="rId513" /><Relationship Type="http://schemas.openxmlformats.org/officeDocument/2006/relationships/hyperlink" Target="https://leetcode.com/submissions/detail/921787275/" TargetMode="External" Id="rId514" /><Relationship Type="http://schemas.openxmlformats.org/officeDocument/2006/relationships/hyperlink" Target="https://leetcode.com/problems/surrounded-regions/" TargetMode="External" Id="rId515" /><Relationship Type="http://schemas.openxmlformats.org/officeDocument/2006/relationships/hyperlink" Target="https://leetcode.com/submissions/detail/921806754/" TargetMode="External" Id="rId516" /><Relationship Type="http://schemas.openxmlformats.org/officeDocument/2006/relationships/hyperlink" Target="https://leetcode.com/problems/surrounded-regions/" TargetMode="External" Id="rId517" /><Relationship Type="http://schemas.openxmlformats.org/officeDocument/2006/relationships/hyperlink" Target="https://leetcode.com/submissions/detail/921806966/" TargetMode="External" Id="rId518" /><Relationship Type="http://schemas.openxmlformats.org/officeDocument/2006/relationships/hyperlink" Target="https://leetcode.com/problems/longest-increasing-path-in-a-matrix/" TargetMode="External" Id="rId519" /><Relationship Type="http://schemas.openxmlformats.org/officeDocument/2006/relationships/hyperlink" Target="https://leetcode.com/submissions/detail/921813513/" TargetMode="External" Id="rId520" /><Relationship Type="http://schemas.openxmlformats.org/officeDocument/2006/relationships/hyperlink" Target="https://leetcode.com/problems/longest-increasing-path-in-a-matrix/" TargetMode="External" Id="rId521" /><Relationship Type="http://schemas.openxmlformats.org/officeDocument/2006/relationships/hyperlink" Target="https://leetcode.com/submissions/detail/921815109/" TargetMode="External" Id="rId522" /><Relationship Type="http://schemas.openxmlformats.org/officeDocument/2006/relationships/hyperlink" Target="https://leetcode.com/problems/longest-increasing-path-in-a-matrix/" TargetMode="External" Id="rId523" /><Relationship Type="http://schemas.openxmlformats.org/officeDocument/2006/relationships/hyperlink" Target="https://leetcode.com/submissions/detail/921815666/" TargetMode="External" Id="rId524" /><Relationship Type="http://schemas.openxmlformats.org/officeDocument/2006/relationships/hyperlink" Target="https://leetcode.com/problems/alien-dictionary/" TargetMode="External" Id="rId525" /><Relationship Type="http://schemas.openxmlformats.org/officeDocument/2006/relationships/hyperlink" Target="https://leetcode.com/submissions/detail/921872538/" TargetMode="External" Id="rId526" /><Relationship Type="http://schemas.openxmlformats.org/officeDocument/2006/relationships/hyperlink" Target="https://leetcode.com/problems/alien-dictionary/" TargetMode="External" Id="rId527" /><Relationship Type="http://schemas.openxmlformats.org/officeDocument/2006/relationships/hyperlink" Target="https://leetcode.com/submissions/detail/921875962/" TargetMode="External" Id="rId528" /><Relationship Type="http://schemas.openxmlformats.org/officeDocument/2006/relationships/hyperlink" Target="https://leetcode.com/problems/alien-dictionary/" TargetMode="External" Id="rId529" /><Relationship Type="http://schemas.openxmlformats.org/officeDocument/2006/relationships/hyperlink" Target="https://leetcode.com/submissions/detail/921897939/" TargetMode="External" Id="rId530" /><Relationship Type="http://schemas.openxmlformats.org/officeDocument/2006/relationships/hyperlink" Target="https://leetcode.com/problems/count-unreachable-pairs-of-nodes-in-an-undirected-graph/" TargetMode="External" Id="rId531" /><Relationship Type="http://schemas.openxmlformats.org/officeDocument/2006/relationships/hyperlink" Target="https://leetcode.com/submissions/detail/921905288/" TargetMode="External" Id="rId532" /><Relationship Type="http://schemas.openxmlformats.org/officeDocument/2006/relationships/hyperlink" Target="https://leetcode.com/problems/count-unreachable-pairs-of-nodes-in-an-undirected-graph/" TargetMode="External" Id="rId533" /><Relationship Type="http://schemas.openxmlformats.org/officeDocument/2006/relationships/hyperlink" Target="https://leetcode.com/submissions/detail/921905561/" TargetMode="External" Id="rId534" /><Relationship Type="http://schemas.openxmlformats.org/officeDocument/2006/relationships/hyperlink" Target="https://leetcode.com/problems/find-distance-in-a-binary-tree/" TargetMode="External" Id="rId535" /><Relationship Type="http://schemas.openxmlformats.org/officeDocument/2006/relationships/hyperlink" Target="https://leetcode.com/submissions/detail/921919496/" TargetMode="External" Id="rId536" /><Relationship Type="http://schemas.openxmlformats.org/officeDocument/2006/relationships/hyperlink" Target="https://leetcode.com/problems/find-distance-in-a-binary-tree/" TargetMode="External" Id="rId537" /><Relationship Type="http://schemas.openxmlformats.org/officeDocument/2006/relationships/hyperlink" Target="https://leetcode.com/submissions/detail/921919679/" TargetMode="External" Id="rId538" /><Relationship Type="http://schemas.openxmlformats.org/officeDocument/2006/relationships/hyperlink" Target="https://leetcode.com/problems/find-distance-in-a-binary-tree/" TargetMode="External" Id="rId539" /><Relationship Type="http://schemas.openxmlformats.org/officeDocument/2006/relationships/hyperlink" Target="https://leetcode.com/submissions/detail/921920168/" TargetMode="External" Id="rId540" /><Relationship Type="http://schemas.openxmlformats.org/officeDocument/2006/relationships/hyperlink" Target="https://leetcode.com/problems/find-distance-in-a-binary-tree/" TargetMode="External" Id="rId541" /><Relationship Type="http://schemas.openxmlformats.org/officeDocument/2006/relationships/hyperlink" Target="https://leetcode.com/submissions/detail/921922599/" TargetMode="External" Id="rId542" /><Relationship Type="http://schemas.openxmlformats.org/officeDocument/2006/relationships/hyperlink" Target="https://leetcode.com/problems/vertical-order-traversal-of-a-binary-tree/" TargetMode="External" Id="rId543" /><Relationship Type="http://schemas.openxmlformats.org/officeDocument/2006/relationships/hyperlink" Target="https://leetcode.com/submissions/detail/921935272/" TargetMode="External" Id="rId544" /><Relationship Type="http://schemas.openxmlformats.org/officeDocument/2006/relationships/hyperlink" Target="https://leetcode.com/problems/vertical-order-traversal-of-a-binary-tree/" TargetMode="External" Id="rId545" /><Relationship Type="http://schemas.openxmlformats.org/officeDocument/2006/relationships/hyperlink" Target="https://leetcode.com/submissions/detail/921941189/" TargetMode="External" Id="rId546" /><Relationship Type="http://schemas.openxmlformats.org/officeDocument/2006/relationships/hyperlink" Target="https://leetcode.com/problems/vertical-order-traversal-of-a-binary-tree/" TargetMode="External" Id="rId547" /><Relationship Type="http://schemas.openxmlformats.org/officeDocument/2006/relationships/hyperlink" Target="https://leetcode.com/submissions/detail/921944131/" TargetMode="External" Id="rId548" /><Relationship Type="http://schemas.openxmlformats.org/officeDocument/2006/relationships/hyperlink" Target="https://leetcode.com/problems/construct-quad-tree/" TargetMode="External" Id="rId549" /><Relationship Type="http://schemas.openxmlformats.org/officeDocument/2006/relationships/hyperlink" Target="https://leetcode.com/submissions/detail/921968096/" TargetMode="External" Id="rId550" /><Relationship Type="http://schemas.openxmlformats.org/officeDocument/2006/relationships/hyperlink" Target="https://leetcode.com/problems/construct-quad-tree/" TargetMode="External" Id="rId551" /><Relationship Type="http://schemas.openxmlformats.org/officeDocument/2006/relationships/hyperlink" Target="https://leetcode.com/submissions/detail/921968887/" TargetMode="External" Id="rId552" /><Relationship Type="http://schemas.openxmlformats.org/officeDocument/2006/relationships/hyperlink" Target="https://leetcode.com/problems/optimal-account-balancing/" TargetMode="External" Id="rId553" /><Relationship Type="http://schemas.openxmlformats.org/officeDocument/2006/relationships/hyperlink" Target="https://leetcode.com/submissions/detail/922029790/" TargetMode="External" Id="rId554" /><Relationship Type="http://schemas.openxmlformats.org/officeDocument/2006/relationships/hyperlink" Target="https://leetcode.com/problems/optimal-account-balancing/" TargetMode="External" Id="rId555" /><Relationship Type="http://schemas.openxmlformats.org/officeDocument/2006/relationships/hyperlink" Target="https://leetcode.com/submissions/detail/922031211/" TargetMode="External" Id="rId556" /><Relationship Type="http://schemas.openxmlformats.org/officeDocument/2006/relationships/hyperlink" Target="https://leetcode.com/problems/optimal-account-balancing/" TargetMode="External" Id="rId557" /><Relationship Type="http://schemas.openxmlformats.org/officeDocument/2006/relationships/hyperlink" Target="https://leetcode.com/submissions/detail/922031653/" TargetMode="External" Id="rId558" /><Relationship Type="http://schemas.openxmlformats.org/officeDocument/2006/relationships/hyperlink" Target="https://leetcode.com/problems/next-palindrome-using-same-digits/" TargetMode="External" Id="rId559" /><Relationship Type="http://schemas.openxmlformats.org/officeDocument/2006/relationships/hyperlink" Target="https://leetcode.com/submissions/detail/922051842/" TargetMode="External" Id="rId560" /><Relationship Type="http://schemas.openxmlformats.org/officeDocument/2006/relationships/hyperlink" Target="https://leetcode.com/problems/next-permutation/" TargetMode="External" Id="rId561" /><Relationship Type="http://schemas.openxmlformats.org/officeDocument/2006/relationships/hyperlink" Target="https://leetcode.com/submissions/detail/922060308/" TargetMode="External" Id="rId562" /><Relationship Type="http://schemas.openxmlformats.org/officeDocument/2006/relationships/hyperlink" Target="https://leetcode.com/problems/next-permutation/" TargetMode="External" Id="rId563" /><Relationship Type="http://schemas.openxmlformats.org/officeDocument/2006/relationships/hyperlink" Target="https://leetcode.com/submissions/detail/922066671/" TargetMode="External" Id="rId564" /><Relationship Type="http://schemas.openxmlformats.org/officeDocument/2006/relationships/hyperlink" Target="https://leetcode.com/problems/longest-cycle-in-a-graph/" TargetMode="External" Id="rId565" /><Relationship Type="http://schemas.openxmlformats.org/officeDocument/2006/relationships/hyperlink" Target="https://leetcode.com/submissions/detail/922455988/" TargetMode="External" Id="rId566" /><Relationship Type="http://schemas.openxmlformats.org/officeDocument/2006/relationships/hyperlink" Target="https://leetcode.com/problems/longest-cycle-in-a-graph/" TargetMode="External" Id="rId567" /><Relationship Type="http://schemas.openxmlformats.org/officeDocument/2006/relationships/hyperlink" Target="https://leetcode.com/submissions/detail/922457026/" TargetMode="External" Id="rId568" /><Relationship Type="http://schemas.openxmlformats.org/officeDocument/2006/relationships/hyperlink" Target="https://leetcode.com/problems/string-compression-ii/" TargetMode="External" Id="rId569" /><Relationship Type="http://schemas.openxmlformats.org/officeDocument/2006/relationships/hyperlink" Target="https://leetcode.com/submissions/detail/922576762/" TargetMode="External" Id="rId570" /><Relationship Type="http://schemas.openxmlformats.org/officeDocument/2006/relationships/hyperlink" Target="https://leetcode.com/problems/string-compression-ii/" TargetMode="External" Id="rId571" /><Relationship Type="http://schemas.openxmlformats.org/officeDocument/2006/relationships/hyperlink" Target="https://leetcode.com/submissions/detail/922581097/" TargetMode="External" Id="rId572" /><Relationship Type="http://schemas.openxmlformats.org/officeDocument/2006/relationships/hyperlink" Target="https://leetcode.com/problems/string-compression-ii/" TargetMode="External" Id="rId573" /><Relationship Type="http://schemas.openxmlformats.org/officeDocument/2006/relationships/hyperlink" Target="https://leetcode.com/submissions/detail/922581859/" TargetMode="External" Id="rId574" /><Relationship Type="http://schemas.openxmlformats.org/officeDocument/2006/relationships/hyperlink" Target="https://leetcode.com/problems/restore-the-array-from-adjacent-pairs/" TargetMode="External" Id="rId575" /><Relationship Type="http://schemas.openxmlformats.org/officeDocument/2006/relationships/hyperlink" Target="https://leetcode.com/submissions/detail/922602314/" TargetMode="External" Id="rId576" /><Relationship Type="http://schemas.openxmlformats.org/officeDocument/2006/relationships/hyperlink" Target="https://leetcode.com/problems/design-hit-counter/" TargetMode="External" Id="rId577" /><Relationship Type="http://schemas.openxmlformats.org/officeDocument/2006/relationships/hyperlink" Target="https://leetcode.com/submissions/detail/922612814/" TargetMode="External" Id="rId578" /><Relationship Type="http://schemas.openxmlformats.org/officeDocument/2006/relationships/hyperlink" Target="https://leetcode.com/problems/break-a-palindrome/" TargetMode="External" Id="rId579" /><Relationship Type="http://schemas.openxmlformats.org/officeDocument/2006/relationships/hyperlink" Target="https://leetcode.com/submissions/detail/922617647/" TargetMode="External" Id="rId580" /><Relationship Type="http://schemas.openxmlformats.org/officeDocument/2006/relationships/hyperlink" Target="https://leetcode.com/problems/word-search/" TargetMode="External" Id="rId581" /><Relationship Type="http://schemas.openxmlformats.org/officeDocument/2006/relationships/hyperlink" Target="https://leetcode.com/submissions/detail/922629003/" TargetMode="External" Id="rId582" /><Relationship Type="http://schemas.openxmlformats.org/officeDocument/2006/relationships/hyperlink" Target="https://leetcode.com/problems/word-search/" TargetMode="External" Id="rId583" /><Relationship Type="http://schemas.openxmlformats.org/officeDocument/2006/relationships/hyperlink" Target="https://leetcode.com/submissions/detail/922629944/" TargetMode="External" Id="rId584" /><Relationship Type="http://schemas.openxmlformats.org/officeDocument/2006/relationships/hyperlink" Target="https://leetcode.com/problems/word-search/" TargetMode="External" Id="rId585" /><Relationship Type="http://schemas.openxmlformats.org/officeDocument/2006/relationships/hyperlink" Target="https://leetcode.com/submissions/detail/922631220/" TargetMode="External" Id="rId586" /><Relationship Type="http://schemas.openxmlformats.org/officeDocument/2006/relationships/hyperlink" Target="https://leetcode.com/problems/word-search/" TargetMode="External" Id="rId587" /><Relationship Type="http://schemas.openxmlformats.org/officeDocument/2006/relationships/hyperlink" Target="https://leetcode.com/submissions/detail/922632774/" TargetMode="External" Id="rId588" /><Relationship Type="http://schemas.openxmlformats.org/officeDocument/2006/relationships/hyperlink" Target="https://leetcode.com/problems/word-search/" TargetMode="External" Id="rId589" /><Relationship Type="http://schemas.openxmlformats.org/officeDocument/2006/relationships/hyperlink" Target="https://leetcode.com/submissions/detail/922634309/" TargetMode="External" Id="rId590" /><Relationship Type="http://schemas.openxmlformats.org/officeDocument/2006/relationships/hyperlink" Target="https://leetcode.com/problems/word-search/" TargetMode="External" Id="rId591" /><Relationship Type="http://schemas.openxmlformats.org/officeDocument/2006/relationships/hyperlink" Target="https://leetcode.com/submissions/detail/922636168/" TargetMode="External" Id="rId592" /><Relationship Type="http://schemas.openxmlformats.org/officeDocument/2006/relationships/hyperlink" Target="https://leetcode.com/problems/word-search/" TargetMode="External" Id="rId593" /><Relationship Type="http://schemas.openxmlformats.org/officeDocument/2006/relationships/hyperlink" Target="https://leetcode.com/submissions/detail/922637263/" TargetMode="External" Id="rId594" /><Relationship Type="http://schemas.openxmlformats.org/officeDocument/2006/relationships/hyperlink" Target="https://leetcode.com/problems/word-search-ii/" TargetMode="External" Id="rId595" /><Relationship Type="http://schemas.openxmlformats.org/officeDocument/2006/relationships/hyperlink" Target="https://leetcode.com/submissions/detail/922641891/" TargetMode="External" Id="rId596" /><Relationship Type="http://schemas.openxmlformats.org/officeDocument/2006/relationships/hyperlink" Target="https://leetcode.com/problems/design-parking-system/" TargetMode="External" Id="rId597" /><Relationship Type="http://schemas.openxmlformats.org/officeDocument/2006/relationships/hyperlink" Target="https://leetcode.com/submissions/detail/924700966/" TargetMode="External" Id="rId598" /><Relationship Type="http://schemas.openxmlformats.org/officeDocument/2006/relationships/hyperlink" Target="https://leetcode.com/problems/leftmost-column-with-at-least-a-one/" TargetMode="External" Id="rId599" /><Relationship Type="http://schemas.openxmlformats.org/officeDocument/2006/relationships/hyperlink" Target="https://leetcode.com/submissions/detail/924939203/" TargetMode="External" Id="rId600" /><Relationship Type="http://schemas.openxmlformats.org/officeDocument/2006/relationships/hyperlink" Target="https://leetcode.com/problems/string-compression-ii/" TargetMode="External" Id="rId601" /><Relationship Type="http://schemas.openxmlformats.org/officeDocument/2006/relationships/hyperlink" Target="https://leetcode.com/submissions/detail/924944608/" TargetMode="External" Id="rId602" /><Relationship Type="http://schemas.openxmlformats.org/officeDocument/2006/relationships/hyperlink" Target="https://leetcode.com/problems/string-compression-ii/" TargetMode="External" Id="rId603" /><Relationship Type="http://schemas.openxmlformats.org/officeDocument/2006/relationships/hyperlink" Target="https://leetcode.com/submissions/detail/924946354/" TargetMode="External" Id="rId604" /><Relationship Type="http://schemas.openxmlformats.org/officeDocument/2006/relationships/hyperlink" Target="https://leetcode.com/problems/exam-room/" TargetMode="External" Id="rId605" /><Relationship Type="http://schemas.openxmlformats.org/officeDocument/2006/relationships/hyperlink" Target="https://leetcode.com/submissions/detail/924960225/" TargetMode="External" Id="rId606" /><Relationship Type="http://schemas.openxmlformats.org/officeDocument/2006/relationships/hyperlink" Target="https://leetcode.com/problems/bomb-enemy/" TargetMode="External" Id="rId607" /><Relationship Type="http://schemas.openxmlformats.org/officeDocument/2006/relationships/hyperlink" Target="https://leetcode.com/submissions/detail/924963710/" TargetMode="External" Id="rId608" /><Relationship Type="http://schemas.openxmlformats.org/officeDocument/2006/relationships/hyperlink" Target="https://leetcode.com/problems/serialize-and-deserialize-n-ary-tree/" TargetMode="External" Id="rId609" /><Relationship Type="http://schemas.openxmlformats.org/officeDocument/2006/relationships/hyperlink" Target="https://leetcode.com/submissions/detail/924979950/" TargetMode="External" Id="rId610" /><Relationship Type="http://schemas.openxmlformats.org/officeDocument/2006/relationships/hyperlink" Target="https://leetcode.com/problems/maximum-points-you-can-obtain-from-cards/" TargetMode="External" Id="rId611" /><Relationship Type="http://schemas.openxmlformats.org/officeDocument/2006/relationships/hyperlink" Target="https://leetcode.com/submissions/detail/925250833/" TargetMode="External" Id="rId612" /><Relationship Type="http://schemas.openxmlformats.org/officeDocument/2006/relationships/hyperlink" Target="https://leetcode.com/problems/the-latest-time-to-catch-a-bus/" TargetMode="External" Id="rId613" /><Relationship Type="http://schemas.openxmlformats.org/officeDocument/2006/relationships/hyperlink" Target="https://leetcode.com/submissions/detail/925726128/" TargetMode="External" Id="rId614" /><Relationship Type="http://schemas.openxmlformats.org/officeDocument/2006/relationships/hyperlink" Target="https://leetcode.com/problems/determine-if-two-strings-are-close/" TargetMode="External" Id="rId615" /><Relationship Type="http://schemas.openxmlformats.org/officeDocument/2006/relationships/hyperlink" Target="https://leetcode.com/submissions/detail/925782591/" TargetMode="External" Id="rId616" /><Relationship Type="http://schemas.openxmlformats.org/officeDocument/2006/relationships/hyperlink" Target="https://leetcode.com/problems/determine-if-two-strings-are-close/" TargetMode="External" Id="rId617" /><Relationship Type="http://schemas.openxmlformats.org/officeDocument/2006/relationships/hyperlink" Target="https://leetcode.com/submissions/detail/925783650/" TargetMode="External" Id="rId618" /><Relationship Type="http://schemas.openxmlformats.org/officeDocument/2006/relationships/hyperlink" Target="https://leetcode.com/problems/determine-if-two-strings-are-close/" TargetMode="External" Id="rId619" /><Relationship Type="http://schemas.openxmlformats.org/officeDocument/2006/relationships/hyperlink" Target="https://leetcode.com/submissions/detail/925784827/" TargetMode="External" Id="rId620" /><Relationship Type="http://schemas.openxmlformats.org/officeDocument/2006/relationships/hyperlink" Target="https://leetcode.com/problems/minimum-time-difference/" TargetMode="External" Id="rId621" /><Relationship Type="http://schemas.openxmlformats.org/officeDocument/2006/relationships/hyperlink" Target="https://leetcode.com/submissions/detail/925790048/" TargetMode="External" Id="rId622" /><Relationship Type="http://schemas.openxmlformats.org/officeDocument/2006/relationships/hyperlink" Target="https://leetcode.com/problems/minimum-time-difference/" TargetMode="External" Id="rId623" /><Relationship Type="http://schemas.openxmlformats.org/officeDocument/2006/relationships/hyperlink" Target="https://leetcode.com/submissions/detail/925793890/" TargetMode="External" Id="rId624" /><Relationship Type="http://schemas.openxmlformats.org/officeDocument/2006/relationships/hyperlink" Target="https://leetcode.com/problems/basic-calculator-iii/" TargetMode="External" Id="rId625" /><Relationship Type="http://schemas.openxmlformats.org/officeDocument/2006/relationships/hyperlink" Target="https://leetcode.com/submissions/detail/925892098/" TargetMode="External" Id="rId626" /><Relationship Type="http://schemas.openxmlformats.org/officeDocument/2006/relationships/hyperlink" Target="https://leetcode.com/problems/basic-calculator-ii/" TargetMode="External" Id="rId627" /><Relationship Type="http://schemas.openxmlformats.org/officeDocument/2006/relationships/hyperlink" Target="https://leetcode.com/submissions/detail/925895733/" TargetMode="External" Id="rId628" /><Relationship Type="http://schemas.openxmlformats.org/officeDocument/2006/relationships/hyperlink" Target="https://leetcode.com/problems/count-submatrices-with-all-ones/" TargetMode="External" Id="rId629" /><Relationship Type="http://schemas.openxmlformats.org/officeDocument/2006/relationships/hyperlink" Target="https://leetcode.com/submissions/detail/925907043/" TargetMode="External" Id="rId630" /><Relationship Type="http://schemas.openxmlformats.org/officeDocument/2006/relationships/hyperlink" Target="https://leetcode.com/problems/count-submatrices-with-all-ones/" TargetMode="External" Id="rId631" /><Relationship Type="http://schemas.openxmlformats.org/officeDocument/2006/relationships/hyperlink" Target="https://leetcode.com/submissions/detail/925918463/" TargetMode="External" Id="rId632" /><Relationship Type="http://schemas.openxmlformats.org/officeDocument/2006/relationships/hyperlink" Target="https://leetcode.com/problems/largest-rectangle-in-histogram/" TargetMode="External" Id="rId633" /><Relationship Type="http://schemas.openxmlformats.org/officeDocument/2006/relationships/hyperlink" Target="https://leetcode.com/submissions/detail/926048181/" TargetMode="External" Id="rId634" /><Relationship Type="http://schemas.openxmlformats.org/officeDocument/2006/relationships/hyperlink" Target="https://leetcode.com/problems/largest-rectangle-in-histogram/" TargetMode="External" Id="rId635" /><Relationship Type="http://schemas.openxmlformats.org/officeDocument/2006/relationships/hyperlink" Target="https://leetcode.com/submissions/detail/926064062/" TargetMode="External" Id="rId636" /><Relationship Type="http://schemas.openxmlformats.org/officeDocument/2006/relationships/hyperlink" Target="https://leetcode.com/problems/maximal-rectangle/" TargetMode="External" Id="rId637" /><Relationship Type="http://schemas.openxmlformats.org/officeDocument/2006/relationships/hyperlink" Target="https://leetcode.com/submissions/detail/926074412/" TargetMode="External" Id="rId638" /><Relationship Type="http://schemas.openxmlformats.org/officeDocument/2006/relationships/hyperlink" Target="https://leetcode.com/problems/count-square-submatrices-with-all-ones/" TargetMode="External" Id="rId639" /><Relationship Type="http://schemas.openxmlformats.org/officeDocument/2006/relationships/hyperlink" Target="https://leetcode.com/submissions/detail/926088154/" TargetMode="External" Id="rId640" /><Relationship Type="http://schemas.openxmlformats.org/officeDocument/2006/relationships/hyperlink" Target="https://leetcode.com/problems/count-submatrices-with-all-ones/" TargetMode="External" Id="rId641" /><Relationship Type="http://schemas.openxmlformats.org/officeDocument/2006/relationships/hyperlink" Target="https://leetcode.com/submissions/detail/926100354/" TargetMode="External" Id="rId642" /><Relationship Type="http://schemas.openxmlformats.org/officeDocument/2006/relationships/hyperlink" Target="https://leetcode.com/problems/range-sum-of-bst/" TargetMode="External" Id="rId643" /><Relationship Type="http://schemas.openxmlformats.org/officeDocument/2006/relationships/hyperlink" Target="https://leetcode.com/submissions/detail/926105512/" TargetMode="External" Id="rId644" /><Relationship Type="http://schemas.openxmlformats.org/officeDocument/2006/relationships/hyperlink" Target="https://leetcode.com/problems/range-sum-of-bst/" TargetMode="External" Id="rId645" /><Relationship Type="http://schemas.openxmlformats.org/officeDocument/2006/relationships/hyperlink" Target="https://leetcode.com/submissions/detail/926106990/" TargetMode="External" Id="rId646" /><Relationship Type="http://schemas.openxmlformats.org/officeDocument/2006/relationships/hyperlink" Target="https://leetcode.com/problems/range-sum-of-bst/" TargetMode="External" Id="rId647" /><Relationship Type="http://schemas.openxmlformats.org/officeDocument/2006/relationships/hyperlink" Target="https://leetcode.com/submissions/detail/926107893/" TargetMode="External" Id="rId648" /><Relationship Type="http://schemas.openxmlformats.org/officeDocument/2006/relationships/hyperlink" Target="https://leetcode.com/problems/number-of-dice-rolls-with-target-sum/" TargetMode="External" Id="rId649" /><Relationship Type="http://schemas.openxmlformats.org/officeDocument/2006/relationships/hyperlink" Target="https://leetcode.com/submissions/detail/926123214/" TargetMode="External" Id="rId650" /><Relationship Type="http://schemas.openxmlformats.org/officeDocument/2006/relationships/hyperlink" Target="https://leetcode.com/problems/number-of-dice-rolls-with-target-sum/" TargetMode="External" Id="rId651" /><Relationship Type="http://schemas.openxmlformats.org/officeDocument/2006/relationships/hyperlink" Target="https://leetcode.com/submissions/detail/926143507/" TargetMode="External" Id="rId652" /><Relationship Type="http://schemas.openxmlformats.org/officeDocument/2006/relationships/hyperlink" Target="https://leetcode.com/problems/longest-string-chain/" TargetMode="External" Id="rId653" /><Relationship Type="http://schemas.openxmlformats.org/officeDocument/2006/relationships/hyperlink" Target="https://leetcode.com/submissions/detail/926152010/" TargetMode="External" Id="rId654" /><Relationship Type="http://schemas.openxmlformats.org/officeDocument/2006/relationships/hyperlink" Target="https://leetcode.com/problems/battleships-in-a-board/" TargetMode="External" Id="rId655" /><Relationship Type="http://schemas.openxmlformats.org/officeDocument/2006/relationships/hyperlink" Target="https://leetcode.com/submissions/detail/926154720/" TargetMode="External" Id="rId656" /><Relationship Type="http://schemas.openxmlformats.org/officeDocument/2006/relationships/hyperlink" Target="https://leetcode.com/problems/battleships-in-a-board/" TargetMode="External" Id="rId657" /><Relationship Type="http://schemas.openxmlformats.org/officeDocument/2006/relationships/hyperlink" Target="https://leetcode.com/submissions/detail/926155176/" TargetMode="External" Id="rId658" /><Relationship Type="http://schemas.openxmlformats.org/officeDocument/2006/relationships/hyperlink" Target="https://leetcode.com/problems/most-stones-removed-with-same-row-or-column/" TargetMode="External" Id="rId659" /><Relationship Type="http://schemas.openxmlformats.org/officeDocument/2006/relationships/hyperlink" Target="https://leetcode.com/submissions/detail/926163506/" TargetMode="External" Id="rId660" /><Relationship Type="http://schemas.openxmlformats.org/officeDocument/2006/relationships/hyperlink" Target="https://leetcode.com/problems/meeting-rooms-iii/" TargetMode="External" Id="rId661" /><Relationship Type="http://schemas.openxmlformats.org/officeDocument/2006/relationships/hyperlink" Target="https://leetcode.com/submissions/detail/926173772/" TargetMode="External" Id="rId662" /><Relationship Type="http://schemas.openxmlformats.org/officeDocument/2006/relationships/hyperlink" Target="https://leetcode.com/problems/triangle/" TargetMode="External" Id="rId663" /><Relationship Type="http://schemas.openxmlformats.org/officeDocument/2006/relationships/hyperlink" Target="https://leetcode.com/submissions/detail/926374798/" TargetMode="External" Id="rId664" /><Relationship Type="http://schemas.openxmlformats.org/officeDocument/2006/relationships/hyperlink" Target="https://leetcode.com/problems/cherry-pickup-ii/" TargetMode="External" Id="rId665" /><Relationship Type="http://schemas.openxmlformats.org/officeDocument/2006/relationships/hyperlink" Target="https://leetcode.com/submissions/detail/926397708/" TargetMode="External" Id="rId666" /><Relationship Type="http://schemas.openxmlformats.org/officeDocument/2006/relationships/hyperlink" Target="https://leetcode.com/problems/cherry-pickup-ii/" TargetMode="External" Id="rId667" /><Relationship Type="http://schemas.openxmlformats.org/officeDocument/2006/relationships/hyperlink" Target="https://leetcode.com/submissions/detail/926405109/" TargetMode="External" Id="rId668" /><Relationship Type="http://schemas.openxmlformats.org/officeDocument/2006/relationships/hyperlink" Target="https://leetcode.com/problems/longest-string-chain/" TargetMode="External" Id="rId669" /><Relationship Type="http://schemas.openxmlformats.org/officeDocument/2006/relationships/hyperlink" Target="https://leetcode.com/submissions/detail/926805414/" TargetMode="External" Id="rId670" /><Relationship Type="http://schemas.openxmlformats.org/officeDocument/2006/relationships/hyperlink" Target="https://leetcode.com/problems/largest-divisible-subset/" TargetMode="External" Id="rId671" /><Relationship Type="http://schemas.openxmlformats.org/officeDocument/2006/relationships/hyperlink" Target="https://leetcode.com/submissions/detail/926808530/" TargetMode="External" Id="rId672" /><Relationship Type="http://schemas.openxmlformats.org/officeDocument/2006/relationships/hyperlink" Target="https://leetcode.com/problems/largest-divisible-subset/" TargetMode="External" Id="rId673" /><Relationship Type="http://schemas.openxmlformats.org/officeDocument/2006/relationships/hyperlink" Target="https://leetcode.com/submissions/detail/926810782/" TargetMode="External" Id="rId674" /><Relationship Type="http://schemas.openxmlformats.org/officeDocument/2006/relationships/hyperlink" Target="https://leetcode.com/problems/number-of-longest-increasing-subsequence/" TargetMode="External" Id="rId675" /><Relationship Type="http://schemas.openxmlformats.org/officeDocument/2006/relationships/hyperlink" Target="https://leetcode.com/submissions/detail/926821178/" TargetMode="External" Id="rId676" /><Relationship Type="http://schemas.openxmlformats.org/officeDocument/2006/relationships/hyperlink" Target="https://leetcode.com/problems/minimum-cost-to-cut-a-stick/" TargetMode="External" Id="rId677" /><Relationship Type="http://schemas.openxmlformats.org/officeDocument/2006/relationships/hyperlink" Target="https://leetcode.com/submissions/detail/927021105/" TargetMode="External" Id="rId678" /><Relationship Type="http://schemas.openxmlformats.org/officeDocument/2006/relationships/hyperlink" Target="https://leetcode.com/problems/burst-balloons/" TargetMode="External" Id="rId679" /><Relationship Type="http://schemas.openxmlformats.org/officeDocument/2006/relationships/hyperlink" Target="https://leetcode.com/submissions/detail/927031206/" TargetMode="External" Id="rId680" /><Relationship Type="http://schemas.openxmlformats.org/officeDocument/2006/relationships/hyperlink" Target="https://leetcode.com/problems/burst-balloons/" TargetMode="External" Id="rId681" /><Relationship Type="http://schemas.openxmlformats.org/officeDocument/2006/relationships/hyperlink" Target="https://leetcode.com/submissions/detail/927036759/" TargetMode="External" Id="rId682" /><Relationship Type="http://schemas.openxmlformats.org/officeDocument/2006/relationships/hyperlink" Target="https://leetcode.com/problems/find-k-closest-elements/" TargetMode="External" Id="rId683" /><Relationship Type="http://schemas.openxmlformats.org/officeDocument/2006/relationships/hyperlink" Target="https://leetcode.com/submissions/detail/927143513/" TargetMode="External" Id="rId684" /><Relationship Type="http://schemas.openxmlformats.org/officeDocument/2006/relationships/hyperlink" Target="https://leetcode.com/problems/find-k-closest-elements/" TargetMode="External" Id="rId685" /><Relationship Type="http://schemas.openxmlformats.org/officeDocument/2006/relationships/hyperlink" Target="https://leetcode.com/submissions/detail/927144670/" TargetMode="External" Id="rId686" /><Relationship Type="http://schemas.openxmlformats.org/officeDocument/2006/relationships/hyperlink" Target="https://leetcode.com/problems/lru-cache/" TargetMode="External" Id="rId687" /><Relationship Type="http://schemas.openxmlformats.org/officeDocument/2006/relationships/hyperlink" Target="https://leetcode.com/submissions/detail/939483920/" TargetMode="External" Id="rId688" /><Relationship Type="http://schemas.openxmlformats.org/officeDocument/2006/relationships/hyperlink" Target="https://leetcode.com/problems/moving-average-from-data-stream/" TargetMode="External" Id="rId689" /><Relationship Type="http://schemas.openxmlformats.org/officeDocument/2006/relationships/hyperlink" Target="https://leetcode.com/submissions/detail/939486498/" TargetMode="External" Id="rId690" /><Relationship Type="http://schemas.openxmlformats.org/officeDocument/2006/relationships/hyperlink" Target="https://leetcode.com/problems/moving-average-from-data-stream/" TargetMode="External" Id="rId691" /><Relationship Type="http://schemas.openxmlformats.org/officeDocument/2006/relationships/hyperlink" Target="https://leetcode.com/submissions/detail/939486602/" TargetMode="External" Id="rId692" /><Relationship Type="http://schemas.openxmlformats.org/officeDocument/2006/relationships/hyperlink" Target="https://leetcode.com/problems/design-snake-game/" TargetMode="External" Id="rId693" /><Relationship Type="http://schemas.openxmlformats.org/officeDocument/2006/relationships/hyperlink" Target="https://leetcode.com/submissions/detail/939955592/" TargetMode="External" Id="rId694" /><Relationship Type="http://schemas.openxmlformats.org/officeDocument/2006/relationships/hyperlink" Target="https://leetcode.com/problems/design-snake-game/" TargetMode="External" Id="rId695" /><Relationship Type="http://schemas.openxmlformats.org/officeDocument/2006/relationships/hyperlink" Target="https://leetcode.com/submissions/detail/939962357/" TargetMode="External" Id="rId696" /><Relationship Type="http://schemas.openxmlformats.org/officeDocument/2006/relationships/hyperlink" Target="https://leetcode.com/problems/design-snake-game/" TargetMode="External" Id="rId697" /><Relationship Type="http://schemas.openxmlformats.org/officeDocument/2006/relationships/hyperlink" Target="https://leetcode.com/submissions/detail/940007168/" TargetMode="External" Id="rId698" /><Relationship Type="http://schemas.openxmlformats.org/officeDocument/2006/relationships/hyperlink" Target="https://leetcode.com/problems/logger-rate-limiter/" TargetMode="External" Id="rId699" /><Relationship Type="http://schemas.openxmlformats.org/officeDocument/2006/relationships/hyperlink" Target="https://leetcode.com/submissions/detail/940008445/" TargetMode="External" Id="rId700" /><Relationship Type="http://schemas.openxmlformats.org/officeDocument/2006/relationships/hyperlink" Target="https://leetcode.com/problems/logger-rate-limiter/" TargetMode="External" Id="rId701" /><Relationship Type="http://schemas.openxmlformats.org/officeDocument/2006/relationships/hyperlink" Target="https://leetcode.com/submissions/detail/940009478/" TargetMode="External" Id="rId702" /><Relationship Type="http://schemas.openxmlformats.org/officeDocument/2006/relationships/hyperlink" Target="https://leetcode.com/problems/design-hit-counter/" TargetMode="External" Id="rId703" /><Relationship Type="http://schemas.openxmlformats.org/officeDocument/2006/relationships/hyperlink" Target="https://leetcode.com/submissions/detail/940010469/" TargetMode="External" Id="rId704" /><Relationship Type="http://schemas.openxmlformats.org/officeDocument/2006/relationships/hyperlink" Target="https://leetcode.com/problems/design-hit-counter/" TargetMode="External" Id="rId705" /><Relationship Type="http://schemas.openxmlformats.org/officeDocument/2006/relationships/hyperlink" Target="https://leetcode.com/submissions/detail/940010613/" TargetMode="External" Id="rId706" /><Relationship Type="http://schemas.openxmlformats.org/officeDocument/2006/relationships/hyperlink" Target="https://leetcode.com/problems/insert-delete-getrandom-o1-duplicates-allowed/" TargetMode="External" Id="rId707" /><Relationship Type="http://schemas.openxmlformats.org/officeDocument/2006/relationships/hyperlink" Target="https://leetcode.com/submissions/detail/940016332/" TargetMode="External" Id="rId708" /><Relationship Type="http://schemas.openxmlformats.org/officeDocument/2006/relationships/hyperlink" Target="https://leetcode.com/problems/insert-delete-getrandom-o1-duplicates-allowed/" TargetMode="External" Id="rId709" /><Relationship Type="http://schemas.openxmlformats.org/officeDocument/2006/relationships/hyperlink" Target="https://leetcode.com/submissions/detail/940018807/" TargetMode="External" Id="rId710" /><Relationship Type="http://schemas.openxmlformats.org/officeDocument/2006/relationships/hyperlink" Target="https://leetcode.com/problems/combination-sum/" TargetMode="External" Id="rId711" /><Relationship Type="http://schemas.openxmlformats.org/officeDocument/2006/relationships/hyperlink" Target="https://leetcode.com/submissions/detail/940926587/" TargetMode="External" Id="rId712" /><Relationship Type="http://schemas.openxmlformats.org/officeDocument/2006/relationships/hyperlink" Target="https://leetcode.com/problems/combination-sum-ii/" TargetMode="External" Id="rId713" /><Relationship Type="http://schemas.openxmlformats.org/officeDocument/2006/relationships/hyperlink" Target="https://leetcode.com/submissions/detail/940932971/" TargetMode="External" Id="rId714" /><Relationship Type="http://schemas.openxmlformats.org/officeDocument/2006/relationships/hyperlink" Target="https://leetcode.com/problems/combination-sum-ii/" TargetMode="External" Id="rId715" /><Relationship Type="http://schemas.openxmlformats.org/officeDocument/2006/relationships/hyperlink" Target="https://leetcode.com/submissions/detail/940939809/" TargetMode="External" Id="rId716" /><Relationship Type="http://schemas.openxmlformats.org/officeDocument/2006/relationships/hyperlink" Target="https://leetcode.com/problems/subsets/" TargetMode="External" Id="rId717" /><Relationship Type="http://schemas.openxmlformats.org/officeDocument/2006/relationships/hyperlink" Target="https://leetcode.com/submissions/detail/940944580/" TargetMode="External" Id="rId718" /><Relationship Type="http://schemas.openxmlformats.org/officeDocument/2006/relationships/hyperlink" Target="https://leetcode.com/problems/subsets/" TargetMode="External" Id="rId719" /><Relationship Type="http://schemas.openxmlformats.org/officeDocument/2006/relationships/hyperlink" Target="https://leetcode.com/submissions/detail/940946290/" TargetMode="External" Id="rId720" /><Relationship Type="http://schemas.openxmlformats.org/officeDocument/2006/relationships/hyperlink" Target="https://leetcode.com/problems/subsets-ii/" TargetMode="External" Id="rId721" /><Relationship Type="http://schemas.openxmlformats.org/officeDocument/2006/relationships/hyperlink" Target="https://leetcode.com/submissions/detail/940946848/" TargetMode="External" Id="rId722" /><Relationship Type="http://schemas.openxmlformats.org/officeDocument/2006/relationships/hyperlink" Target="https://leetcode.com/problems/permutations/" TargetMode="External" Id="rId723" /><Relationship Type="http://schemas.openxmlformats.org/officeDocument/2006/relationships/hyperlink" Target="https://leetcode.com/submissions/detail/940957460/" TargetMode="External" Id="rId724" /><Relationship Type="http://schemas.openxmlformats.org/officeDocument/2006/relationships/hyperlink" Target="https://leetcode.com/problems/n-queens/" TargetMode="External" Id="rId725" /><Relationship Type="http://schemas.openxmlformats.org/officeDocument/2006/relationships/hyperlink" Target="https://leetcode.com/submissions/detail/940976386/" TargetMode="External" Id="rId726" /><Relationship Type="http://schemas.openxmlformats.org/officeDocument/2006/relationships/hyperlink" Target="https://leetcode.com/problems/n-queens/" TargetMode="External" Id="rId727" /><Relationship Type="http://schemas.openxmlformats.org/officeDocument/2006/relationships/hyperlink" Target="https://leetcode.com/submissions/detail/940980279/" TargetMode="External" Id="rId728" /><Relationship Type="http://schemas.openxmlformats.org/officeDocument/2006/relationships/hyperlink" Target="https://leetcode.com/problems/sudoku-solver/" TargetMode="External" Id="rId729" /><Relationship Type="http://schemas.openxmlformats.org/officeDocument/2006/relationships/hyperlink" Target="https://leetcode.com/submissions/detail/940993417/" TargetMode="External" Id="rId730" /><Relationship Type="http://schemas.openxmlformats.org/officeDocument/2006/relationships/hyperlink" Target="https://leetcode.com/problems/palindrome-partitioning/" TargetMode="External" Id="rId731" /><Relationship Type="http://schemas.openxmlformats.org/officeDocument/2006/relationships/hyperlink" Target="https://leetcode.com/submissions/detail/941029531/" TargetMode="External" Id="rId732" /><Relationship Type="http://schemas.openxmlformats.org/officeDocument/2006/relationships/hyperlink" Target="https://leetcode.com/problems/permutation-sequence/" TargetMode="External" Id="rId733" /><Relationship Type="http://schemas.openxmlformats.org/officeDocument/2006/relationships/hyperlink" Target="https://leetcode.com/submissions/detail/941038951/" TargetMode="External" Id="rId734" /><Relationship Type="http://schemas.openxmlformats.org/officeDocument/2006/relationships/hyperlink" Target="https://leetcode.com/problems/permutation-sequence/" TargetMode="External" Id="rId735" /><Relationship Type="http://schemas.openxmlformats.org/officeDocument/2006/relationships/hyperlink" Target="https://leetcode.com/submissions/detail/941039153/" TargetMode="External" Id="rId736" /><Relationship Type="http://schemas.openxmlformats.org/officeDocument/2006/relationships/hyperlink" Target="https://leetcode.com/problems/permutation-sequence/" TargetMode="External" Id="rId737" /><Relationship Type="http://schemas.openxmlformats.org/officeDocument/2006/relationships/hyperlink" Target="https://leetcode.com/submissions/detail/941043418/" TargetMode="External" Id="rId738" /><Relationship Type="http://schemas.openxmlformats.org/officeDocument/2006/relationships/hyperlink" Target="https://leetcode.com/problems/permutation-sequence/" TargetMode="External" Id="rId739" /><Relationship Type="http://schemas.openxmlformats.org/officeDocument/2006/relationships/hyperlink" Target="https://leetcode.com/submissions/detail/941045258/" TargetMode="External" Id="rId740" /><Relationship Type="http://schemas.openxmlformats.org/officeDocument/2006/relationships/hyperlink" Target="https://leetcode.com/problems/koko-eating-bananas/" TargetMode="External" Id="rId741" /><Relationship Type="http://schemas.openxmlformats.org/officeDocument/2006/relationships/hyperlink" Target="https://leetcode.com/submissions/detail/941106300/" TargetMode="External" Id="rId742" /><Relationship Type="http://schemas.openxmlformats.org/officeDocument/2006/relationships/hyperlink" Target="https://leetcode.com/problems/rotting-oranges/" TargetMode="External" Id="rId743" /><Relationship Type="http://schemas.openxmlformats.org/officeDocument/2006/relationships/hyperlink" Target="https://leetcode.com/submissions/detail/941367397/" TargetMode="External" Id="rId744" /><Relationship Type="http://schemas.openxmlformats.org/officeDocument/2006/relationships/hyperlink" Target="https://leetcode.com/problems/01-matrix/" TargetMode="External" Id="rId745" /><Relationship Type="http://schemas.openxmlformats.org/officeDocument/2006/relationships/hyperlink" Target="https://leetcode.com/submissions/detail/941376278/" TargetMode="External" Id="rId746" /><Relationship Type="http://schemas.openxmlformats.org/officeDocument/2006/relationships/hyperlink" Target="https://leetcode.com/problems/01-matrix/" TargetMode="External" Id="rId747" /><Relationship Type="http://schemas.openxmlformats.org/officeDocument/2006/relationships/hyperlink" Target="https://leetcode.com/submissions/detail/941376684/" TargetMode="External" Id="rId748" /><Relationship Type="http://schemas.openxmlformats.org/officeDocument/2006/relationships/hyperlink" Target="https://leetcode.com/problems/surrounded-regions/" TargetMode="External" Id="rId749" /><Relationship Type="http://schemas.openxmlformats.org/officeDocument/2006/relationships/hyperlink" Target="https://leetcode.com/submissions/detail/941379617/" TargetMode="External" Id="rId750" /><Relationship Type="http://schemas.openxmlformats.org/officeDocument/2006/relationships/hyperlink" Target="https://leetcode.com/problems/surrounded-regions/" TargetMode="External" Id="rId751" /><Relationship Type="http://schemas.openxmlformats.org/officeDocument/2006/relationships/hyperlink" Target="https://leetcode.com/submissions/detail/941379852/" TargetMode="External" Id="rId752" /><Relationship Type="http://schemas.openxmlformats.org/officeDocument/2006/relationships/hyperlink" Target="https://leetcode.com/problems/surrounded-regions/" TargetMode="External" Id="rId753" /><Relationship Type="http://schemas.openxmlformats.org/officeDocument/2006/relationships/hyperlink" Target="https://leetcode.com/submissions/detail/941380038/" TargetMode="External" Id="rId754" /><Relationship Type="http://schemas.openxmlformats.org/officeDocument/2006/relationships/hyperlink" Target="https://leetcode.com/problems/surrounded-regions/" TargetMode="External" Id="rId755" /><Relationship Type="http://schemas.openxmlformats.org/officeDocument/2006/relationships/hyperlink" Target="https://leetcode.com/submissions/detail/941385744/" TargetMode="External" Id="rId756" /><Relationship Type="http://schemas.openxmlformats.org/officeDocument/2006/relationships/hyperlink" Target="https://leetcode.com/problems/number-of-enclaves/" TargetMode="External" Id="rId757" /><Relationship Type="http://schemas.openxmlformats.org/officeDocument/2006/relationships/hyperlink" Target="https://leetcode.com/submissions/detail/941390538/" TargetMode="External" Id="rId758" /><Relationship Type="http://schemas.openxmlformats.org/officeDocument/2006/relationships/hyperlink" Target="https://leetcode.com/problems/number-of-distinct-islands/" TargetMode="External" Id="rId759" /><Relationship Type="http://schemas.openxmlformats.org/officeDocument/2006/relationships/hyperlink" Target="https://leetcode.com/submissions/detail/941417839/" TargetMode="External" Id="rId760" /><Relationship Type="http://schemas.openxmlformats.org/officeDocument/2006/relationships/hyperlink" Target="https://leetcode.com/problems/is-graph-bipartite/" TargetMode="External" Id="rId761" /><Relationship Type="http://schemas.openxmlformats.org/officeDocument/2006/relationships/hyperlink" Target="https://leetcode.com/submissions/detail/941428205/" TargetMode="External" Id="rId762" /><Relationship Type="http://schemas.openxmlformats.org/officeDocument/2006/relationships/hyperlink" Target="https://leetcode.com/problems/is-graph-bipartite/" TargetMode="External" Id="rId763" /><Relationship Type="http://schemas.openxmlformats.org/officeDocument/2006/relationships/hyperlink" Target="https://leetcode.com/submissions/detail/941429243/" TargetMode="External" Id="rId764" /><Relationship Type="http://schemas.openxmlformats.org/officeDocument/2006/relationships/hyperlink" Target="https://leetcode.com/problems/is-graph-bipartite/" TargetMode="External" Id="rId765" /><Relationship Type="http://schemas.openxmlformats.org/officeDocument/2006/relationships/hyperlink" Target="https://leetcode.com/submissions/detail/941431927/" TargetMode="External" Id="rId766" /><Relationship Type="http://schemas.openxmlformats.org/officeDocument/2006/relationships/hyperlink" Target="https://leetcode.com/problems/find-eventual-safe-states/" TargetMode="External" Id="rId767" /><Relationship Type="http://schemas.openxmlformats.org/officeDocument/2006/relationships/hyperlink" Target="https://leetcode.com/submissions/detail/941444983/" TargetMode="External" Id="rId768" /><Relationship Type="http://schemas.openxmlformats.org/officeDocument/2006/relationships/hyperlink" Target="https://leetcode.com/problems/course-schedule/" TargetMode="External" Id="rId769" /><Relationship Type="http://schemas.openxmlformats.org/officeDocument/2006/relationships/hyperlink" Target="https://leetcode.com/submissions/detail/941464543/" TargetMode="External" Id="rId770" /><Relationship Type="http://schemas.openxmlformats.org/officeDocument/2006/relationships/hyperlink" Target="https://leetcode.com/problems/alien-dictionary/" TargetMode="External" Id="rId771" /><Relationship Type="http://schemas.openxmlformats.org/officeDocument/2006/relationships/hyperlink" Target="https://leetcode.com/submissions/detail/941479595/" TargetMode="External" Id="rId772" /><Relationship Type="http://schemas.openxmlformats.org/officeDocument/2006/relationships/hyperlink" Target="https://leetcode.com/problems/alien-dictionary/" TargetMode="External" Id="rId773" /><Relationship Type="http://schemas.openxmlformats.org/officeDocument/2006/relationships/hyperlink" Target="https://leetcode.com/submissions/detail/941480449/" TargetMode="External" Id="rId774" /><Relationship Type="http://schemas.openxmlformats.org/officeDocument/2006/relationships/hyperlink" Target="https://leetcode.com/problems/alien-dictionary/" TargetMode="External" Id="rId775" /><Relationship Type="http://schemas.openxmlformats.org/officeDocument/2006/relationships/hyperlink" Target="https://leetcode.com/submissions/detail/941480942/" TargetMode="External" Id="rId776" /><Relationship Type="http://schemas.openxmlformats.org/officeDocument/2006/relationships/hyperlink" Target="https://leetcode.com/problems/alien-dictionary/" TargetMode="External" Id="rId777" /><Relationship Type="http://schemas.openxmlformats.org/officeDocument/2006/relationships/hyperlink" Target="https://leetcode.com/submissions/detail/941481149/" TargetMode="External" Id="rId778" /><Relationship Type="http://schemas.openxmlformats.org/officeDocument/2006/relationships/hyperlink" Target="https://leetcode.com/problems/word-ladder/" TargetMode="External" Id="rId779" /><Relationship Type="http://schemas.openxmlformats.org/officeDocument/2006/relationships/hyperlink" Target="https://leetcode.com/submissions/detail/941514736/" TargetMode="External" Id="rId780" /><Relationship Type="http://schemas.openxmlformats.org/officeDocument/2006/relationships/hyperlink" Target="https://leetcode.com/problems/word-ladder-ii/" TargetMode="External" Id="rId781" /><Relationship Type="http://schemas.openxmlformats.org/officeDocument/2006/relationships/hyperlink" Target="https://leetcode.com/submissions/detail/941913351/" TargetMode="External" Id="rId782" /><Relationship Type="http://schemas.openxmlformats.org/officeDocument/2006/relationships/hyperlink" Target="https://leetcode.com/problems/word-ladder-ii/" TargetMode="External" Id="rId783" /><Relationship Type="http://schemas.openxmlformats.org/officeDocument/2006/relationships/hyperlink" Target="https://leetcode.com/submissions/detail/941915375/" TargetMode="External" Id="rId784" /><Relationship Type="http://schemas.openxmlformats.org/officeDocument/2006/relationships/hyperlink" Target="https://leetcode.com/problems/shortest-path-in-binary-matrix/" TargetMode="External" Id="rId785" /><Relationship Type="http://schemas.openxmlformats.org/officeDocument/2006/relationships/hyperlink" Target="https://leetcode.com/submissions/detail/941971420/" TargetMode="External" Id="rId786" /><Relationship Type="http://schemas.openxmlformats.org/officeDocument/2006/relationships/hyperlink" Target="https://leetcode.com/problems/shortest-path-in-binary-matrix/" TargetMode="External" Id="rId787" /><Relationship Type="http://schemas.openxmlformats.org/officeDocument/2006/relationships/hyperlink" Target="https://leetcode.com/submissions/detail/941971993/" TargetMode="External" Id="rId788" /><Relationship Type="http://schemas.openxmlformats.org/officeDocument/2006/relationships/hyperlink" Target="https://leetcode.com/problems/shortest-path-in-binary-matrix/" TargetMode="External" Id="rId789" /><Relationship Type="http://schemas.openxmlformats.org/officeDocument/2006/relationships/hyperlink" Target="https://leetcode.com/submissions/detail/941972432/" TargetMode="External" Id="rId790" /><Relationship Type="http://schemas.openxmlformats.org/officeDocument/2006/relationships/hyperlink" Target="https://leetcode.com/problems/path-with-minimum-effort/" TargetMode="External" Id="rId791" /><Relationship Type="http://schemas.openxmlformats.org/officeDocument/2006/relationships/hyperlink" Target="https://leetcode.com/submissions/detail/941993188/" TargetMode="External" Id="rId792" /><Relationship Type="http://schemas.openxmlformats.org/officeDocument/2006/relationships/hyperlink" Target="https://leetcode.com/problems/path-with-minimum-effort/" TargetMode="External" Id="rId793" /><Relationship Type="http://schemas.openxmlformats.org/officeDocument/2006/relationships/hyperlink" Target="https://leetcode.com/submissions/detail/941993668/" TargetMode="External" Id="rId794" /><Relationship Type="http://schemas.openxmlformats.org/officeDocument/2006/relationships/hyperlink" Target="https://leetcode.com/problems/path-with-minimum-effort/" TargetMode="External" Id="rId795" /><Relationship Type="http://schemas.openxmlformats.org/officeDocument/2006/relationships/hyperlink" Target="https://leetcode.com/submissions/detail/941994698/" TargetMode="External" Id="rId796" /><Relationship Type="http://schemas.openxmlformats.org/officeDocument/2006/relationships/hyperlink" Target="https://leetcode.com/problems/path-with-minimum-effort/" TargetMode="External" Id="rId797" /><Relationship Type="http://schemas.openxmlformats.org/officeDocument/2006/relationships/hyperlink" Target="https://leetcode.com/submissions/detail/941997459/" TargetMode="External" Id="rId798" /><Relationship Type="http://schemas.openxmlformats.org/officeDocument/2006/relationships/hyperlink" Target="https://leetcode.com/problems/cheapest-flights-within-k-stops/" TargetMode="External" Id="rId799" /><Relationship Type="http://schemas.openxmlformats.org/officeDocument/2006/relationships/hyperlink" Target="https://leetcode.com/submissions/detail/942009113/" TargetMode="External" Id="rId800" /><Relationship Type="http://schemas.openxmlformats.org/officeDocument/2006/relationships/hyperlink" Target="https://leetcode.com/problems/cheapest-flights-within-k-stops/" TargetMode="External" Id="rId801" /><Relationship Type="http://schemas.openxmlformats.org/officeDocument/2006/relationships/hyperlink" Target="https://leetcode.com/submissions/detail/942009995/" TargetMode="External" Id="rId802" /><Relationship Type="http://schemas.openxmlformats.org/officeDocument/2006/relationships/hyperlink" Target="https://leetcode.com/problems/number-of-ways-to-arrive-at-destination/" TargetMode="External" Id="rId803" /><Relationship Type="http://schemas.openxmlformats.org/officeDocument/2006/relationships/hyperlink" Target="https://leetcode.com/submissions/detail/942025469/" TargetMode="External" Id="rId804" /><Relationship Type="http://schemas.openxmlformats.org/officeDocument/2006/relationships/hyperlink" Target="https://leetcode.com/problems/number-of-ways-to-arrive-at-destination/" TargetMode="External" Id="rId805" /><Relationship Type="http://schemas.openxmlformats.org/officeDocument/2006/relationships/hyperlink" Target="https://leetcode.com/submissions/detail/942025751/" TargetMode="External" Id="rId806" /><Relationship Type="http://schemas.openxmlformats.org/officeDocument/2006/relationships/hyperlink" Target="https://leetcode.com/problems/number-of-ways-to-arrive-at-destination/" TargetMode="External" Id="rId807" /><Relationship Type="http://schemas.openxmlformats.org/officeDocument/2006/relationships/hyperlink" Target="https://leetcode.com/submissions/detail/942027719/" TargetMode="External" Id="rId808" /><Relationship Type="http://schemas.openxmlformats.org/officeDocument/2006/relationships/hyperlink" Target="https://leetcode.com/problems/redundant-connection/" TargetMode="External" Id="rId809" /><Relationship Type="http://schemas.openxmlformats.org/officeDocument/2006/relationships/hyperlink" Target="https://leetcode.com/submissions/detail/942082217/" TargetMode="External" Id="rId810" /><Relationship Type="http://schemas.openxmlformats.org/officeDocument/2006/relationships/hyperlink" Target="https://leetcode.com/problems/accounts-merge/" TargetMode="External" Id="rId811" /><Relationship Type="http://schemas.openxmlformats.org/officeDocument/2006/relationships/hyperlink" Target="https://leetcode.com/submissions/detail/942101259/" TargetMode="External" Id="rId812" /><Relationship Type="http://schemas.openxmlformats.org/officeDocument/2006/relationships/hyperlink" Target="https://leetcode.com/problems/accounts-merge/" TargetMode="External" Id="rId813" /><Relationship Type="http://schemas.openxmlformats.org/officeDocument/2006/relationships/hyperlink" Target="https://leetcode.com/submissions/detail/942101745/" TargetMode="External" Id="rId814" /><Relationship Type="http://schemas.openxmlformats.org/officeDocument/2006/relationships/hyperlink" Target="https://leetcode.com/problems/number-of-islands-ii/" TargetMode="External" Id="rId815" /><Relationship Type="http://schemas.openxmlformats.org/officeDocument/2006/relationships/hyperlink" Target="https://leetcode.com/submissions/detail/942114115/" TargetMode="External" Id="rId816" /><Relationship Type="http://schemas.openxmlformats.org/officeDocument/2006/relationships/hyperlink" Target="https://leetcode.com/problems/number-of-islands-ii/" TargetMode="External" Id="rId817" /><Relationship Type="http://schemas.openxmlformats.org/officeDocument/2006/relationships/hyperlink" Target="https://leetcode.com/submissions/detail/942119013/" TargetMode="External" Id="rId818" /><Relationship Type="http://schemas.openxmlformats.org/officeDocument/2006/relationships/hyperlink" Target="https://leetcode.com/problems/most-stones-removed-with-same-row-or-column/" TargetMode="External" Id="rId819" /><Relationship Type="http://schemas.openxmlformats.org/officeDocument/2006/relationships/hyperlink" Target="https://leetcode.com/submissions/detail/942413101/" TargetMode="External" Id="rId820" /><Relationship Type="http://schemas.openxmlformats.org/officeDocument/2006/relationships/hyperlink" Target="https://leetcode.com/problems/critical-connections-in-a-network/" TargetMode="External" Id="rId821" /><Relationship Type="http://schemas.openxmlformats.org/officeDocument/2006/relationships/hyperlink" Target="https://leetcode.com/submissions/detail/942448003/" TargetMode="External" Id="rId822" /><Relationship Type="http://schemas.openxmlformats.org/officeDocument/2006/relationships/hyperlink" Target="https://leetcode.com/problems/critical-connections-in-a-network/" TargetMode="External" Id="rId823" /><Relationship Type="http://schemas.openxmlformats.org/officeDocument/2006/relationships/hyperlink" Target="https://leetcode.com/submissions/detail/942449111/" TargetMode="External" Id="rId824" /><Relationship Type="http://schemas.openxmlformats.org/officeDocument/2006/relationships/hyperlink" Target="https://leetcode.com/problems/critical-connections-in-a-network/" TargetMode="External" Id="rId825" /><Relationship Type="http://schemas.openxmlformats.org/officeDocument/2006/relationships/hyperlink" Target="https://leetcode.com/submissions/detail/942454714/" TargetMode="External" Id="rId826" /><Relationship Type="http://schemas.openxmlformats.org/officeDocument/2006/relationships/hyperlink" Target="https://leetcode.com/problems/cherry-pickup-ii/" TargetMode="External" Id="rId827" /><Relationship Type="http://schemas.openxmlformats.org/officeDocument/2006/relationships/hyperlink" Target="https://leetcode.com/submissions/detail/942944541/" TargetMode="External" Id="rId828" /><Relationship Type="http://schemas.openxmlformats.org/officeDocument/2006/relationships/hyperlink" Target="https://leetcode.com/problems/cherry-pickup-ii/" TargetMode="External" Id="rId829" /><Relationship Type="http://schemas.openxmlformats.org/officeDocument/2006/relationships/hyperlink" Target="https://leetcode.com/submissions/detail/942944998/" TargetMode="External" Id="rId830" /><Relationship Type="http://schemas.openxmlformats.org/officeDocument/2006/relationships/hyperlink" Target="https://leetcode.com/problems/cherry-pickup-ii/" TargetMode="External" Id="rId831" /><Relationship Type="http://schemas.openxmlformats.org/officeDocument/2006/relationships/hyperlink" Target="https://leetcode.com/submissions/detail/942950556/" TargetMode="External" Id="rId832" /><Relationship Type="http://schemas.openxmlformats.org/officeDocument/2006/relationships/hyperlink" Target="https://leetcode.com/problems/cherry-pickup/" TargetMode="External" Id="rId833" /><Relationship Type="http://schemas.openxmlformats.org/officeDocument/2006/relationships/hyperlink" Target="https://leetcode.com/submissions/detail/942952292/" TargetMode="External" Id="rId834" /><Relationship Type="http://schemas.openxmlformats.org/officeDocument/2006/relationships/hyperlink" Target="https://leetcode.com/problems/cherry-pickup/" TargetMode="External" Id="rId835" /><Relationship Type="http://schemas.openxmlformats.org/officeDocument/2006/relationships/hyperlink" Target="https://leetcode.com/submissions/detail/942960945/" TargetMode="External" Id="rId836" /><Relationship Type="http://schemas.openxmlformats.org/officeDocument/2006/relationships/hyperlink" Target="https://leetcode.com/problems/cherry-pickup/" TargetMode="External" Id="rId837" /><Relationship Type="http://schemas.openxmlformats.org/officeDocument/2006/relationships/hyperlink" Target="https://leetcode.com/submissions/detail/942962528/" TargetMode="External" Id="rId838" /><Relationship Type="http://schemas.openxmlformats.org/officeDocument/2006/relationships/hyperlink" Target="https://leetcode.com/problems/cherry-pickup/" TargetMode="External" Id="rId839" /><Relationship Type="http://schemas.openxmlformats.org/officeDocument/2006/relationships/hyperlink" Target="https://leetcode.com/submissions/detail/942963304/" TargetMode="External" Id="rId840" /><Relationship Type="http://schemas.openxmlformats.org/officeDocument/2006/relationships/hyperlink" Target="https://leetcode.com/problems/maximum-number-of-coins-you-can-get/" TargetMode="External" Id="rId841" /><Relationship Type="http://schemas.openxmlformats.org/officeDocument/2006/relationships/hyperlink" Target="https://leetcode.com/submissions/detail/943198196/" TargetMode="External" Id="rId842" /><Relationship Type="http://schemas.openxmlformats.org/officeDocument/2006/relationships/hyperlink" Target="https://leetcode.com/problems/edit-distance/" TargetMode="External" Id="rId843" /><Relationship Type="http://schemas.openxmlformats.org/officeDocument/2006/relationships/hyperlink" Target="https://leetcode.com/submissions/detail/943623300/" TargetMode="External" Id="rId844" /><Relationship Type="http://schemas.openxmlformats.org/officeDocument/2006/relationships/hyperlink" Target="https://leetcode.com/problems/wildcard-matching/" TargetMode="External" Id="rId845" /><Relationship Type="http://schemas.openxmlformats.org/officeDocument/2006/relationships/hyperlink" Target="https://leetcode.com/submissions/detail/943630731/" TargetMode="External" Id="rId846" /><Relationship Type="http://schemas.openxmlformats.org/officeDocument/2006/relationships/hyperlink" Target="https://leetcode.com/problems/wildcard-matching/" TargetMode="External" Id="rId847" /><Relationship Type="http://schemas.openxmlformats.org/officeDocument/2006/relationships/hyperlink" Target="https://leetcode.com/submissions/detail/943631756/" TargetMode="External" Id="rId848" /><Relationship Type="http://schemas.openxmlformats.org/officeDocument/2006/relationships/hyperlink" Target="https://leetcode.com/problems/wildcard-matching/" TargetMode="External" Id="rId849" /><Relationship Type="http://schemas.openxmlformats.org/officeDocument/2006/relationships/hyperlink" Target="https://leetcode.com/submissions/detail/943632100/" TargetMode="External" Id="rId850" /><Relationship Type="http://schemas.openxmlformats.org/officeDocument/2006/relationships/hyperlink" Target="https://leetcode.com/problems/best-time-to-buy-and-sell-stock-ii/" TargetMode="External" Id="rId851" /><Relationship Type="http://schemas.openxmlformats.org/officeDocument/2006/relationships/hyperlink" Target="https://leetcode.com/submissions/detail/943647202/" TargetMode="External" Id="rId852" /><Relationship Type="http://schemas.openxmlformats.org/officeDocument/2006/relationships/hyperlink" Target="https://leetcode.com/problems/best-time-to-buy-and-sell-stock-ii/" TargetMode="External" Id="rId853" /><Relationship Type="http://schemas.openxmlformats.org/officeDocument/2006/relationships/hyperlink" Target="https://leetcode.com/submissions/detail/943648381/" TargetMode="External" Id="rId854" /><Relationship Type="http://schemas.openxmlformats.org/officeDocument/2006/relationships/hyperlink" Target="https://leetcode.com/problems/best-time-to-buy-and-sell-stock-ii/" TargetMode="External" Id="rId855" /><Relationship Type="http://schemas.openxmlformats.org/officeDocument/2006/relationships/hyperlink" Target="https://leetcode.com/submissions/detail/943648655/" TargetMode="External" Id="rId856" /><Relationship Type="http://schemas.openxmlformats.org/officeDocument/2006/relationships/hyperlink" Target="https://leetcode.com/problems/best-time-to-buy-and-sell-stock-ii/" TargetMode="External" Id="rId857" /><Relationship Type="http://schemas.openxmlformats.org/officeDocument/2006/relationships/hyperlink" Target="https://leetcode.com/submissions/detail/943656453/" TargetMode="External" Id="rId858" /><Relationship Type="http://schemas.openxmlformats.org/officeDocument/2006/relationships/hyperlink" Target="https://leetcode.com/problems/best-time-to-buy-and-sell-stock-iii/" TargetMode="External" Id="rId859" /><Relationship Type="http://schemas.openxmlformats.org/officeDocument/2006/relationships/hyperlink" Target="https://leetcode.com/submissions/detail/943665836/" TargetMode="External" Id="rId860" /><Relationship Type="http://schemas.openxmlformats.org/officeDocument/2006/relationships/hyperlink" Target="https://leetcode.com/problems/best-time-to-buy-and-sell-stock-iv/" TargetMode="External" Id="rId861" /><Relationship Type="http://schemas.openxmlformats.org/officeDocument/2006/relationships/hyperlink" Target="https://leetcode.com/submissions/detail/943666197/" TargetMode="External" Id="rId862" /><Relationship Type="http://schemas.openxmlformats.org/officeDocument/2006/relationships/hyperlink" Target="https://leetcode.com/problems/best-time-to-buy-and-sell-stock-iv/" TargetMode="External" Id="rId863" /><Relationship Type="http://schemas.openxmlformats.org/officeDocument/2006/relationships/hyperlink" Target="https://leetcode.com/submissions/detail/943673458/" TargetMode="External" Id="rId864" /><Relationship Type="http://schemas.openxmlformats.org/officeDocument/2006/relationships/hyperlink" Target="https://leetcode.com/problems/best-time-to-buy-and-sell-stock-iii/" TargetMode="External" Id="rId865" /><Relationship Type="http://schemas.openxmlformats.org/officeDocument/2006/relationships/hyperlink" Target="https://leetcode.com/submissions/detail/943673522/" TargetMode="External" Id="rId866" /><Relationship Type="http://schemas.openxmlformats.org/officeDocument/2006/relationships/hyperlink" Target="https://leetcode.com/problems/best-time-to-buy-and-sell-stock-iii/" TargetMode="External" Id="rId867" /><Relationship Type="http://schemas.openxmlformats.org/officeDocument/2006/relationships/hyperlink" Target="https://leetcode.com/submissions/detail/943677205/" TargetMode="External" Id="rId868" /><Relationship Type="http://schemas.openxmlformats.org/officeDocument/2006/relationships/hyperlink" Target="https://leetcode.com/problems/best-time-to-buy-and-sell-stock-iv/" TargetMode="External" Id="rId869" /><Relationship Type="http://schemas.openxmlformats.org/officeDocument/2006/relationships/hyperlink" Target="https://leetcode.com/submissions/detail/943679163/" TargetMode="External" Id="rId870" /><Relationship Type="http://schemas.openxmlformats.org/officeDocument/2006/relationships/hyperlink" Target="https://leetcode.com/problems/best-time-to-buy-and-sell-stock-iii/" TargetMode="External" Id="rId871" /><Relationship Type="http://schemas.openxmlformats.org/officeDocument/2006/relationships/hyperlink" Target="https://leetcode.com/submissions/detail/943680000/" TargetMode="External" Id="rId872" /><Relationship Type="http://schemas.openxmlformats.org/officeDocument/2006/relationships/hyperlink" Target="https://leetcode.com/problems/best-time-to-buy-and-sell-stock-iv/" TargetMode="External" Id="rId873" /><Relationship Type="http://schemas.openxmlformats.org/officeDocument/2006/relationships/hyperlink" Target="https://leetcode.com/submissions/detail/943682206/" TargetMode="External" Id="rId874" /><Relationship Type="http://schemas.openxmlformats.org/officeDocument/2006/relationships/hyperlink" Target="https://leetcode.com/problems/best-time-to-buy-and-sell-stock-iii/" TargetMode="External" Id="rId875" /><Relationship Type="http://schemas.openxmlformats.org/officeDocument/2006/relationships/hyperlink" Target="https://leetcode.com/submissions/detail/943682793/" TargetMode="External" Id="rId876" /><Relationship Type="http://schemas.openxmlformats.org/officeDocument/2006/relationships/hyperlink" Target="https://leetcode.com/problems/best-time-to-buy-and-sell-stock-iv/" TargetMode="External" Id="rId877" /><Relationship Type="http://schemas.openxmlformats.org/officeDocument/2006/relationships/hyperlink" Target="https://leetcode.com/submissions/detail/943687014/" TargetMode="External" Id="rId878" /><Relationship Type="http://schemas.openxmlformats.org/officeDocument/2006/relationships/hyperlink" Target="https://leetcode.com/problems/best-time-to-buy-and-sell-stock-with-cooldown/" TargetMode="External" Id="rId879" /><Relationship Type="http://schemas.openxmlformats.org/officeDocument/2006/relationships/hyperlink" Target="https://leetcode.com/submissions/detail/943694651/" TargetMode="External" Id="rId880" /><Relationship Type="http://schemas.openxmlformats.org/officeDocument/2006/relationships/hyperlink" Target="https://leetcode.com/problems/best-time-to-buy-and-sell-stock-with-transaction-fee/" TargetMode="External" Id="rId881" /><Relationship Type="http://schemas.openxmlformats.org/officeDocument/2006/relationships/hyperlink" Target="https://leetcode.com/submissions/detail/943695800/" TargetMode="External" Id="rId882" /><Relationship Type="http://schemas.openxmlformats.org/officeDocument/2006/relationships/hyperlink" Target="https://leetcode.com/problems/longest-increasing-subsequence/" TargetMode="External" Id="rId883" /><Relationship Type="http://schemas.openxmlformats.org/officeDocument/2006/relationships/hyperlink" Target="https://leetcode.com/submissions/detail/943813582/" TargetMode="External" Id="rId884" /><Relationship Type="http://schemas.openxmlformats.org/officeDocument/2006/relationships/hyperlink" Target="https://leetcode.com/problems/longest-increasing-subsequence/" TargetMode="External" Id="rId885" /><Relationship Type="http://schemas.openxmlformats.org/officeDocument/2006/relationships/hyperlink" Target="https://leetcode.com/submissions/detail/943814542/" TargetMode="External" Id="rId886" /><Relationship Type="http://schemas.openxmlformats.org/officeDocument/2006/relationships/hyperlink" Target="https://leetcode.com/problems/longest-increasing-subsequence/" TargetMode="External" Id="rId887" /><Relationship Type="http://schemas.openxmlformats.org/officeDocument/2006/relationships/hyperlink" Target="https://leetcode.com/submissions/detail/943816431/" TargetMode="External" Id="rId888" /><Relationship Type="http://schemas.openxmlformats.org/officeDocument/2006/relationships/hyperlink" Target="https://leetcode.com/problems/longest-increasing-subsequence/" TargetMode="External" Id="rId889" /><Relationship Type="http://schemas.openxmlformats.org/officeDocument/2006/relationships/hyperlink" Target="https://leetcode.com/submissions/detail/943817237/" TargetMode="External" Id="rId890" /><Relationship Type="http://schemas.openxmlformats.org/officeDocument/2006/relationships/hyperlink" Target="https://leetcode.com/problems/longest-increasing-subsequence/" TargetMode="External" Id="rId891" /><Relationship Type="http://schemas.openxmlformats.org/officeDocument/2006/relationships/hyperlink" Target="https://leetcode.com/submissions/detail/943824540/" TargetMode="External" Id="rId892" /><Relationship Type="http://schemas.openxmlformats.org/officeDocument/2006/relationships/hyperlink" Target="https://leetcode.com/problems/longest-increasing-subsequence/" TargetMode="External" Id="rId893" /><Relationship Type="http://schemas.openxmlformats.org/officeDocument/2006/relationships/hyperlink" Target="https://leetcode.com/submissions/detail/944091398/" TargetMode="External" Id="rId894" /><Relationship Type="http://schemas.openxmlformats.org/officeDocument/2006/relationships/hyperlink" Target="https://leetcode.com/problems/largest-divisible-subset/" TargetMode="External" Id="rId895" /><Relationship Type="http://schemas.openxmlformats.org/officeDocument/2006/relationships/hyperlink" Target="https://leetcode.com/submissions/detail/944094141/" TargetMode="External" Id="rId896" /><Relationship Type="http://schemas.openxmlformats.org/officeDocument/2006/relationships/hyperlink" Target="https://leetcode.com/problems/minimum-cost-to-cut-a-stick/" TargetMode="External" Id="rId897" /><Relationship Type="http://schemas.openxmlformats.org/officeDocument/2006/relationships/hyperlink" Target="https://leetcode.com/submissions/detail/944131291/" TargetMode="External" Id="rId898" /><Relationship Type="http://schemas.openxmlformats.org/officeDocument/2006/relationships/hyperlink" Target="https://leetcode.com/problems/minimum-cost-to-cut-a-stick/" TargetMode="External" Id="rId899" /><Relationship Type="http://schemas.openxmlformats.org/officeDocument/2006/relationships/hyperlink" Target="https://leetcode.com/submissions/detail/944132427/" TargetMode="External" Id="rId900" /><Relationship Type="http://schemas.openxmlformats.org/officeDocument/2006/relationships/hyperlink" Target="https://leetcode.com/problems/burst-balloons/" TargetMode="External" Id="rId901" /><Relationship Type="http://schemas.openxmlformats.org/officeDocument/2006/relationships/hyperlink" Target="https://leetcode.com/submissions/detail/944134740/" TargetMode="External" Id="rId902" /><Relationship Type="http://schemas.openxmlformats.org/officeDocument/2006/relationships/hyperlink" Target="https://leetcode.com/problems/palindrome-partitioning-ii/" TargetMode="External" Id="rId903" /><Relationship Type="http://schemas.openxmlformats.org/officeDocument/2006/relationships/hyperlink" Target="https://leetcode.com/submissions/detail/944160153/" TargetMode="External" Id="rId904" /><Relationship Type="http://schemas.openxmlformats.org/officeDocument/2006/relationships/hyperlink" Target="https://leetcode.com/problems/palindrome-partitioning-ii/" TargetMode="External" Id="rId905" /><Relationship Type="http://schemas.openxmlformats.org/officeDocument/2006/relationships/hyperlink" Target="https://leetcode.com/submissions/detail/944161976/" TargetMode="External" Id="rId906" /><Relationship Type="http://schemas.openxmlformats.org/officeDocument/2006/relationships/hyperlink" Target="https://leetcode.com/problems/palindrome-partitioning-ii/" TargetMode="External" Id="rId907" /><Relationship Type="http://schemas.openxmlformats.org/officeDocument/2006/relationships/hyperlink" Target="https://leetcode.com/submissions/detail/944162403/" TargetMode="External" Id="rId908" /><Relationship Type="http://schemas.openxmlformats.org/officeDocument/2006/relationships/hyperlink" Target="https://leetcode.com/problems/partition-array-for-maximum-sum/" TargetMode="External" Id="rId909" /><Relationship Type="http://schemas.openxmlformats.org/officeDocument/2006/relationships/hyperlink" Target="https://leetcode.com/submissions/detail/944176802/" TargetMode="External" Id="rId910" /><Relationship Type="http://schemas.openxmlformats.org/officeDocument/2006/relationships/hyperlink" Target="https://leetcode.com/problems/partition-array-for-maximum-sum/" TargetMode="External" Id="rId911" /><Relationship Type="http://schemas.openxmlformats.org/officeDocument/2006/relationships/hyperlink" Target="https://leetcode.com/submissions/detail/944177839/" TargetMode="External" Id="rId912" /><Relationship Type="http://schemas.openxmlformats.org/officeDocument/2006/relationships/hyperlink" Target="https://leetcode.com/problems/partition-array-for-maximum-sum/" TargetMode="External" Id="rId913" /><Relationship Type="http://schemas.openxmlformats.org/officeDocument/2006/relationships/hyperlink" Target="https://leetcode.com/submissions/detail/944177961/" TargetMode="External" Id="rId914" /><Relationship Type="http://schemas.openxmlformats.org/officeDocument/2006/relationships/hyperlink" Target="https://leetcode.com/problems/median-of-a-row-wise-sorted-matrix/" TargetMode="External" Id="rId915" /><Relationship Type="http://schemas.openxmlformats.org/officeDocument/2006/relationships/hyperlink" Target="https://leetcode.com/submissions/detail/944209105/" TargetMode="External" Id="rId916" /><Relationship Type="http://schemas.openxmlformats.org/officeDocument/2006/relationships/hyperlink" Target="https://leetcode.com/problems/single-element-in-a-sorted-array/" TargetMode="External" Id="rId917" /><Relationship Type="http://schemas.openxmlformats.org/officeDocument/2006/relationships/hyperlink" Target="https://leetcode.com/submissions/detail/944234757/" TargetMode="External" Id="rId918" /><Relationship Type="http://schemas.openxmlformats.org/officeDocument/2006/relationships/hyperlink" Target="https://leetcode.com/problems/search-in-rotated-sorted-array/" TargetMode="External" Id="rId919" /><Relationship Type="http://schemas.openxmlformats.org/officeDocument/2006/relationships/hyperlink" Target="https://leetcode.com/submissions/detail/944246756/" TargetMode="External" Id="rId920" /><Relationship Type="http://schemas.openxmlformats.org/officeDocument/2006/relationships/hyperlink" Target="https://leetcode.com/problems/search-in-rotated-sorted-array/" TargetMode="External" Id="rId921" /><Relationship Type="http://schemas.openxmlformats.org/officeDocument/2006/relationships/hyperlink" Target="https://leetcode.com/submissions/detail/944246907/" TargetMode="External" Id="rId922" /><Relationship Type="http://schemas.openxmlformats.org/officeDocument/2006/relationships/hyperlink" Target="https://leetcode.com/problems/search-in-rotated-sorted-array/" TargetMode="External" Id="rId923" /><Relationship Type="http://schemas.openxmlformats.org/officeDocument/2006/relationships/hyperlink" Target="https://leetcode.com/submissions/detail/944247245/" TargetMode="External" Id="rId924" /><Relationship Type="http://schemas.openxmlformats.org/officeDocument/2006/relationships/hyperlink" Target="https://leetcode.com/problems/median-of-two-sorted-arrays/" TargetMode="External" Id="rId925" /><Relationship Type="http://schemas.openxmlformats.org/officeDocument/2006/relationships/hyperlink" Target="https://leetcode.com/submissions/detail/944262345/" TargetMode="External" Id="rId926" /><Relationship Type="http://schemas.openxmlformats.org/officeDocument/2006/relationships/hyperlink" Target="https://leetcode.com/problems/median-of-two-sorted-arrays/" TargetMode="External" Id="rId927" /><Relationship Type="http://schemas.openxmlformats.org/officeDocument/2006/relationships/hyperlink" Target="https://leetcode.com/submissions/detail/944262653/" TargetMode="External" Id="rId928" /><Relationship Type="http://schemas.openxmlformats.org/officeDocument/2006/relationships/hyperlink" Target="https://leetcode.com/problems/median-of-two-sorted-arrays/" TargetMode="External" Id="rId929" /><Relationship Type="http://schemas.openxmlformats.org/officeDocument/2006/relationships/hyperlink" Target="https://leetcode.com/submissions/detail/944265436/" TargetMode="External" Id="rId930" /><Relationship Type="http://schemas.openxmlformats.org/officeDocument/2006/relationships/hyperlink" Target="https://leetcode.com/problems/median-of-two-sorted-arrays/" TargetMode="External" Id="rId931" /><Relationship Type="http://schemas.openxmlformats.org/officeDocument/2006/relationships/hyperlink" Target="https://leetcode.com/submissions/detail/944266663/" TargetMode="External" Id="rId932" /><Relationship Type="http://schemas.openxmlformats.org/officeDocument/2006/relationships/hyperlink" Target="https://leetcode.com/problems/implement-trie-prefix-tree/" TargetMode="External" Id="rId933" /><Relationship Type="http://schemas.openxmlformats.org/officeDocument/2006/relationships/hyperlink" Target="https://leetcode.com/submissions/detail/944313239/" TargetMode="External" Id="rId934" /><Relationship Type="http://schemas.openxmlformats.org/officeDocument/2006/relationships/hyperlink" Target="https://leetcode.com/problems/implement-trie-prefix-tree/" TargetMode="External" Id="rId935" /><Relationship Type="http://schemas.openxmlformats.org/officeDocument/2006/relationships/hyperlink" Target="https://leetcode.com/submissions/detail/944314286/" TargetMode="External" Id="rId936" /><Relationship Type="http://schemas.openxmlformats.org/officeDocument/2006/relationships/hyperlink" Target="https://leetcode.com/problems/implement-trie-ii-prefix-tree/" TargetMode="External" Id="rId937" /><Relationship Type="http://schemas.openxmlformats.org/officeDocument/2006/relationships/hyperlink" Target="https://leetcode.com/submissions/detail/944324967/" TargetMode="External" Id="rId938" /><Relationship Type="http://schemas.openxmlformats.org/officeDocument/2006/relationships/hyperlink" Target="https://leetcode.com/problems/longest-word-with-all-prefixes/" TargetMode="External" Id="rId939" /><Relationship Type="http://schemas.openxmlformats.org/officeDocument/2006/relationships/hyperlink" Target="https://leetcode.com/submissions/detail/944331978/" TargetMode="External" Id="rId940" /><Relationship Type="http://schemas.openxmlformats.org/officeDocument/2006/relationships/hyperlink" Target="https://leetcode.com/problems/longest-word-with-all-prefixes/" TargetMode="External" Id="rId941" /><Relationship Type="http://schemas.openxmlformats.org/officeDocument/2006/relationships/hyperlink" Target="https://leetcode.com/submissions/detail/944333566/" TargetMode="External" Id="rId942" /><Relationship Type="http://schemas.openxmlformats.org/officeDocument/2006/relationships/hyperlink" Target="https://leetcode.com/problems/lowest-common-ancestor-of-a-binary-tree/" TargetMode="External" Id="rId943" /><Relationship Type="http://schemas.openxmlformats.org/officeDocument/2006/relationships/hyperlink" Target="https://leetcode.com/submissions/detail/944666986/" TargetMode="External" Id="rId944" /><Relationship Type="http://schemas.openxmlformats.org/officeDocument/2006/relationships/hyperlink" Target="https://leetcode.com/problems/maximum-width-of-binary-tree/" TargetMode="External" Id="rId945" /><Relationship Type="http://schemas.openxmlformats.org/officeDocument/2006/relationships/hyperlink" Target="https://leetcode.com/submissions/detail/944669999/" TargetMode="External" Id="rId946" /><Relationship Type="http://schemas.openxmlformats.org/officeDocument/2006/relationships/hyperlink" Target="https://leetcode.com/problems/maximum-width-of-binary-tree/" TargetMode="External" Id="rId947" /><Relationship Type="http://schemas.openxmlformats.org/officeDocument/2006/relationships/hyperlink" Target="https://leetcode.com/submissions/detail/944672326/" TargetMode="External" Id="rId948" /><Relationship Type="http://schemas.openxmlformats.org/officeDocument/2006/relationships/hyperlink" Target="https://leetcode.com/problems/maximum-width-of-binary-tree/" TargetMode="External" Id="rId949" /><Relationship Type="http://schemas.openxmlformats.org/officeDocument/2006/relationships/hyperlink" Target="https://leetcode.com/submissions/detail/944672783/" TargetMode="External" Id="rId950" /><Relationship Type="http://schemas.openxmlformats.org/officeDocument/2006/relationships/hyperlink" Target="https://leetcode.com/problems/all-nodes-distance-k-in-binary-tree/" TargetMode="External" Id="rId951" /><Relationship Type="http://schemas.openxmlformats.org/officeDocument/2006/relationships/hyperlink" Target="https://leetcode.com/submissions/detail/944684853/" TargetMode="External" Id="rId952" /><Relationship Type="http://schemas.openxmlformats.org/officeDocument/2006/relationships/hyperlink" Target="https://leetcode.com/problems/count-complete-tree-nodes/" TargetMode="External" Id="rId953" /><Relationship Type="http://schemas.openxmlformats.org/officeDocument/2006/relationships/hyperlink" Target="https://leetcode.com/submissions/detail/944690918/" TargetMode="External" Id="rId954" /><Relationship Type="http://schemas.openxmlformats.org/officeDocument/2006/relationships/hyperlink" Target="https://leetcode.com/problems/construct-binary-tree-from-preorder-and-inorder-traversal/" TargetMode="External" Id="rId955" /><Relationship Type="http://schemas.openxmlformats.org/officeDocument/2006/relationships/hyperlink" Target="https://leetcode.com/submissions/detail/944696483/" TargetMode="External" Id="rId956" /><Relationship Type="http://schemas.openxmlformats.org/officeDocument/2006/relationships/hyperlink" Target="https://leetcode.com/problems/construct-binary-tree-from-inorder-and-postorder-traversal/" TargetMode="External" Id="rId957" /><Relationship Type="http://schemas.openxmlformats.org/officeDocument/2006/relationships/hyperlink" Target="https://leetcode.com/submissions/detail/944702434/" TargetMode="External" Id="rId958" /><Relationship Type="http://schemas.openxmlformats.org/officeDocument/2006/relationships/hyperlink" Target="https://leetcode.com/problems/construct-binary-tree-from-inorder-and-postorder-traversal/" TargetMode="External" Id="rId959" /><Relationship Type="http://schemas.openxmlformats.org/officeDocument/2006/relationships/hyperlink" Target="https://leetcode.com/submissions/detail/944702857/" TargetMode="External" Id="rId960" /><Relationship Type="http://schemas.openxmlformats.org/officeDocument/2006/relationships/hyperlink" Target="https://leetcode.com/problems/parallel-courses-iii/" TargetMode="External" Id="rId961" /><Relationship Type="http://schemas.openxmlformats.org/officeDocument/2006/relationships/hyperlink" Target="https://leetcode.com/submissions/detail/944738156/" TargetMode="External" Id="rId962" /><Relationship Type="http://schemas.openxmlformats.org/officeDocument/2006/relationships/hyperlink" Target="https://leetcode.com/problems/meeting-rooms/" TargetMode="External" Id="rId963" /><Relationship Type="http://schemas.openxmlformats.org/officeDocument/2006/relationships/hyperlink" Target="https://leetcode.com/submissions/detail/944826655/" TargetMode="External" Id="rId964" /><Relationship Type="http://schemas.openxmlformats.org/officeDocument/2006/relationships/hyperlink" Target="https://leetcode.com/problems/meeting-rooms/" TargetMode="External" Id="rId965" /><Relationship Type="http://schemas.openxmlformats.org/officeDocument/2006/relationships/hyperlink" Target="https://leetcode.com/submissions/detail/944826968/" TargetMode="External" Id="rId966" /><Relationship Type="http://schemas.openxmlformats.org/officeDocument/2006/relationships/hyperlink" Target="https://leetcode.com/problems/meeting-rooms/" TargetMode="External" Id="rId967" /><Relationship Type="http://schemas.openxmlformats.org/officeDocument/2006/relationships/hyperlink" Target="https://leetcode.com/submissions/detail/944827224/" TargetMode="External" Id="rId968" /><Relationship Type="http://schemas.openxmlformats.org/officeDocument/2006/relationships/hyperlink" Target="https://leetcode.com/problems/meeting-rooms-ii/" TargetMode="External" Id="rId969" /><Relationship Type="http://schemas.openxmlformats.org/officeDocument/2006/relationships/hyperlink" Target="https://leetcode.com/submissions/detail/944860535/" TargetMode="External" Id="rId970" /><Relationship Type="http://schemas.openxmlformats.org/officeDocument/2006/relationships/hyperlink" Target="https://leetcode.com/problems/meeting-rooms-iii/" TargetMode="External" Id="rId971" /><Relationship Type="http://schemas.openxmlformats.org/officeDocument/2006/relationships/hyperlink" Target="https://leetcode.com/submissions/detail/944875062/" TargetMode="External" Id="rId972" /><Relationship Type="http://schemas.openxmlformats.org/officeDocument/2006/relationships/hyperlink" Target="https://leetcode.com/problems/meeting-rooms-iii/" TargetMode="External" Id="rId973" /><Relationship Type="http://schemas.openxmlformats.org/officeDocument/2006/relationships/hyperlink" Target="https://leetcode.com/submissions/detail/944875573/" TargetMode="External" Id="rId974" /><Relationship Type="http://schemas.openxmlformats.org/officeDocument/2006/relationships/hyperlink" Target="https://leetcode.com/problems/meeting-rooms-iii/" TargetMode="External" Id="rId975" /><Relationship Type="http://schemas.openxmlformats.org/officeDocument/2006/relationships/hyperlink" Target="https://leetcode.com/submissions/detail/944879115/" TargetMode="External" Id="rId976" /><Relationship Type="http://schemas.openxmlformats.org/officeDocument/2006/relationships/hyperlink" Target="https://leetcode.com/problems/meeting-rooms-iii/" TargetMode="External" Id="rId977" /><Relationship Type="http://schemas.openxmlformats.org/officeDocument/2006/relationships/hyperlink" Target="https://leetcode.com/submissions/detail/944879357/" TargetMode="External" Id="rId978" /><Relationship Type="http://schemas.openxmlformats.org/officeDocument/2006/relationships/hyperlink" Target="https://leetcode.com/problems/find-servers-that-handled-most-number-of-requests/" TargetMode="External" Id="rId979" /><Relationship Type="http://schemas.openxmlformats.org/officeDocument/2006/relationships/hyperlink" Target="https://leetcode.com/submissions/detail/944900894/" TargetMode="External" Id="rId980" /><Relationship Type="http://schemas.openxmlformats.org/officeDocument/2006/relationships/hyperlink" Target="https://leetcode.com/problems/find-servers-that-handled-most-number-of-requests/" TargetMode="External" Id="rId981" /><Relationship Type="http://schemas.openxmlformats.org/officeDocument/2006/relationships/hyperlink" Target="https://leetcode.com/submissions/detail/944941314/" TargetMode="External" Id="rId982" /><Relationship Type="http://schemas.openxmlformats.org/officeDocument/2006/relationships/hyperlink" Target="https://leetcode.com/problems/find-servers-that-handled-most-number-of-requests/" TargetMode="External" Id="rId983" /><Relationship Type="http://schemas.openxmlformats.org/officeDocument/2006/relationships/hyperlink" Target="https://leetcode.com/submissions/detail/944941874/" TargetMode="External" Id="rId984" /><Relationship Type="http://schemas.openxmlformats.org/officeDocument/2006/relationships/hyperlink" Target="https://leetcode.com/problems/find-servers-that-handled-most-number-of-requests/" TargetMode="External" Id="rId985" /><Relationship Type="http://schemas.openxmlformats.org/officeDocument/2006/relationships/hyperlink" Target="https://leetcode.com/submissions/detail/944942305/" TargetMode="External" Id="rId986" /><Relationship Type="http://schemas.openxmlformats.org/officeDocument/2006/relationships/hyperlink" Target="https://leetcode.com/problems/find-servers-that-handled-most-number-of-requests/" TargetMode="External" Id="rId987" /><Relationship Type="http://schemas.openxmlformats.org/officeDocument/2006/relationships/hyperlink" Target="https://leetcode.com/submissions/detail/944943301/" TargetMode="External" Id="rId988" /><Relationship Type="http://schemas.openxmlformats.org/officeDocument/2006/relationships/hyperlink" Target="https://leetcode.com/problems/find-servers-that-handled-most-number-of-requests/" TargetMode="External" Id="rId989" /><Relationship Type="http://schemas.openxmlformats.org/officeDocument/2006/relationships/hyperlink" Target="https://leetcode.com/submissions/detail/944957969/" TargetMode="External" Id="rId990" /><Relationship Type="http://schemas.openxmlformats.org/officeDocument/2006/relationships/hyperlink" Target="https://leetcode.com/problems/minimum-window-subsequence/" TargetMode="External" Id="rId991" /><Relationship Type="http://schemas.openxmlformats.org/officeDocument/2006/relationships/hyperlink" Target="https://leetcode.com/submissions/detail/944967796/" TargetMode="External" Id="rId992" /><Relationship Type="http://schemas.openxmlformats.org/officeDocument/2006/relationships/hyperlink" Target="https://leetcode.com/problems/minimum-window-subsequence/" TargetMode="External" Id="rId993" /><Relationship Type="http://schemas.openxmlformats.org/officeDocument/2006/relationships/hyperlink" Target="https://leetcode.com/submissions/detail/944969484/" TargetMode="External" Id="rId994" /><Relationship Type="http://schemas.openxmlformats.org/officeDocument/2006/relationships/hyperlink" Target="https://leetcode.com/problems/regular-expression-matching/" TargetMode="External" Id="rId995" /><Relationship Type="http://schemas.openxmlformats.org/officeDocument/2006/relationships/hyperlink" Target="https://leetcode.com/submissions/detail/945849140/" TargetMode="External" Id="rId996" /><Relationship Type="http://schemas.openxmlformats.org/officeDocument/2006/relationships/hyperlink" Target="https://leetcode.com/problems/regular-expression-matching/" TargetMode="External" Id="rId997" /><Relationship Type="http://schemas.openxmlformats.org/officeDocument/2006/relationships/hyperlink" Target="https://leetcode.com/submissions/detail/945858570/" TargetMode="External" Id="rId998" /><Relationship Type="http://schemas.openxmlformats.org/officeDocument/2006/relationships/hyperlink" Target="https://leetcode.com/problems/regular-expression-matching/" TargetMode="External" Id="rId999" /><Relationship Type="http://schemas.openxmlformats.org/officeDocument/2006/relationships/hyperlink" Target="https://leetcode.com/submissions/detail/945859184/" TargetMode="External" Id="rId1000" /><Relationship Type="http://schemas.openxmlformats.org/officeDocument/2006/relationships/hyperlink" Target="https://leetcode.com/problems/repeated-dna-sequences/" TargetMode="External" Id="rId1001" /><Relationship Type="http://schemas.openxmlformats.org/officeDocument/2006/relationships/hyperlink" Target="https://leetcode.com/submissions/detail/945874530/" TargetMode="External" Id="rId1002" /><Relationship Type="http://schemas.openxmlformats.org/officeDocument/2006/relationships/hyperlink" Target="https://leetcode.com/problems/repeated-dna-sequences/" TargetMode="External" Id="rId1003" /><Relationship Type="http://schemas.openxmlformats.org/officeDocument/2006/relationships/hyperlink" Target="https://leetcode.com/submissions/detail/945876566/" TargetMode="External" Id="rId1004" /><Relationship Type="http://schemas.openxmlformats.org/officeDocument/2006/relationships/hyperlink" Target="https://leetcode.com/problems/repeated-dna-sequences/" TargetMode="External" Id="rId1005" /><Relationship Type="http://schemas.openxmlformats.org/officeDocument/2006/relationships/hyperlink" Target="https://leetcode.com/submissions/detail/945876723/" TargetMode="External" Id="rId1006" /><Relationship Type="http://schemas.openxmlformats.org/officeDocument/2006/relationships/hyperlink" Target="https://leetcode.com/problems/sliding-window-maximum/" TargetMode="External" Id="rId1007" /><Relationship Type="http://schemas.openxmlformats.org/officeDocument/2006/relationships/hyperlink" Target="https://leetcode.com/submissions/detail/945883294/" TargetMode="External" Id="rId1008" /><Relationship Type="http://schemas.openxmlformats.org/officeDocument/2006/relationships/hyperlink" Target="https://leetcode.com/problems/sliding-window-maximum/" TargetMode="External" Id="rId1009" /><Relationship Type="http://schemas.openxmlformats.org/officeDocument/2006/relationships/hyperlink" Target="https://leetcode.com/submissions/detail/945886665/" TargetMode="External" Id="rId1010" /><Relationship Type="http://schemas.openxmlformats.org/officeDocument/2006/relationships/hyperlink" Target="https://leetcode.com/problems/sliding-window-maximum/" TargetMode="External" Id="rId1011" /><Relationship Type="http://schemas.openxmlformats.org/officeDocument/2006/relationships/hyperlink" Target="https://leetcode.com/submissions/detail/945886830/" TargetMode="External" Id="rId1012" /><Relationship Type="http://schemas.openxmlformats.org/officeDocument/2006/relationships/hyperlink" Target="https://leetcode.com/problems/sliding-window-maximum/" TargetMode="External" Id="rId1013" /><Relationship Type="http://schemas.openxmlformats.org/officeDocument/2006/relationships/hyperlink" Target="https://leetcode.com/submissions/detail/945892624/" TargetMode="External" Id="rId1014" /><Relationship Type="http://schemas.openxmlformats.org/officeDocument/2006/relationships/hyperlink" Target="https://leetcode.com/problems/sliding-window-maximum/" TargetMode="External" Id="rId1015" /><Relationship Type="http://schemas.openxmlformats.org/officeDocument/2006/relationships/hyperlink" Target="https://leetcode.com/submissions/detail/945893319/" TargetMode="External" Id="rId1016" /><Relationship Type="http://schemas.openxmlformats.org/officeDocument/2006/relationships/hyperlink" Target="https://leetcode.com/problems/sliding-window-maximum/" TargetMode="External" Id="rId1017" /><Relationship Type="http://schemas.openxmlformats.org/officeDocument/2006/relationships/hyperlink" Target="https://leetcode.com/submissions/detail/945900791/" TargetMode="External" Id="rId1018" /><Relationship Type="http://schemas.openxmlformats.org/officeDocument/2006/relationships/hyperlink" Target="https://leetcode.com/problems/sliding-window-maximum/" TargetMode="External" Id="rId1019" /><Relationship Type="http://schemas.openxmlformats.org/officeDocument/2006/relationships/hyperlink" Target="https://leetcode.com/submissions/detail/945901078/" TargetMode="External" Id="rId1020" /><Relationship Type="http://schemas.openxmlformats.org/officeDocument/2006/relationships/hyperlink" Target="https://leetcode.com/problems/minimum-window-substring/" TargetMode="External" Id="rId1021" /><Relationship Type="http://schemas.openxmlformats.org/officeDocument/2006/relationships/hyperlink" Target="https://leetcode.com/submissions/detail/946373397/" TargetMode="External" Id="rId1022" /><Relationship Type="http://schemas.openxmlformats.org/officeDocument/2006/relationships/hyperlink" Target="https://leetcode.com/problems/minimum-window-subsequence/" TargetMode="External" Id="rId1023" /><Relationship Type="http://schemas.openxmlformats.org/officeDocument/2006/relationships/hyperlink" Target="https://leetcode.com/submissions/detail/946400703/" TargetMode="External" Id="rId1024" /><Relationship Type="http://schemas.openxmlformats.org/officeDocument/2006/relationships/hyperlink" Target="https://leetcode.com/problems/house-robber-iii/" TargetMode="External" Id="rId1025" /><Relationship Type="http://schemas.openxmlformats.org/officeDocument/2006/relationships/hyperlink" Target="https://leetcode.com/submissions/detail/948276626/" TargetMode="External" Id="rId1026" /><Relationship Type="http://schemas.openxmlformats.org/officeDocument/2006/relationships/hyperlink" Target="https://leetcode.com/problems/minimum-cost-to-merge-stones/" TargetMode="External" Id="rId1027" /><Relationship Type="http://schemas.openxmlformats.org/officeDocument/2006/relationships/hyperlink" Target="https://leetcode.com/submissions/detail/951963971/" TargetMode="External" Id="rId1028" /><Relationship Type="http://schemas.openxmlformats.org/officeDocument/2006/relationships/hyperlink" Target="https://leetcode.com/problems/kth-largest-element-in-a-stream/" TargetMode="External" Id="rId1029" /><Relationship Type="http://schemas.openxmlformats.org/officeDocument/2006/relationships/hyperlink" Target="https://leetcode.com/submissions/detail/953140991/" TargetMode="External" Id="rId1030" /><Relationship Type="http://schemas.openxmlformats.org/officeDocument/2006/relationships/hyperlink" Target="https://leetcode.com/problems/find-k-closest-elements/" TargetMode="External" Id="rId1031" /><Relationship Type="http://schemas.openxmlformats.org/officeDocument/2006/relationships/hyperlink" Target="https://leetcode.com/submissions/detail/953154427/" TargetMode="External" Id="rId1032" /><Relationship Type="http://schemas.openxmlformats.org/officeDocument/2006/relationships/hyperlink" Target="https://leetcode.com/problems/find-k-closest-elements/" TargetMode="External" Id="rId1033" /><Relationship Type="http://schemas.openxmlformats.org/officeDocument/2006/relationships/hyperlink" Target="https://leetcode.com/submissions/detail/953155460/" TargetMode="External" Id="rId1034" /><Relationship Type="http://schemas.openxmlformats.org/officeDocument/2006/relationships/hyperlink" Target="https://leetcode.com/problems/find-k-closest-elements/" TargetMode="External" Id="rId1035" /><Relationship Type="http://schemas.openxmlformats.org/officeDocument/2006/relationships/hyperlink" Target="https://leetcode.com/submissions/detail/953157350/" TargetMode="External" Id="rId1036" /><Relationship Type="http://schemas.openxmlformats.org/officeDocument/2006/relationships/hyperlink" Target="https://leetcode.com/problems/find-k-closest-elements/" TargetMode="External" Id="rId1037" /><Relationship Type="http://schemas.openxmlformats.org/officeDocument/2006/relationships/hyperlink" Target="https://leetcode.com/submissions/detail/953159880/" TargetMode="External" Id="rId1038" /><Relationship Type="http://schemas.openxmlformats.org/officeDocument/2006/relationships/hyperlink" Target="https://leetcode.com/problems/find-k-closest-elements/" TargetMode="External" Id="rId1039" /><Relationship Type="http://schemas.openxmlformats.org/officeDocument/2006/relationships/hyperlink" Target="https://leetcode.com/submissions/detail/953160030/" TargetMode="External" Id="rId1040" /><Relationship Type="http://schemas.openxmlformats.org/officeDocument/2006/relationships/hyperlink" Target="https://leetcode.com/problems/two-sum/" TargetMode="External" Id="rId1041" /><Relationship Type="http://schemas.openxmlformats.org/officeDocument/2006/relationships/hyperlink" Target="https://leetcode.com/submissions/detail/953164303/" TargetMode="External" Id="rId1042" /><Relationship Type="http://schemas.openxmlformats.org/officeDocument/2006/relationships/hyperlink" Target="https://leetcode.com/problems/delete-node-in-a-linked-list/" TargetMode="External" Id="rId1043" /><Relationship Type="http://schemas.openxmlformats.org/officeDocument/2006/relationships/hyperlink" Target="https://leetcode.com/submissions/detail/953326026/" TargetMode="External" Id="rId1044" /><Relationship Type="http://schemas.openxmlformats.org/officeDocument/2006/relationships/hyperlink" Target="https://leetcode.com/problems/delete-node-in-a-linked-list/" TargetMode="External" Id="rId1045" /><Relationship Type="http://schemas.openxmlformats.org/officeDocument/2006/relationships/hyperlink" Target="https://leetcode.com/submissions/detail/953326937/" TargetMode="External" Id="rId1046" /><Relationship Type="http://schemas.openxmlformats.org/officeDocument/2006/relationships/hyperlink" Target="https://leetcode.com/problems/copy-list-with-random-pointer/" TargetMode="External" Id="rId1047" /><Relationship Type="http://schemas.openxmlformats.org/officeDocument/2006/relationships/hyperlink" Target="https://leetcode.com/submissions/detail/953335770/" TargetMode="External" Id="rId1048" /><Relationship Type="http://schemas.openxmlformats.org/officeDocument/2006/relationships/hyperlink" Target="https://leetcode.com/problems/copy-list-with-random-pointer/" TargetMode="External" Id="rId1049" /><Relationship Type="http://schemas.openxmlformats.org/officeDocument/2006/relationships/hyperlink" Target="https://leetcode.com/submissions/detail/953341041/" TargetMode="External" Id="rId1050" /><Relationship Type="http://schemas.openxmlformats.org/officeDocument/2006/relationships/hyperlink" Target="https://leetcode.com/problems/copy-list-with-random-pointer/" TargetMode="External" Id="rId1051" /><Relationship Type="http://schemas.openxmlformats.org/officeDocument/2006/relationships/hyperlink" Target="https://leetcode.com/submissions/detail/953341670/" TargetMode="External" Id="rId1052" /><Relationship Type="http://schemas.openxmlformats.org/officeDocument/2006/relationships/hyperlink" Target="https://leetcode.com/problems/invert-binary-tree/" TargetMode="External" Id="rId1053" /><Relationship Type="http://schemas.openxmlformats.org/officeDocument/2006/relationships/hyperlink" Target="https://leetcode.com/submissions/detail/953343922/" TargetMode="External" Id="rId1054" /><Relationship Type="http://schemas.openxmlformats.org/officeDocument/2006/relationships/hyperlink" Target="https://leetcode.com/problems/same-tree/" TargetMode="External" Id="rId1055" /><Relationship Type="http://schemas.openxmlformats.org/officeDocument/2006/relationships/hyperlink" Target="https://leetcode.com/submissions/detail/953346450/" TargetMode="External" Id="rId1056" /><Relationship Type="http://schemas.openxmlformats.org/officeDocument/2006/relationships/hyperlink" Target="https://leetcode.com/problems/word-break/" TargetMode="External" Id="rId1057" /><Relationship Type="http://schemas.openxmlformats.org/officeDocument/2006/relationships/hyperlink" Target="https://leetcode.com/submissions/detail/953369177/" TargetMode="External" Id="rId1058" /><Relationship Type="http://schemas.openxmlformats.org/officeDocument/2006/relationships/hyperlink" Target="https://leetcode.com/problems/word-break/" TargetMode="External" Id="rId1059" /><Relationship Type="http://schemas.openxmlformats.org/officeDocument/2006/relationships/hyperlink" Target="https://leetcode.com/submissions/detail/953370129/" TargetMode="External" Id="rId1060" /><Relationship Type="http://schemas.openxmlformats.org/officeDocument/2006/relationships/hyperlink" Target="https://leetcode.com/problems/word-break/" TargetMode="External" Id="rId1061" /><Relationship Type="http://schemas.openxmlformats.org/officeDocument/2006/relationships/hyperlink" Target="https://leetcode.com/submissions/detail/953370759/" TargetMode="External" Id="rId1062" /><Relationship Type="http://schemas.openxmlformats.org/officeDocument/2006/relationships/hyperlink" Target="https://leetcode.com/problems/palindromic-substrings/" TargetMode="External" Id="rId1063" /><Relationship Type="http://schemas.openxmlformats.org/officeDocument/2006/relationships/hyperlink" Target="https://leetcode.com/submissions/detail/953384084/" TargetMode="External" Id="rId1064" /><Relationship Type="http://schemas.openxmlformats.org/officeDocument/2006/relationships/hyperlink" Target="https://leetcode.com/problems/palindromic-substrings/" TargetMode="External" Id="rId1065" /><Relationship Type="http://schemas.openxmlformats.org/officeDocument/2006/relationships/hyperlink" Target="https://leetcode.com/submissions/detail/953666711/" TargetMode="External" Id="rId1066" /><Relationship Type="http://schemas.openxmlformats.org/officeDocument/2006/relationships/hyperlink" Target="https://leetcode.com/problems/palindromic-substrings/" TargetMode="External" Id="rId1067" /><Relationship Type="http://schemas.openxmlformats.org/officeDocument/2006/relationships/hyperlink" Target="https://leetcode.com/submissions/detail/953666842/" TargetMode="External" Id="rId1068" /><Relationship Type="http://schemas.openxmlformats.org/officeDocument/2006/relationships/hyperlink" Target="https://leetcode.com/problems/palindromic-substrings/" TargetMode="External" Id="rId1069" /><Relationship Type="http://schemas.openxmlformats.org/officeDocument/2006/relationships/hyperlink" Target="https://leetcode.com/submissions/detail/953668569/" TargetMode="External" Id="rId1070" /><Relationship Type="http://schemas.openxmlformats.org/officeDocument/2006/relationships/hyperlink" Target="https://leetcode.com/problems/palindromic-substrings/" TargetMode="External" Id="rId1071" /><Relationship Type="http://schemas.openxmlformats.org/officeDocument/2006/relationships/hyperlink" Target="https://leetcode.com/submissions/detail/953669727/" TargetMode="External" Id="rId1072" /><Relationship Type="http://schemas.openxmlformats.org/officeDocument/2006/relationships/hyperlink" Target="https://leetcode.com/problems/palindromic-substrings/" TargetMode="External" Id="rId1073" /><Relationship Type="http://schemas.openxmlformats.org/officeDocument/2006/relationships/hyperlink" Target="https://leetcode.com/submissions/detail/953672826/" TargetMode="External" Id="rId1074" /><Relationship Type="http://schemas.openxmlformats.org/officeDocument/2006/relationships/hyperlink" Target="https://leetcode.com/problems/longest-palindrome/" TargetMode="External" Id="rId1075" /><Relationship Type="http://schemas.openxmlformats.org/officeDocument/2006/relationships/hyperlink" Target="https://leetcode.com/submissions/detail/953676078/" TargetMode="External" Id="rId1076" /><Relationship Type="http://schemas.openxmlformats.org/officeDocument/2006/relationships/hyperlink" Target="https://leetcode.com/problems/longest-palindromic-substring/" TargetMode="External" Id="rId1077" /><Relationship Type="http://schemas.openxmlformats.org/officeDocument/2006/relationships/hyperlink" Target="https://leetcode.com/submissions/detail/953691696/" TargetMode="External" Id="rId1078" /><Relationship Type="http://schemas.openxmlformats.org/officeDocument/2006/relationships/hyperlink" Target="https://leetcode.com/problems/longest-palindromic-substring/" TargetMode="External" Id="rId1079" /><Relationship Type="http://schemas.openxmlformats.org/officeDocument/2006/relationships/hyperlink" Target="https://leetcode.com/submissions/detail/953692246/" TargetMode="External" Id="rId1080" /><Relationship Type="http://schemas.openxmlformats.org/officeDocument/2006/relationships/hyperlink" Target="https://leetcode.com/problems/longest-palindromic-substring/" TargetMode="External" Id="rId1081" /><Relationship Type="http://schemas.openxmlformats.org/officeDocument/2006/relationships/hyperlink" Target="https://leetcode.com/submissions/detail/953693067/" TargetMode="External" Id="rId1082" /><Relationship Type="http://schemas.openxmlformats.org/officeDocument/2006/relationships/hyperlink" Target="https://leetcode.com/problems/palindromic-substrings/" TargetMode="External" Id="rId1083" /><Relationship Type="http://schemas.openxmlformats.org/officeDocument/2006/relationships/hyperlink" Target="https://leetcode.com/submissions/detail/953713702/" TargetMode="External" Id="rId1084" /><Relationship Type="http://schemas.openxmlformats.org/officeDocument/2006/relationships/hyperlink" Target="https://leetcode.com/problems/maximum-subarray/" TargetMode="External" Id="rId1085" /><Relationship Type="http://schemas.openxmlformats.org/officeDocument/2006/relationships/hyperlink" Target="https://leetcode.com/submissions/detail/953718903/" TargetMode="External" Id="rId1086" /><Relationship Type="http://schemas.openxmlformats.org/officeDocument/2006/relationships/hyperlink" Target="https://leetcode.com/problems/maximum-subarray/" TargetMode="External" Id="rId1087" /><Relationship Type="http://schemas.openxmlformats.org/officeDocument/2006/relationships/hyperlink" Target="https://leetcode.com/submissions/detail/953719677/" TargetMode="External" Id="rId1088" /><Relationship Type="http://schemas.openxmlformats.org/officeDocument/2006/relationships/hyperlink" Target="https://leetcode.com/problems/kth-largest-element-in-a-stream/" TargetMode="External" Id="rId1089" /><Relationship Type="http://schemas.openxmlformats.org/officeDocument/2006/relationships/hyperlink" Target="https://leetcode.com/submissions/detail/953785839/" TargetMode="External" Id="rId1090" /><Relationship Type="http://schemas.openxmlformats.org/officeDocument/2006/relationships/hyperlink" Target="https://leetcode.com/problems/find-k-closest-elements/" TargetMode="External" Id="rId1091" /><Relationship Type="http://schemas.openxmlformats.org/officeDocument/2006/relationships/hyperlink" Target="https://leetcode.com/submissions/detail/953786455/" TargetMode="External" Id="rId1092" /><Relationship Type="http://schemas.openxmlformats.org/officeDocument/2006/relationships/hyperlink" Target="https://leetcode.com/problems/find-k-closest-elements/" TargetMode="External" Id="rId1093" /><Relationship Type="http://schemas.openxmlformats.org/officeDocument/2006/relationships/hyperlink" Target="https://leetcode.com/submissions/detail/953786698/" TargetMode="External" Id="rId1094" /><Relationship Type="http://schemas.openxmlformats.org/officeDocument/2006/relationships/hyperlink" Target="https://leetcode.com/problems/find-k-closest-elements/" TargetMode="External" Id="rId1095" /><Relationship Type="http://schemas.openxmlformats.org/officeDocument/2006/relationships/hyperlink" Target="https://leetcode.com/submissions/detail/953786794/" TargetMode="External" Id="rId1096" /><Relationship Type="http://schemas.openxmlformats.org/officeDocument/2006/relationships/hyperlink" Target="https://leetcode.com/problems/two-sum/" TargetMode="External" Id="rId1097" /><Relationship Type="http://schemas.openxmlformats.org/officeDocument/2006/relationships/hyperlink" Target="https://leetcode.com/submissions/detail/953787124/" TargetMode="External" Id="rId1098" /><Relationship Type="http://schemas.openxmlformats.org/officeDocument/2006/relationships/hyperlink" Target="https://leetcode.com/problems/delete-node-in-a-linked-list/" TargetMode="External" Id="rId1099" /><Relationship Type="http://schemas.openxmlformats.org/officeDocument/2006/relationships/hyperlink" Target="https://leetcode.com/submissions/detail/953787543/" TargetMode="External" Id="rId1100" /><Relationship Type="http://schemas.openxmlformats.org/officeDocument/2006/relationships/hyperlink" Target="https://leetcode.com/problems/copy-list-with-random-pointer/" TargetMode="External" Id="rId1101" /><Relationship Type="http://schemas.openxmlformats.org/officeDocument/2006/relationships/hyperlink" Target="https://leetcode.com/submissions/detail/953787763/" TargetMode="External" Id="rId1102" /><Relationship Type="http://schemas.openxmlformats.org/officeDocument/2006/relationships/hyperlink" Target="https://leetcode.com/problems/copy-list-with-random-pointer/" TargetMode="External" Id="rId1103" /><Relationship Type="http://schemas.openxmlformats.org/officeDocument/2006/relationships/hyperlink" Target="https://leetcode.com/submissions/detail/953787961/" TargetMode="External" Id="rId1104" /><Relationship Type="http://schemas.openxmlformats.org/officeDocument/2006/relationships/hyperlink" Target="https://leetcode.com/problems/invert-binary-tree/" TargetMode="External" Id="rId1105" /><Relationship Type="http://schemas.openxmlformats.org/officeDocument/2006/relationships/hyperlink" Target="https://leetcode.com/submissions/detail/953788289/" TargetMode="External" Id="rId1106" /><Relationship Type="http://schemas.openxmlformats.org/officeDocument/2006/relationships/hyperlink" Target="https://leetcode.com/problems/same-tree/" TargetMode="External" Id="rId1107" /><Relationship Type="http://schemas.openxmlformats.org/officeDocument/2006/relationships/hyperlink" Target="https://leetcode.com/submissions/detail/953788697/" TargetMode="External" Id="rId1108" /><Relationship Type="http://schemas.openxmlformats.org/officeDocument/2006/relationships/hyperlink" Target="https://leetcode.com/problems/word-break/" TargetMode="External" Id="rId1109" /><Relationship Type="http://schemas.openxmlformats.org/officeDocument/2006/relationships/hyperlink" Target="https://leetcode.com/submissions/detail/953789290/" TargetMode="External" Id="rId1110" /><Relationship Type="http://schemas.openxmlformats.org/officeDocument/2006/relationships/hyperlink" Target="https://leetcode.com/problems/palindromic-substrings/" TargetMode="External" Id="rId1111" /><Relationship Type="http://schemas.openxmlformats.org/officeDocument/2006/relationships/hyperlink" Target="https://leetcode.com/submissions/detail/953789609/" TargetMode="External" Id="rId1112" /><Relationship Type="http://schemas.openxmlformats.org/officeDocument/2006/relationships/hyperlink" Target="https://leetcode.com/problems/longest-palindrome/" TargetMode="External" Id="rId1113" /><Relationship Type="http://schemas.openxmlformats.org/officeDocument/2006/relationships/hyperlink" Target="https://leetcode.com/submissions/detail/953789716/" TargetMode="External" Id="rId1114" /><Relationship Type="http://schemas.openxmlformats.org/officeDocument/2006/relationships/hyperlink" Target="https://leetcode.com/problems/maximum-subarray/" TargetMode="External" Id="rId1115" /><Relationship Type="http://schemas.openxmlformats.org/officeDocument/2006/relationships/hyperlink" Target="https://leetcode.com/submissions/detail/953789974/" TargetMode="External" Id="rId1116" /><Relationship Type="http://schemas.openxmlformats.org/officeDocument/2006/relationships/hyperlink" Target="https://leetcode.com/problems/generate-parentheses/" TargetMode="External" Id="rId1117" /><Relationship Type="http://schemas.openxmlformats.org/officeDocument/2006/relationships/hyperlink" Target="https://leetcode.com/submissions/detail/953806289/" TargetMode="External" Id="rId1118" /><Relationship Type="http://schemas.openxmlformats.org/officeDocument/2006/relationships/hyperlink" Target="https://leetcode.com/problems/generate-parentheses/" TargetMode="External" Id="rId1119" /><Relationship Type="http://schemas.openxmlformats.org/officeDocument/2006/relationships/hyperlink" Target="https://leetcode.com/submissions/detail/953806924/" TargetMode="External" Id="rId1120" /><Relationship Type="http://schemas.openxmlformats.org/officeDocument/2006/relationships/hyperlink" Target="https://leetcode.com/problems/generate-parentheses/" TargetMode="External" Id="rId1121" /><Relationship Type="http://schemas.openxmlformats.org/officeDocument/2006/relationships/hyperlink" Target="https://leetcode.com/submissions/detail/953809671/" TargetMode="External" Id="rId1122" /><Relationship Type="http://schemas.openxmlformats.org/officeDocument/2006/relationships/hyperlink" Target="https://leetcode.com/problems/lru-cache/" TargetMode="External" Id="rId1123" /><Relationship Type="http://schemas.openxmlformats.org/officeDocument/2006/relationships/hyperlink" Target="https://leetcode.com/submissions/detail/953826407/" TargetMode="External" Id="rId1124" /><Relationship Type="http://schemas.openxmlformats.org/officeDocument/2006/relationships/hyperlink" Target="https://leetcode.com/problems/find-first-and-last-position-of-element-in-sorted-array/" TargetMode="External" Id="rId1125" /><Relationship Type="http://schemas.openxmlformats.org/officeDocument/2006/relationships/hyperlink" Target="https://leetcode.com/submissions/detail/953831601/" TargetMode="External" Id="rId1126" /><Relationship Type="http://schemas.openxmlformats.org/officeDocument/2006/relationships/hyperlink" Target="https://leetcode.com/problems/merge-intervals/" TargetMode="External" Id="rId1127" /><Relationship Type="http://schemas.openxmlformats.org/officeDocument/2006/relationships/hyperlink" Target="https://leetcode.com/submissions/detail/953843345/" TargetMode="External" Id="rId1128" /><Relationship Type="http://schemas.openxmlformats.org/officeDocument/2006/relationships/hyperlink" Target="https://leetcode.com/problems/merge-intervals/" TargetMode="External" Id="rId1129" /><Relationship Type="http://schemas.openxmlformats.org/officeDocument/2006/relationships/hyperlink" Target="https://leetcode.com/submissions/detail/953844178/" TargetMode="External" Id="rId1130" /><Relationship Type="http://schemas.openxmlformats.org/officeDocument/2006/relationships/hyperlink" Target="https://leetcode.com/problems/merge-intervals/" TargetMode="External" Id="rId1131" /><Relationship Type="http://schemas.openxmlformats.org/officeDocument/2006/relationships/hyperlink" Target="https://leetcode.com/submissions/detail/953844515/" TargetMode="External" Id="rId1132" /><Relationship Type="http://schemas.openxmlformats.org/officeDocument/2006/relationships/hyperlink" Target="https://leetcode.com/problems/path-sum/" TargetMode="External" Id="rId1133" /><Relationship Type="http://schemas.openxmlformats.org/officeDocument/2006/relationships/hyperlink" Target="https://leetcode.com/submissions/detail/953849102/" TargetMode="External" Id="rId1134" /><Relationship Type="http://schemas.openxmlformats.org/officeDocument/2006/relationships/hyperlink" Target="https://leetcode.com/problems/path-sum-ii/" TargetMode="External" Id="rId1135" /><Relationship Type="http://schemas.openxmlformats.org/officeDocument/2006/relationships/hyperlink" Target="https://leetcode.com/submissions/detail/953852353/" TargetMode="External" Id="rId1136" /><Relationship Type="http://schemas.openxmlformats.org/officeDocument/2006/relationships/hyperlink" Target="https://leetcode.com/problems/path-sum-iii/" TargetMode="External" Id="rId1137" /><Relationship Type="http://schemas.openxmlformats.org/officeDocument/2006/relationships/hyperlink" Target="https://leetcode.com/submissions/detail/953866966/" TargetMode="External" Id="rId1138" /><Relationship Type="http://schemas.openxmlformats.org/officeDocument/2006/relationships/hyperlink" Target="https://leetcode.com/problems/path-sum-iii/" TargetMode="External" Id="rId1139" /><Relationship Type="http://schemas.openxmlformats.org/officeDocument/2006/relationships/hyperlink" Target="https://leetcode.com/submissions/detail/953867342/" TargetMode="External" Id="rId1140" /><Relationship Type="http://schemas.openxmlformats.org/officeDocument/2006/relationships/hyperlink" Target="https://leetcode.com/problems/path-sum-iii/" TargetMode="External" Id="rId1141" /><Relationship Type="http://schemas.openxmlformats.org/officeDocument/2006/relationships/hyperlink" Target="https://leetcode.com/submissions/detail/953872794/" TargetMode="External" Id="rId1142" /><Relationship Type="http://schemas.openxmlformats.org/officeDocument/2006/relationships/hyperlink" Target="https://leetcode.com/problems/path-sum-iii/" TargetMode="External" Id="rId1143" /><Relationship Type="http://schemas.openxmlformats.org/officeDocument/2006/relationships/hyperlink" Target="https://leetcode.com/submissions/detail/953880080/" TargetMode="External" Id="rId1144" /><Relationship Type="http://schemas.openxmlformats.org/officeDocument/2006/relationships/hyperlink" Target="https://leetcode.com/problems/path-sum-iii/" TargetMode="External" Id="rId1145" /><Relationship Type="http://schemas.openxmlformats.org/officeDocument/2006/relationships/hyperlink" Target="https://leetcode.com/submissions/detail/953883637/" TargetMode="External" Id="rId1146" /><Relationship Type="http://schemas.openxmlformats.org/officeDocument/2006/relationships/hyperlink" Target="https://leetcode.com/problems/path-sum-ii/" TargetMode="External" Id="rId1147" /><Relationship Type="http://schemas.openxmlformats.org/officeDocument/2006/relationships/hyperlink" Target="https://leetcode.com/submissions/detail/953889600/" TargetMode="External" Id="rId1148" /><Relationship Type="http://schemas.openxmlformats.org/officeDocument/2006/relationships/hyperlink" Target="https://leetcode.com/problems/missing-number/" TargetMode="External" Id="rId1149" /><Relationship Type="http://schemas.openxmlformats.org/officeDocument/2006/relationships/hyperlink" Target="https://leetcode.com/submissions/detail/953893283/" TargetMode="External" Id="rId1150" /><Relationship Type="http://schemas.openxmlformats.org/officeDocument/2006/relationships/hyperlink" Target="https://leetcode.com/problems/reverse-linked-list/" TargetMode="External" Id="rId1151" /><Relationship Type="http://schemas.openxmlformats.org/officeDocument/2006/relationships/hyperlink" Target="https://leetcode.com/submissions/detail/953894557/" TargetMode="External" Id="rId1152" /><Relationship Type="http://schemas.openxmlformats.org/officeDocument/2006/relationships/hyperlink" Target="https://leetcode.com/problems/reverse-linked-list-ii/" TargetMode="External" Id="rId1153" /><Relationship Type="http://schemas.openxmlformats.org/officeDocument/2006/relationships/hyperlink" Target="https://leetcode.com/submissions/detail/953897121/" TargetMode="External" Id="rId1154" /><Relationship Type="http://schemas.openxmlformats.org/officeDocument/2006/relationships/hyperlink" Target="https://leetcode.com/problems/first-missing-positive/" TargetMode="External" Id="rId1155" /><Relationship Type="http://schemas.openxmlformats.org/officeDocument/2006/relationships/hyperlink" Target="https://leetcode.com/submissions/detail/954217915/" TargetMode="External" Id="rId1156" /><Relationship Type="http://schemas.openxmlformats.org/officeDocument/2006/relationships/hyperlink" Target="https://leetcode.com/problems/first-missing-positive/" TargetMode="External" Id="rId1157" /><Relationship Type="http://schemas.openxmlformats.org/officeDocument/2006/relationships/hyperlink" Target="https://leetcode.com/submissions/detail/954220300/" TargetMode="External" Id="rId1158" /><Relationship Type="http://schemas.openxmlformats.org/officeDocument/2006/relationships/hyperlink" Target="https://leetcode.com/problems/first-missing-positive/" TargetMode="External" Id="rId1159" /><Relationship Type="http://schemas.openxmlformats.org/officeDocument/2006/relationships/hyperlink" Target="https://leetcode.com/submissions/detail/954222766/" TargetMode="External" Id="rId1160" /><Relationship Type="http://schemas.openxmlformats.org/officeDocument/2006/relationships/hyperlink" Target="https://leetcode.com/problems/first-missing-positive/" TargetMode="External" Id="rId1161" /><Relationship Type="http://schemas.openxmlformats.org/officeDocument/2006/relationships/hyperlink" Target="https://leetcode.com/submissions/detail/954223490/" TargetMode="External" Id="rId1162" /><Relationship Type="http://schemas.openxmlformats.org/officeDocument/2006/relationships/hyperlink" Target="https://leetcode.com/problems/first-missing-positive/" TargetMode="External" Id="rId1163" /><Relationship Type="http://schemas.openxmlformats.org/officeDocument/2006/relationships/hyperlink" Target="https://leetcode.com/submissions/detail/954229515/" TargetMode="External" Id="rId1164" /><Relationship Type="http://schemas.openxmlformats.org/officeDocument/2006/relationships/hyperlink" Target="https://leetcode.com/problems/first-missing-positive/" TargetMode="External" Id="rId1165" /><Relationship Type="http://schemas.openxmlformats.org/officeDocument/2006/relationships/hyperlink" Target="https://leetcode.com/submissions/detail/954231547/" TargetMode="External" Id="rId1166" /><Relationship Type="http://schemas.openxmlformats.org/officeDocument/2006/relationships/hyperlink" Target="https://leetcode.com/problems/subtree-of-another-tree/" TargetMode="External" Id="rId1167" /><Relationship Type="http://schemas.openxmlformats.org/officeDocument/2006/relationships/hyperlink" Target="https://leetcode.com/submissions/detail/954240879/" TargetMode="External" Id="rId1168" /><Relationship Type="http://schemas.openxmlformats.org/officeDocument/2006/relationships/hyperlink" Target="https://leetcode.com/problems/subtree-of-another-tree/" TargetMode="External" Id="rId1169" /><Relationship Type="http://schemas.openxmlformats.org/officeDocument/2006/relationships/hyperlink" Target="https://leetcode.com/submissions/detail/954245431/" TargetMode="External" Id="rId1170" /><Relationship Type="http://schemas.openxmlformats.org/officeDocument/2006/relationships/hyperlink" Target="https://leetcode.com/problems/subtree-of-another-tree/" TargetMode="External" Id="rId1171" /><Relationship Type="http://schemas.openxmlformats.org/officeDocument/2006/relationships/hyperlink" Target="https://leetcode.com/submissions/detail/954246381/" TargetMode="External" Id="rId1172" /><Relationship Type="http://schemas.openxmlformats.org/officeDocument/2006/relationships/hyperlink" Target="https://leetcode.com/problems/subtree-of-another-tree/" TargetMode="External" Id="rId1173" /><Relationship Type="http://schemas.openxmlformats.org/officeDocument/2006/relationships/hyperlink" Target="https://leetcode.com/submissions/detail/954246623/" TargetMode="External" Id="rId1174" /><Relationship Type="http://schemas.openxmlformats.org/officeDocument/2006/relationships/hyperlink" Target="https://leetcode.com/problems/3sum/" TargetMode="External" Id="rId1175" /><Relationship Type="http://schemas.openxmlformats.org/officeDocument/2006/relationships/hyperlink" Target="https://leetcode.com/submissions/detail/954263456/" TargetMode="External" Id="rId1176" /><Relationship Type="http://schemas.openxmlformats.org/officeDocument/2006/relationships/hyperlink" Target="https://leetcode.com/problems/two-sum-ii-input-array-is-sorted/" TargetMode="External" Id="rId1177" /><Relationship Type="http://schemas.openxmlformats.org/officeDocument/2006/relationships/hyperlink" Target="https://leetcode.com/submissions/detail/954265686/" TargetMode="External" Id="rId1178" /><Relationship Type="http://schemas.openxmlformats.org/officeDocument/2006/relationships/hyperlink" Target="https://leetcode.com/problems/3sum/" TargetMode="External" Id="rId1179" /><Relationship Type="http://schemas.openxmlformats.org/officeDocument/2006/relationships/hyperlink" Target="https://leetcode.com/submissions/detail/954267102/" TargetMode="External" Id="rId1180" /><Relationship Type="http://schemas.openxmlformats.org/officeDocument/2006/relationships/hyperlink" Target="https://leetcode.com/problems/3sum/" TargetMode="External" Id="rId1181" /><Relationship Type="http://schemas.openxmlformats.org/officeDocument/2006/relationships/hyperlink" Target="https://leetcode.com/submissions/detail/954270369/" TargetMode="External" Id="rId1182" /><Relationship Type="http://schemas.openxmlformats.org/officeDocument/2006/relationships/hyperlink" Target="https://leetcode.com/problems/3sum/" TargetMode="External" Id="rId1183" /><Relationship Type="http://schemas.openxmlformats.org/officeDocument/2006/relationships/hyperlink" Target="https://leetcode.com/submissions/detail/954313463/" TargetMode="External" Id="rId1184" /><Relationship Type="http://schemas.openxmlformats.org/officeDocument/2006/relationships/hyperlink" Target="https://leetcode.com/problems/3sum/" TargetMode="External" Id="rId1185" /><Relationship Type="http://schemas.openxmlformats.org/officeDocument/2006/relationships/hyperlink" Target="https://leetcode.com/submissions/detail/954316018/" TargetMode="External" Id="rId1186" /><Relationship Type="http://schemas.openxmlformats.org/officeDocument/2006/relationships/hyperlink" Target="https://leetcode.com/problems/3sum/" TargetMode="External" Id="rId1187" /><Relationship Type="http://schemas.openxmlformats.org/officeDocument/2006/relationships/hyperlink" Target="https://leetcode.com/submissions/detail/954317519/" TargetMode="External" Id="rId1188" /><Relationship Type="http://schemas.openxmlformats.org/officeDocument/2006/relationships/hyperlink" Target="https://leetcode.com/problems/3sum-closest/" TargetMode="External" Id="rId1189" /><Relationship Type="http://schemas.openxmlformats.org/officeDocument/2006/relationships/hyperlink" Target="https://leetcode.com/submissions/detail/954337717/" TargetMode="External" Id="rId1190" /><Relationship Type="http://schemas.openxmlformats.org/officeDocument/2006/relationships/hyperlink" Target="https://leetcode.com/problems/3sum-closest/" TargetMode="External" Id="rId1191" /><Relationship Type="http://schemas.openxmlformats.org/officeDocument/2006/relationships/hyperlink" Target="https://leetcode.com/submissions/detail/954340859/" TargetMode="External" Id="rId1192" /><Relationship Type="http://schemas.openxmlformats.org/officeDocument/2006/relationships/hyperlink" Target="https://leetcode.com/problems/3sum-closest/" TargetMode="External" Id="rId1193" /><Relationship Type="http://schemas.openxmlformats.org/officeDocument/2006/relationships/hyperlink" Target="https://leetcode.com/submissions/detail/954342495/" TargetMode="External" Id="rId1194" /><Relationship Type="http://schemas.openxmlformats.org/officeDocument/2006/relationships/hyperlink" Target="https://leetcode.com/problems/3sum-closest/" TargetMode="External" Id="rId1195" /><Relationship Type="http://schemas.openxmlformats.org/officeDocument/2006/relationships/hyperlink" Target="https://leetcode.com/submissions/detail/954342980/" TargetMode="External" Id="rId1196" /><Relationship Type="http://schemas.openxmlformats.org/officeDocument/2006/relationships/hyperlink" Target="https://leetcode.com/problems/find-and-replace-in-string/" TargetMode="External" Id="rId1197" /><Relationship Type="http://schemas.openxmlformats.org/officeDocument/2006/relationships/hyperlink" Target="https://leetcode.com/submissions/detail/954491200/" TargetMode="External" Id="rId1198" /><Relationship Type="http://schemas.openxmlformats.org/officeDocument/2006/relationships/hyperlink" Target="https://leetcode.com/problems/find-and-replace-in-string/" TargetMode="External" Id="rId1199" /><Relationship Type="http://schemas.openxmlformats.org/officeDocument/2006/relationships/hyperlink" Target="https://leetcode.com/submissions/detail/954491357/" TargetMode="External" Id="rId1200" /><Relationship Type="http://schemas.openxmlformats.org/officeDocument/2006/relationships/hyperlink" Target="https://leetcode.com/problems/find-and-replace-in-string/" TargetMode="External" Id="rId1201" /><Relationship Type="http://schemas.openxmlformats.org/officeDocument/2006/relationships/hyperlink" Target="https://leetcode.com/submissions/detail/954491647/" TargetMode="External" Id="rId1202" /><Relationship Type="http://schemas.openxmlformats.org/officeDocument/2006/relationships/hyperlink" Target="https://leetcode.com/problems/find-and-replace-in-string/" TargetMode="External" Id="rId1203" /><Relationship Type="http://schemas.openxmlformats.org/officeDocument/2006/relationships/hyperlink" Target="https://leetcode.com/submissions/detail/954492404/" TargetMode="External" Id="rId1204" /><Relationship Type="http://schemas.openxmlformats.org/officeDocument/2006/relationships/hyperlink" Target="https://leetcode.com/problems/string-transforms-into-another-string/" TargetMode="External" Id="rId1205" /><Relationship Type="http://schemas.openxmlformats.org/officeDocument/2006/relationships/hyperlink" Target="https://leetcode.com/submissions/detail/954499981/" TargetMode="External" Id="rId1206" /><Relationship Type="http://schemas.openxmlformats.org/officeDocument/2006/relationships/hyperlink" Target="https://leetcode.com/problems/subarray-sum-equals-k/" TargetMode="External" Id="rId1207" /><Relationship Type="http://schemas.openxmlformats.org/officeDocument/2006/relationships/hyperlink" Target="https://leetcode.com/submissions/detail/954905270/" TargetMode="External" Id="rId1208" /><Relationship Type="http://schemas.openxmlformats.org/officeDocument/2006/relationships/hyperlink" Target="https://leetcode.com/problems/subarray-sum-equals-k/" TargetMode="External" Id="rId1209" /><Relationship Type="http://schemas.openxmlformats.org/officeDocument/2006/relationships/hyperlink" Target="https://leetcode.com/submissions/detail/954907802/" TargetMode="External" Id="rId1210" /><Relationship Type="http://schemas.openxmlformats.org/officeDocument/2006/relationships/hyperlink" Target="https://leetcode.com/problems/search-insert-position/" TargetMode="External" Id="rId1211" /><Relationship Type="http://schemas.openxmlformats.org/officeDocument/2006/relationships/hyperlink" Target="https://leetcode.com/submissions/detail/954943868/" TargetMode="External" Id="rId1212" /><Relationship Type="http://schemas.openxmlformats.org/officeDocument/2006/relationships/hyperlink" Target="https://leetcode.com/problems/find-smallest-letter-greater-than-target/" TargetMode="External" Id="rId1213" /><Relationship Type="http://schemas.openxmlformats.org/officeDocument/2006/relationships/hyperlink" Target="https://leetcode.com/submissions/detail/954953476/" TargetMode="External" Id="rId1214" /><Relationship Type="http://schemas.openxmlformats.org/officeDocument/2006/relationships/hyperlink" Target="https://leetcode.com/problems/find-smallest-letter-greater-than-target/" TargetMode="External" Id="rId1215" /><Relationship Type="http://schemas.openxmlformats.org/officeDocument/2006/relationships/hyperlink" Target="https://leetcode.com/submissions/detail/954958167/" TargetMode="External" Id="rId1216" /><Relationship Type="http://schemas.openxmlformats.org/officeDocument/2006/relationships/hyperlink" Target="https://leetcode.com/problems/find-smallest-letter-greater-than-target/" TargetMode="External" Id="rId1217" /><Relationship Type="http://schemas.openxmlformats.org/officeDocument/2006/relationships/hyperlink" Target="https://leetcode.com/submissions/detail/954958311/" TargetMode="External" Id="rId1218" /><Relationship Type="http://schemas.openxmlformats.org/officeDocument/2006/relationships/hyperlink" Target="https://leetcode.com/problems/find-first-and-last-position-of-element-in-sorted-array/" TargetMode="External" Id="rId1219" /><Relationship Type="http://schemas.openxmlformats.org/officeDocument/2006/relationships/hyperlink" Target="https://leetcode.com/submissions/detail/954964502/" TargetMode="External" Id="rId1220" /><Relationship Type="http://schemas.openxmlformats.org/officeDocument/2006/relationships/hyperlink" Target="https://leetcode.com/problems/peak-index-in-a-mountain-array/" TargetMode="External" Id="rId1221" /><Relationship Type="http://schemas.openxmlformats.org/officeDocument/2006/relationships/hyperlink" Target="https://leetcode.com/submissions/detail/954987202/" TargetMode="External" Id="rId1222" /><Relationship Type="http://schemas.openxmlformats.org/officeDocument/2006/relationships/hyperlink" Target="https://leetcode.com/problems/peak-index-in-a-mountain-array/" TargetMode="External" Id="rId1223" /><Relationship Type="http://schemas.openxmlformats.org/officeDocument/2006/relationships/hyperlink" Target="https://leetcode.com/submissions/detail/954987979/" TargetMode="External" Id="rId1224" /><Relationship Type="http://schemas.openxmlformats.org/officeDocument/2006/relationships/hyperlink" Target="https://leetcode.com/problems/peak-index-in-a-mountain-array/" TargetMode="External" Id="rId1225" /><Relationship Type="http://schemas.openxmlformats.org/officeDocument/2006/relationships/hyperlink" Target="https://leetcode.com/submissions/detail/954989457/" TargetMode="External" Id="rId1226" /><Relationship Type="http://schemas.openxmlformats.org/officeDocument/2006/relationships/hyperlink" Target="https://leetcode.com/problems/peak-index-in-a-mountain-array/" TargetMode="External" Id="rId1227" /><Relationship Type="http://schemas.openxmlformats.org/officeDocument/2006/relationships/hyperlink" Target="https://leetcode.com/submissions/detail/954989794/" TargetMode="External" Id="rId1228" /><Relationship Type="http://schemas.openxmlformats.org/officeDocument/2006/relationships/hyperlink" Target="https://leetcode.com/problems/peak-index-in-a-mountain-array/" TargetMode="External" Id="rId1229" /><Relationship Type="http://schemas.openxmlformats.org/officeDocument/2006/relationships/hyperlink" Target="https://leetcode.com/submissions/detail/954991084/" TargetMode="External" Id="rId1230" /><Relationship Type="http://schemas.openxmlformats.org/officeDocument/2006/relationships/hyperlink" Target="https://leetcode.com/problems/peak-index-in-a-mountain-array/" TargetMode="External" Id="rId1231" /><Relationship Type="http://schemas.openxmlformats.org/officeDocument/2006/relationships/hyperlink" Target="https://leetcode.com/submissions/detail/954997100/" TargetMode="External" Id="rId1232" /><Relationship Type="http://schemas.openxmlformats.org/officeDocument/2006/relationships/hyperlink" Target="https://leetcode.com/problems/find-in-mountain-array/" TargetMode="External" Id="rId1233" /><Relationship Type="http://schemas.openxmlformats.org/officeDocument/2006/relationships/hyperlink" Target="https://leetcode.com/submissions/detail/955004567/" TargetMode="External" Id="rId1234" /><Relationship Type="http://schemas.openxmlformats.org/officeDocument/2006/relationships/hyperlink" Target="https://leetcode.com/problems/find-in-mountain-array/" TargetMode="External" Id="rId1235" /><Relationship Type="http://schemas.openxmlformats.org/officeDocument/2006/relationships/hyperlink" Target="https://leetcode.com/submissions/detail/955007097/" TargetMode="External" Id="rId1236" /><Relationship Type="http://schemas.openxmlformats.org/officeDocument/2006/relationships/hyperlink" Target="https://leetcode.com/problems/find-peak-element/" TargetMode="External" Id="rId1237" /><Relationship Type="http://schemas.openxmlformats.org/officeDocument/2006/relationships/hyperlink" Target="https://leetcode.com/submissions/detail/955008412/" TargetMode="External" Id="rId1238" /><Relationship Type="http://schemas.openxmlformats.org/officeDocument/2006/relationships/hyperlink" Target="https://leetcode.com/problems/3sum-closest/" TargetMode="External" Id="rId1239" /><Relationship Type="http://schemas.openxmlformats.org/officeDocument/2006/relationships/hyperlink" Target="https://leetcode.com/submissions/detail/955015460/" TargetMode="External" Id="rId1240" /><Relationship Type="http://schemas.openxmlformats.org/officeDocument/2006/relationships/hyperlink" Target="https://leetcode.com/problems/3sum-closest/" TargetMode="External" Id="rId1241" /><Relationship Type="http://schemas.openxmlformats.org/officeDocument/2006/relationships/hyperlink" Target="https://leetcode.com/submissions/detail/955017863/" TargetMode="External" Id="rId1242" /><Relationship Type="http://schemas.openxmlformats.org/officeDocument/2006/relationships/hyperlink" Target="https://leetcode.com/problems/3sum-closest/" TargetMode="External" Id="rId1243" /><Relationship Type="http://schemas.openxmlformats.org/officeDocument/2006/relationships/hyperlink" Target="https://leetcode.com/submissions/detail/955018008/" TargetMode="External" Id="rId1244" /><Relationship Type="http://schemas.openxmlformats.org/officeDocument/2006/relationships/hyperlink" Target="https://leetcode.com/problems/3sum-closest/" TargetMode="External" Id="rId1245" /><Relationship Type="http://schemas.openxmlformats.org/officeDocument/2006/relationships/hyperlink" Target="https://leetcode.com/submissions/detail/955019848/" TargetMode="External" Id="rId1246" /><Relationship Type="http://schemas.openxmlformats.org/officeDocument/2006/relationships/hyperlink" Target="https://leetcode.com/problems/find-in-mountain-array/" TargetMode="External" Id="rId1247" /><Relationship Type="http://schemas.openxmlformats.org/officeDocument/2006/relationships/hyperlink" Target="https://leetcode.com/submissions/detail/955028890/" TargetMode="External" Id="rId1248" /><Relationship Type="http://schemas.openxmlformats.org/officeDocument/2006/relationships/hyperlink" Target="https://leetcode.com/problems/find-in-mountain-array/" TargetMode="External" Id="rId1249" /><Relationship Type="http://schemas.openxmlformats.org/officeDocument/2006/relationships/hyperlink" Target="https://leetcode.com/submissions/detail/955029117/" TargetMode="External" Id="rId1250" /><Relationship Type="http://schemas.openxmlformats.org/officeDocument/2006/relationships/hyperlink" Target="https://leetcode.com/problems/search-in-rotated-sorted-array/" TargetMode="External" Id="rId1251" /><Relationship Type="http://schemas.openxmlformats.org/officeDocument/2006/relationships/hyperlink" Target="https://leetcode.com/submissions/detail/955048937/" TargetMode="External" Id="rId1252" /><Relationship Type="http://schemas.openxmlformats.org/officeDocument/2006/relationships/hyperlink" Target="https://leetcode.com/problems/search-in-rotated-sorted-array-ii/" TargetMode="External" Id="rId1253" /><Relationship Type="http://schemas.openxmlformats.org/officeDocument/2006/relationships/hyperlink" Target="https://leetcode.com/submissions/detail/955050225/" TargetMode="External" Id="rId1254" /><Relationship Type="http://schemas.openxmlformats.org/officeDocument/2006/relationships/hyperlink" Target="https://leetcode.com/problems/search-in-rotated-sorted-array-ii/" TargetMode="External" Id="rId1255" /><Relationship Type="http://schemas.openxmlformats.org/officeDocument/2006/relationships/hyperlink" Target="https://leetcode.com/submissions/detail/955050917/" TargetMode="External" Id="rId1256" /><Relationship Type="http://schemas.openxmlformats.org/officeDocument/2006/relationships/hyperlink" Target="https://leetcode.com/problems/search-in-rotated-sorted-array/" TargetMode="External" Id="rId1257" /><Relationship Type="http://schemas.openxmlformats.org/officeDocument/2006/relationships/hyperlink" Target="https://leetcode.com/submissions/detail/955051699/" TargetMode="External" Id="rId1258" /><Relationship Type="http://schemas.openxmlformats.org/officeDocument/2006/relationships/hyperlink" Target="https://leetcode.com/problems/search-in-rotated-sorted-array-ii/" TargetMode="External" Id="rId1259" /><Relationship Type="http://schemas.openxmlformats.org/officeDocument/2006/relationships/hyperlink" Target="https://leetcode.com/submissions/detail/955064764/" TargetMode="External" Id="rId1260" /><Relationship Type="http://schemas.openxmlformats.org/officeDocument/2006/relationships/hyperlink" Target="https://leetcode.com/problems/search-in-rotated-sorted-array-ii/" TargetMode="External" Id="rId1261" /><Relationship Type="http://schemas.openxmlformats.org/officeDocument/2006/relationships/hyperlink" Target="https://leetcode.com/submissions/detail/955065537/" TargetMode="External" Id="rId1262" /><Relationship Type="http://schemas.openxmlformats.org/officeDocument/2006/relationships/hyperlink" Target="https://leetcode.com/problems/search-in-rotated-sorted-array-ii/" TargetMode="External" Id="rId1263" /><Relationship Type="http://schemas.openxmlformats.org/officeDocument/2006/relationships/hyperlink" Target="https://leetcode.com/submissions/detail/955066071/" TargetMode="External" Id="rId1264" /><Relationship Type="http://schemas.openxmlformats.org/officeDocument/2006/relationships/hyperlink" Target="https://leetcode.com/problems/search-in-rotated-sorted-array-ii/" TargetMode="External" Id="rId1265" /><Relationship Type="http://schemas.openxmlformats.org/officeDocument/2006/relationships/hyperlink" Target="https://leetcode.com/submissions/detail/955068317/" TargetMode="External" Id="rId1266" /><Relationship Type="http://schemas.openxmlformats.org/officeDocument/2006/relationships/hyperlink" Target="https://leetcode.com/problems/find-minimum-in-rotated-sorted-array/" TargetMode="External" Id="rId1267" /><Relationship Type="http://schemas.openxmlformats.org/officeDocument/2006/relationships/hyperlink" Target="https://leetcode.com/submissions/detail/955088850/" TargetMode="External" Id="rId1268" /><Relationship Type="http://schemas.openxmlformats.org/officeDocument/2006/relationships/hyperlink" Target="https://leetcode.com/problems/split-array-largest-sum/" TargetMode="External" Id="rId1269" /><Relationship Type="http://schemas.openxmlformats.org/officeDocument/2006/relationships/hyperlink" Target="https://leetcode.com/submissions/detail/955117798/" TargetMode="External" Id="rId1270" /><Relationship Type="http://schemas.openxmlformats.org/officeDocument/2006/relationships/hyperlink" Target="https://leetcode.com/problems/split-array-largest-sum/" TargetMode="External" Id="rId1271" /><Relationship Type="http://schemas.openxmlformats.org/officeDocument/2006/relationships/hyperlink" Target="https://leetcode.com/submissions/detail/955119547/" TargetMode="External" Id="rId1272" /><Relationship Type="http://schemas.openxmlformats.org/officeDocument/2006/relationships/hyperlink" Target="https://leetcode.com/problems/split-array-largest-sum/" TargetMode="External" Id="rId1273" /><Relationship Type="http://schemas.openxmlformats.org/officeDocument/2006/relationships/hyperlink" Target="https://leetcode.com/submissions/detail/955133867/" TargetMode="External" Id="rId1274" /><Relationship Type="http://schemas.openxmlformats.org/officeDocument/2006/relationships/hyperlink" Target="https://leetcode.com/problems/split-array-largest-sum/" TargetMode="External" Id="rId1275" /><Relationship Type="http://schemas.openxmlformats.org/officeDocument/2006/relationships/hyperlink" Target="https://leetcode.com/submissions/detail/955134998/" TargetMode="External" Id="rId1276" /><Relationship Type="http://schemas.openxmlformats.org/officeDocument/2006/relationships/hyperlink" Target="https://leetcode.com/problems/merge-two-sorted-lists/" TargetMode="External" Id="rId1277" /><Relationship Type="http://schemas.openxmlformats.org/officeDocument/2006/relationships/hyperlink" Target="https://leetcode.com/submissions/detail/955548288/" TargetMode="External" Id="rId1278" /><Relationship Type="http://schemas.openxmlformats.org/officeDocument/2006/relationships/hyperlink" Target="https://leetcode.com/problems/merge-two-sorted-lists/" TargetMode="External" Id="rId1279" /><Relationship Type="http://schemas.openxmlformats.org/officeDocument/2006/relationships/hyperlink" Target="https://leetcode.com/submissions/detail/955550808/" TargetMode="External" Id="rId1280" /><Relationship Type="http://schemas.openxmlformats.org/officeDocument/2006/relationships/hyperlink" Target="https://leetcode.com/problems/merge-k-sorted-lists/" TargetMode="External" Id="rId1281" /><Relationship Type="http://schemas.openxmlformats.org/officeDocument/2006/relationships/hyperlink" Target="https://leetcode.com/submissions/detail/955556653/" TargetMode="External" Id="rId1282" /><Relationship Type="http://schemas.openxmlformats.org/officeDocument/2006/relationships/hyperlink" Target="https://leetcode.com/problems/merge-k-sorted-lists/" TargetMode="External" Id="rId1283" /><Relationship Type="http://schemas.openxmlformats.org/officeDocument/2006/relationships/hyperlink" Target="https://leetcode.com/submissions/detail/955560290/" TargetMode="External" Id="rId1284" /><Relationship Type="http://schemas.openxmlformats.org/officeDocument/2006/relationships/hyperlink" Target="https://leetcode.com/problems/maximize-distance-to-closest-person/" TargetMode="External" Id="rId1285" /><Relationship Type="http://schemas.openxmlformats.org/officeDocument/2006/relationships/hyperlink" Target="https://leetcode.com/submissions/detail/955655556/" TargetMode="External" Id="rId1286" /><Relationship Type="http://schemas.openxmlformats.org/officeDocument/2006/relationships/hyperlink" Target="https://leetcode.com/problems/maximize-distance-to-closest-person/" TargetMode="External" Id="rId1287" /><Relationship Type="http://schemas.openxmlformats.org/officeDocument/2006/relationships/hyperlink" Target="https://leetcode.com/submissions/detail/955656576/" TargetMode="External" Id="rId1288" /><Relationship Type="http://schemas.openxmlformats.org/officeDocument/2006/relationships/hyperlink" Target="https://leetcode.com/problems/serialize-and-deserialize-binary-tree/" TargetMode="External" Id="rId1289" /><Relationship Type="http://schemas.openxmlformats.org/officeDocument/2006/relationships/hyperlink" Target="https://leetcode.com/submissions/detail/955665005/" TargetMode="External" Id="rId1290" /><Relationship Type="http://schemas.openxmlformats.org/officeDocument/2006/relationships/hyperlink" Target="https://leetcode.com/problems/isomorphic-strings/" TargetMode="External" Id="rId1291" /><Relationship Type="http://schemas.openxmlformats.org/officeDocument/2006/relationships/hyperlink" Target="https://leetcode.com/submissions/detail/955666814/" TargetMode="External" Id="rId1292" /><Relationship Type="http://schemas.openxmlformats.org/officeDocument/2006/relationships/hyperlink" Target="https://leetcode.com/problems/isomorphic-strings/" TargetMode="External" Id="rId1293" /><Relationship Type="http://schemas.openxmlformats.org/officeDocument/2006/relationships/hyperlink" Target="https://leetcode.com/submissions/detail/955668181/" TargetMode="External" Id="rId1294" /><Relationship Type="http://schemas.openxmlformats.org/officeDocument/2006/relationships/hyperlink" Target="https://leetcode.com/problems/string-transforms-into-another-string/" TargetMode="External" Id="rId1295" /><Relationship Type="http://schemas.openxmlformats.org/officeDocument/2006/relationships/hyperlink" Target="https://leetcode.com/submissions/detail/955668873/" TargetMode="External" Id="rId1296" /><Relationship Type="http://schemas.openxmlformats.org/officeDocument/2006/relationships/hyperlink" Target="https://leetcode.com/problems/string-transforms-into-another-string/" TargetMode="External" Id="rId1297" /><Relationship Type="http://schemas.openxmlformats.org/officeDocument/2006/relationships/hyperlink" Target="https://leetcode.com/submissions/detail/955672846/" TargetMode="External" Id="rId1298" /><Relationship Type="http://schemas.openxmlformats.org/officeDocument/2006/relationships/hyperlink" Target="https://leetcode.com/problems/isomorphic-strings/" TargetMode="External" Id="rId1299" /><Relationship Type="http://schemas.openxmlformats.org/officeDocument/2006/relationships/hyperlink" Target="https://leetcode.com/submissions/detail/955695727/" TargetMode="External" Id="rId1300" /><Relationship Type="http://schemas.openxmlformats.org/officeDocument/2006/relationships/hyperlink" Target="https://leetcode.com/problems/missing-number/" TargetMode="External" Id="rId1301" /><Relationship Type="http://schemas.openxmlformats.org/officeDocument/2006/relationships/hyperlink" Target="https://leetcode.com/submissions/detail/956169851/" TargetMode="External" Id="rId1302" /><Relationship Type="http://schemas.openxmlformats.org/officeDocument/2006/relationships/hyperlink" Target="https://leetcode.com/problems/missing-number/" TargetMode="External" Id="rId1303" /><Relationship Type="http://schemas.openxmlformats.org/officeDocument/2006/relationships/hyperlink" Target="https://leetcode.com/submissions/detail/956170954/" TargetMode="External" Id="rId1304" /><Relationship Type="http://schemas.openxmlformats.org/officeDocument/2006/relationships/hyperlink" Target="https://leetcode.com/problems/missing-number/" TargetMode="External" Id="rId1305" /><Relationship Type="http://schemas.openxmlformats.org/officeDocument/2006/relationships/hyperlink" Target="https://leetcode.com/submissions/detail/956171574/" TargetMode="External" Id="rId1306" /><Relationship Type="http://schemas.openxmlformats.org/officeDocument/2006/relationships/hyperlink" Target="https://leetcode.com/problems/missing-number/" TargetMode="External" Id="rId1307" /><Relationship Type="http://schemas.openxmlformats.org/officeDocument/2006/relationships/hyperlink" Target="https://leetcode.com/submissions/detail/956172334/" TargetMode="External" Id="rId1308" /><Relationship Type="http://schemas.openxmlformats.org/officeDocument/2006/relationships/hyperlink" Target="https://leetcode.com/problems/find-all-numbers-disappeared-in-an-array/" TargetMode="External" Id="rId1309" /><Relationship Type="http://schemas.openxmlformats.org/officeDocument/2006/relationships/hyperlink" Target="https://leetcode.com/submissions/detail/956174180/" TargetMode="External" Id="rId1310" /><Relationship Type="http://schemas.openxmlformats.org/officeDocument/2006/relationships/hyperlink" Target="https://leetcode.com/problems/find-the-duplicate-number/" TargetMode="External" Id="rId1311" /><Relationship Type="http://schemas.openxmlformats.org/officeDocument/2006/relationships/hyperlink" Target="https://leetcode.com/submissions/detail/956176711/" TargetMode="External" Id="rId1312" /><Relationship Type="http://schemas.openxmlformats.org/officeDocument/2006/relationships/hyperlink" Target="https://leetcode.com/problems/find-all-duplicates-in-an-array/" TargetMode="External" Id="rId1313" /><Relationship Type="http://schemas.openxmlformats.org/officeDocument/2006/relationships/hyperlink" Target="https://leetcode.com/submissions/detail/956177792/" TargetMode="External" Id="rId1314" /><Relationship Type="http://schemas.openxmlformats.org/officeDocument/2006/relationships/hyperlink" Target="https://leetcode.com/problems/set-mismatch/" TargetMode="External" Id="rId1315" /><Relationship Type="http://schemas.openxmlformats.org/officeDocument/2006/relationships/hyperlink" Target="https://leetcode.com/submissions/detail/956181760/" TargetMode="External" Id="rId1316" /><Relationship Type="http://schemas.openxmlformats.org/officeDocument/2006/relationships/hyperlink" Target="https://leetcode.com/problems/first-missing-positive/" TargetMode="External" Id="rId1317" /><Relationship Type="http://schemas.openxmlformats.org/officeDocument/2006/relationships/hyperlink" Target="https://leetcode.com/submissions/detail/956186716/" TargetMode="External" Id="rId1318" /><Relationship Type="http://schemas.openxmlformats.org/officeDocument/2006/relationships/hyperlink" Target="https://leetcode.com/problems/first-missing-positive/" TargetMode="External" Id="rId1319" /><Relationship Type="http://schemas.openxmlformats.org/officeDocument/2006/relationships/hyperlink" Target="https://leetcode.com/submissions/detail/956187012/" TargetMode="External" Id="rId1320" /><Relationship Type="http://schemas.openxmlformats.org/officeDocument/2006/relationships/hyperlink" Target="https://leetcode.com/problems/first-missing-positive/" TargetMode="External" Id="rId1321" /><Relationship Type="http://schemas.openxmlformats.org/officeDocument/2006/relationships/hyperlink" Target="https://leetcode.com/submissions/detail/956187648/" TargetMode="External" Id="rId1322" /><Relationship Type="http://schemas.openxmlformats.org/officeDocument/2006/relationships/hyperlink" Target="https://leetcode.com/problems/first-missing-positive/" TargetMode="External" Id="rId1323" /><Relationship Type="http://schemas.openxmlformats.org/officeDocument/2006/relationships/hyperlink" Target="https://leetcode.com/submissions/detail/956190068/" TargetMode="External" Id="rId1324" /><Relationship Type="http://schemas.openxmlformats.org/officeDocument/2006/relationships/hyperlink" Target="https://leetcode.com/problems/first-missing-positive/" TargetMode="External" Id="rId1325" /><Relationship Type="http://schemas.openxmlformats.org/officeDocument/2006/relationships/hyperlink" Target="https://leetcode.com/submissions/detail/956190757/" TargetMode="External" Id="rId1326" /><Relationship Type="http://schemas.openxmlformats.org/officeDocument/2006/relationships/hyperlink" Target="https://leetcode.com/problems/flipping-an-image/" TargetMode="External" Id="rId1327" /><Relationship Type="http://schemas.openxmlformats.org/officeDocument/2006/relationships/hyperlink" Target="https://leetcode.com/submissions/detail/956272640/" TargetMode="External" Id="rId1328" /><Relationship Type="http://schemas.openxmlformats.org/officeDocument/2006/relationships/hyperlink" Target="https://leetcode.com/problems/binary-tree-vertical-order-traversal/" TargetMode="External" Id="rId1329" /><Relationship Type="http://schemas.openxmlformats.org/officeDocument/2006/relationships/hyperlink" Target="https://leetcode.com/submissions/detail/992832751/" TargetMode="External" Id="rId1330" /><Relationship Type="http://schemas.openxmlformats.org/officeDocument/2006/relationships/hyperlink" Target="https://leetcode.com/problems/binary-tree-vertical-order-traversal/" TargetMode="External" Id="rId1331" /><Relationship Type="http://schemas.openxmlformats.org/officeDocument/2006/relationships/hyperlink" Target="https://leetcode.com/submissions/detail/992833046/" TargetMode="External" Id="rId1332" /><Relationship Type="http://schemas.openxmlformats.org/officeDocument/2006/relationships/hyperlink" Target="https://leetcode.com/problems/binary-search/" TargetMode="External" Id="rId1333" /><Relationship Type="http://schemas.openxmlformats.org/officeDocument/2006/relationships/hyperlink" Target="https://leetcode.com/submissions/detail/1024207359/" TargetMode="External" Id="rId1334" /><Relationship Type="http://schemas.openxmlformats.org/officeDocument/2006/relationships/hyperlink" Target="https://leetcode.com/problems/merge-strings-alternately/" TargetMode="External" Id="rId1335" /><Relationship Type="http://schemas.openxmlformats.org/officeDocument/2006/relationships/hyperlink" Target="https://leetcode.com/submissions/detail/1024218483/" TargetMode="External" Id="rId1336" /><Relationship Type="http://schemas.openxmlformats.org/officeDocument/2006/relationships/hyperlink" Target="https://leetcode.com/problems/greatest-common-divisor-of-strings/" TargetMode="External" Id="rId1337" /><Relationship Type="http://schemas.openxmlformats.org/officeDocument/2006/relationships/hyperlink" Target="https://leetcode.com/submissions/detail/1024263520/" TargetMode="External" Id="rId1338" /><Relationship Type="http://schemas.openxmlformats.org/officeDocument/2006/relationships/hyperlink" Target="https://leetcode.com/problems/greatest-common-divisor-of-strings/" TargetMode="External" Id="rId1339" /><Relationship Type="http://schemas.openxmlformats.org/officeDocument/2006/relationships/hyperlink" Target="https://leetcode.com/submissions/detail/1024263824/" TargetMode="External" Id="rId1340" /><Relationship Type="http://schemas.openxmlformats.org/officeDocument/2006/relationships/hyperlink" Target="https://leetcode.com/problems/kids-with-the-greatest-number-of-candies/" TargetMode="External" Id="rId1341" /><Relationship Type="http://schemas.openxmlformats.org/officeDocument/2006/relationships/hyperlink" Target="https://leetcode.com/submissions/detail/1025007443/" TargetMode="External" Id="rId1342" /><Relationship Type="http://schemas.openxmlformats.org/officeDocument/2006/relationships/hyperlink" Target="https://leetcode.com/problems/can-place-flowers/" TargetMode="External" Id="rId1343" /><Relationship Type="http://schemas.openxmlformats.org/officeDocument/2006/relationships/hyperlink" Target="https://leetcode.com/submissions/detail/1025052295/" TargetMode="External" Id="rId1344" /><Relationship Type="http://schemas.openxmlformats.org/officeDocument/2006/relationships/hyperlink" Target="https://leetcode.com/problems/can-place-flowers/" TargetMode="External" Id="rId1345" /><Relationship Type="http://schemas.openxmlformats.org/officeDocument/2006/relationships/hyperlink" Target="https://leetcode.com/submissions/detail/1025074175/" TargetMode="External" Id="rId1346" /><Relationship Type="http://schemas.openxmlformats.org/officeDocument/2006/relationships/hyperlink" Target="https://leetcode.com/problems/can-place-flowers/" TargetMode="External" Id="rId1347" /><Relationship Type="http://schemas.openxmlformats.org/officeDocument/2006/relationships/hyperlink" Target="https://leetcode.com/submissions/detail/1025106754/" TargetMode="External" Id="rId1348" /><Relationship Type="http://schemas.openxmlformats.org/officeDocument/2006/relationships/hyperlink" Target="https://leetcode.com/problems/reverse-vowels-of-a-string/" TargetMode="External" Id="rId1349" /><Relationship Type="http://schemas.openxmlformats.org/officeDocument/2006/relationships/hyperlink" Target="https://leetcode.com/submissions/detail/1025125409/" TargetMode="External" Id="rId1350" /><Relationship Type="http://schemas.openxmlformats.org/officeDocument/2006/relationships/hyperlink" Target="https://leetcode.com/problems/reverse-vowels-of-a-string/" TargetMode="External" Id="rId1351" /><Relationship Type="http://schemas.openxmlformats.org/officeDocument/2006/relationships/hyperlink" Target="https://leetcode.com/submissions/detail/1025126413/" TargetMode="External" Id="rId1352" /><Relationship Type="http://schemas.openxmlformats.org/officeDocument/2006/relationships/hyperlink" Target="https://leetcode.com/problems/reverse-words-in-a-string/" TargetMode="External" Id="rId1353" /><Relationship Type="http://schemas.openxmlformats.org/officeDocument/2006/relationships/hyperlink" Target="https://leetcode.com/submissions/detail/1029596542/" TargetMode="External" Id="rId1354" /><Relationship Type="http://schemas.openxmlformats.org/officeDocument/2006/relationships/hyperlink" Target="https://leetcode.com/problems/product-of-array-except-self/" TargetMode="External" Id="rId1355" /><Relationship Type="http://schemas.openxmlformats.org/officeDocument/2006/relationships/hyperlink" Target="https://leetcode.com/submissions/detail/1029614944/" TargetMode="External" Id="rId1356" /><Relationship Type="http://schemas.openxmlformats.org/officeDocument/2006/relationships/hyperlink" Target="https://leetcode.com/problems/product-of-array-except-self/" TargetMode="External" Id="rId1357" /><Relationship Type="http://schemas.openxmlformats.org/officeDocument/2006/relationships/hyperlink" Target="https://leetcode.com/submissions/detail/1029620534/" TargetMode="External" Id="rId1358" /><Relationship Type="http://schemas.openxmlformats.org/officeDocument/2006/relationships/hyperlink" Target="https://leetcode.com/problems/increasing-triplet-subsequence/" TargetMode="External" Id="rId1359" /><Relationship Type="http://schemas.openxmlformats.org/officeDocument/2006/relationships/hyperlink" Target="https://leetcode.com/submissions/detail/1029640980/" TargetMode="External" Id="rId1360" /><Relationship Type="http://schemas.openxmlformats.org/officeDocument/2006/relationships/hyperlink" Target="https://leetcode.com/problems/increasing-triplet-subsequence/" TargetMode="External" Id="rId1361" /><Relationship Type="http://schemas.openxmlformats.org/officeDocument/2006/relationships/hyperlink" Target="https://leetcode.com/submissions/detail/1029643835/" TargetMode="External" Id="rId1362" /><Relationship Type="http://schemas.openxmlformats.org/officeDocument/2006/relationships/hyperlink" Target="https://leetcode.com/problems/increasing-triplet-subsequence/" TargetMode="External" Id="rId1363" /><Relationship Type="http://schemas.openxmlformats.org/officeDocument/2006/relationships/hyperlink" Target="https://leetcode.com/submissions/detail/1029650064/" TargetMode="External" Id="rId1364" /><Relationship Type="http://schemas.openxmlformats.org/officeDocument/2006/relationships/hyperlink" Target="https://leetcode.com/problems/increasing-triplet-subsequence/" TargetMode="External" Id="rId1365" /><Relationship Type="http://schemas.openxmlformats.org/officeDocument/2006/relationships/hyperlink" Target="https://leetcode.com/submissions/detail/1029652848/" TargetMode="External" Id="rId1366" /><Relationship Type="http://schemas.openxmlformats.org/officeDocument/2006/relationships/hyperlink" Target="https://leetcode.com/problems/string-compression/" TargetMode="External" Id="rId1367" /><Relationship Type="http://schemas.openxmlformats.org/officeDocument/2006/relationships/hyperlink" Target="https://leetcode.com/submissions/detail/1029848000/" TargetMode="External" Id="rId1368" /><Relationship Type="http://schemas.openxmlformats.org/officeDocument/2006/relationships/hyperlink" Target="https://leetcode.com/problems/string-compression/" TargetMode="External" Id="rId1369" /><Relationship Type="http://schemas.openxmlformats.org/officeDocument/2006/relationships/hyperlink" Target="https://leetcode.com/submissions/detail/1029856921/" TargetMode="External" Id="rId1370" /><Relationship Type="http://schemas.openxmlformats.org/officeDocument/2006/relationships/hyperlink" Target="https://leetcode.com/problems/string-compression/" TargetMode="External" Id="rId1371" /><Relationship Type="http://schemas.openxmlformats.org/officeDocument/2006/relationships/hyperlink" Target="https://leetcode.com/submissions/detail/1029861766/" TargetMode="External" Id="rId1372" /><Relationship Type="http://schemas.openxmlformats.org/officeDocument/2006/relationships/hyperlink" Target="https://leetcode.com/problems/string-compression/" TargetMode="External" Id="rId1373" /><Relationship Type="http://schemas.openxmlformats.org/officeDocument/2006/relationships/hyperlink" Target="https://leetcode.com/submissions/detail/1029865733/" TargetMode="External" Id="rId1374" /><Relationship Type="http://schemas.openxmlformats.org/officeDocument/2006/relationships/hyperlink" Target="https://leetcode.com/problems/string-compression/" TargetMode="External" Id="rId1375" /><Relationship Type="http://schemas.openxmlformats.org/officeDocument/2006/relationships/hyperlink" Target="https://leetcode.com/submissions/detail/1029868613/" TargetMode="External" Id="rId1376" /><Relationship Type="http://schemas.openxmlformats.org/officeDocument/2006/relationships/hyperlink" Target="https://leetcode.com/problems/string-compression/" TargetMode="External" Id="rId1377" /><Relationship Type="http://schemas.openxmlformats.org/officeDocument/2006/relationships/hyperlink" Target="https://leetcode.com/submissions/detail/1029873840/" TargetMode="External" Id="rId1378" /><Relationship Type="http://schemas.openxmlformats.org/officeDocument/2006/relationships/hyperlink" Target="https://leetcode.com/problems/string-compression/" TargetMode="External" Id="rId1379" /><Relationship Type="http://schemas.openxmlformats.org/officeDocument/2006/relationships/hyperlink" Target="https://leetcode.com/submissions/detail/1029879136/" TargetMode="External" Id="rId1380" /><Relationship Type="http://schemas.openxmlformats.org/officeDocument/2006/relationships/hyperlink" Target="https://leetcode.com/problems/move-zeroes/" TargetMode="External" Id="rId1381" /><Relationship Type="http://schemas.openxmlformats.org/officeDocument/2006/relationships/hyperlink" Target="https://leetcode.com/submissions/detail/1030683227/" TargetMode="External" Id="rId1382" /><Relationship Type="http://schemas.openxmlformats.org/officeDocument/2006/relationships/hyperlink" Target="https://leetcode.com/problems/move-zeroes/" TargetMode="External" Id="rId1383" /><Relationship Type="http://schemas.openxmlformats.org/officeDocument/2006/relationships/hyperlink" Target="https://leetcode.com/submissions/detail/1030684594/" TargetMode="External" Id="rId1384" /><Relationship Type="http://schemas.openxmlformats.org/officeDocument/2006/relationships/hyperlink" Target="https://leetcode.com/problems/is-subsequence/" TargetMode="External" Id="rId1385" /><Relationship Type="http://schemas.openxmlformats.org/officeDocument/2006/relationships/hyperlink" Target="https://leetcode.com/submissions/detail/1030692905/" TargetMode="External" Id="rId1386" /><Relationship Type="http://schemas.openxmlformats.org/officeDocument/2006/relationships/hyperlink" Target="https://leetcode.com/problems/is-subsequence/" TargetMode="External" Id="rId1387" /><Relationship Type="http://schemas.openxmlformats.org/officeDocument/2006/relationships/hyperlink" Target="https://leetcode.com/submissions/detail/1030693648/" TargetMode="External" Id="rId1388" /><Relationship Type="http://schemas.openxmlformats.org/officeDocument/2006/relationships/hyperlink" Target="https://leetcode.com/problems/container-with-most-water/" TargetMode="External" Id="rId1389" /><Relationship Type="http://schemas.openxmlformats.org/officeDocument/2006/relationships/hyperlink" Target="https://leetcode.com/submissions/detail/1030734523/" TargetMode="External" Id="rId1390" /><Relationship Type="http://schemas.openxmlformats.org/officeDocument/2006/relationships/hyperlink" Target="https://leetcode.com/problems/max-number-of-k-sum-pairs/" TargetMode="External" Id="rId1391" /><Relationship Type="http://schemas.openxmlformats.org/officeDocument/2006/relationships/hyperlink" Target="https://leetcode.com/submissions/detail/1030750698/" TargetMode="External" Id="rId1392" /><Relationship Type="http://schemas.openxmlformats.org/officeDocument/2006/relationships/hyperlink" Target="https://leetcode.com/problems/max-number-of-k-sum-pairs/" TargetMode="External" Id="rId1393" /><Relationship Type="http://schemas.openxmlformats.org/officeDocument/2006/relationships/hyperlink" Target="https://leetcode.com/submissions/detail/1030753639/" TargetMode="External" Id="rId1394" /><Relationship Type="http://schemas.openxmlformats.org/officeDocument/2006/relationships/hyperlink" Target="https://leetcode.com/problems/maximum-average-subarray-i/" TargetMode="External" Id="rId1395" /><Relationship Type="http://schemas.openxmlformats.org/officeDocument/2006/relationships/hyperlink" Target="https://leetcode.com/submissions/detail/1030773000/" TargetMode="External" Id="rId1396" /><Relationship Type="http://schemas.openxmlformats.org/officeDocument/2006/relationships/hyperlink" Target="https://leetcode.com/problems/maximum-number-of-vowels-in-a-substring-of-given-length/" TargetMode="External" Id="rId1397" /><Relationship Type="http://schemas.openxmlformats.org/officeDocument/2006/relationships/hyperlink" Target="https://leetcode.com/submissions/detail/1031591862/" TargetMode="External" Id="rId1398" /><Relationship Type="http://schemas.openxmlformats.org/officeDocument/2006/relationships/hyperlink" Target="https://leetcode.com/problems/maximum-number-of-vowels-in-a-substring-of-given-length/" TargetMode="External" Id="rId1399" /><Relationship Type="http://schemas.openxmlformats.org/officeDocument/2006/relationships/hyperlink" Target="https://leetcode.com/submissions/detail/1031593106/" TargetMode="External" Id="rId1400" /><Relationship Type="http://schemas.openxmlformats.org/officeDocument/2006/relationships/hyperlink" Target="https://leetcode.com/problems/maximum-number-of-vowels-in-a-substring-of-given-length/" TargetMode="External" Id="rId1401" /><Relationship Type="http://schemas.openxmlformats.org/officeDocument/2006/relationships/hyperlink" Target="https://leetcode.com/submissions/detail/1031593690/" TargetMode="External" Id="rId1402" /><Relationship Type="http://schemas.openxmlformats.org/officeDocument/2006/relationships/hyperlink" Target="https://leetcode.com/problems/maximum-number-of-vowels-in-a-substring-of-given-length/" TargetMode="External" Id="rId1403" /><Relationship Type="http://schemas.openxmlformats.org/officeDocument/2006/relationships/hyperlink" Target="https://leetcode.com/submissions/detail/1031595683/" TargetMode="External" Id="rId1404" /><Relationship Type="http://schemas.openxmlformats.org/officeDocument/2006/relationships/hyperlink" Target="https://leetcode.com/problems/maximum-number-of-vowels-in-a-substring-of-given-length/" TargetMode="External" Id="rId1405" /><Relationship Type="http://schemas.openxmlformats.org/officeDocument/2006/relationships/hyperlink" Target="https://leetcode.com/submissions/detail/1031596595/" TargetMode="External" Id="rId1406" /><Relationship Type="http://schemas.openxmlformats.org/officeDocument/2006/relationships/hyperlink" Target="https://leetcode.com/problems/maximum-number-of-vowels-in-a-substring-of-given-length/" TargetMode="External" Id="rId1407" /><Relationship Type="http://schemas.openxmlformats.org/officeDocument/2006/relationships/hyperlink" Target="https://leetcode.com/submissions/detail/1031598078/" TargetMode="External" Id="rId1408" /><Relationship Type="http://schemas.openxmlformats.org/officeDocument/2006/relationships/hyperlink" Target="https://leetcode.com/problems/max-consecutive-ones-iii/" TargetMode="External" Id="rId1409" /><Relationship Type="http://schemas.openxmlformats.org/officeDocument/2006/relationships/hyperlink" Target="https://leetcode.com/submissions/detail/1031644223/" TargetMode="External" Id="rId1410" /><Relationship Type="http://schemas.openxmlformats.org/officeDocument/2006/relationships/hyperlink" Target="https://leetcode.com/problems/longest-subarray-of-1s-after-deleting-one-element/" TargetMode="External" Id="rId1411" /><Relationship Type="http://schemas.openxmlformats.org/officeDocument/2006/relationships/hyperlink" Target="https://leetcode.com/submissions/detail/1037751435/" TargetMode="External" Id="rId1412" /><Relationship Type="http://schemas.openxmlformats.org/officeDocument/2006/relationships/hyperlink" Target="https://leetcode.com/problems/find-the-highest-altitude/" TargetMode="External" Id="rId1413" /><Relationship Type="http://schemas.openxmlformats.org/officeDocument/2006/relationships/hyperlink" Target="https://leetcode.com/submissions/detail/1037851819/" TargetMode="External" Id="rId1414" /><Relationship Type="http://schemas.openxmlformats.org/officeDocument/2006/relationships/hyperlink" Target="https://leetcode.com/problems/find-pivot-index/" TargetMode="External" Id="rId1415" /><Relationship Type="http://schemas.openxmlformats.org/officeDocument/2006/relationships/hyperlink" Target="https://leetcode.com/submissions/detail/1037856937/" TargetMode="External" Id="rId1416" /><Relationship Type="http://schemas.openxmlformats.org/officeDocument/2006/relationships/hyperlink" Target="https://leetcode.com/problems/find-the-difference-of-two-arrays/" TargetMode="External" Id="rId1417" /><Relationship Type="http://schemas.openxmlformats.org/officeDocument/2006/relationships/hyperlink" Target="https://leetcode.com/submissions/detail/1043842772/" TargetMode="External" Id="rId1418" /><Relationship Type="http://schemas.openxmlformats.org/officeDocument/2006/relationships/hyperlink" Target="https://leetcode.com/problems/unique-number-of-occurrences/" TargetMode="External" Id="rId1419" /><Relationship Type="http://schemas.openxmlformats.org/officeDocument/2006/relationships/hyperlink" Target="https://leetcode.com/submissions/detail/1044102868/" TargetMode="External" Id="rId1420" /><Relationship Type="http://schemas.openxmlformats.org/officeDocument/2006/relationships/hyperlink" Target="https://leetcode.com/problems/determine-if-two-strings-are-close/" TargetMode="External" Id="rId1421" /><Relationship Type="http://schemas.openxmlformats.org/officeDocument/2006/relationships/hyperlink" Target="https://leetcode.com/submissions/detail/1044132167/" TargetMode="External" Id="rId1422" /><Relationship Type="http://schemas.openxmlformats.org/officeDocument/2006/relationships/hyperlink" Target="https://leetcode.com/problems/determine-if-two-strings-are-close/" TargetMode="External" Id="rId1423" /><Relationship Type="http://schemas.openxmlformats.org/officeDocument/2006/relationships/hyperlink" Target="https://leetcode.com/submissions/detail/1044144179/" TargetMode="External" Id="rId1424" /><Relationship Type="http://schemas.openxmlformats.org/officeDocument/2006/relationships/hyperlink" Target="https://leetcode.com/problems/determine-if-two-strings-are-close/" TargetMode="External" Id="rId1425" /><Relationship Type="http://schemas.openxmlformats.org/officeDocument/2006/relationships/hyperlink" Target="https://leetcode.com/submissions/detail/1044146339/" TargetMode="External" Id="rId1426" /><Relationship Type="http://schemas.openxmlformats.org/officeDocument/2006/relationships/hyperlink" Target="https://leetcode.com/problems/determine-if-two-strings-are-close/" TargetMode="External" Id="rId1427" /><Relationship Type="http://schemas.openxmlformats.org/officeDocument/2006/relationships/hyperlink" Target="https://leetcode.com/submissions/detail/1044153250/" TargetMode="External" Id="rId1428" /><Relationship Type="http://schemas.openxmlformats.org/officeDocument/2006/relationships/hyperlink" Target="https://leetcode.com/problems/equal-row-and-column-pairs/" TargetMode="External" Id="rId1429" /><Relationship Type="http://schemas.openxmlformats.org/officeDocument/2006/relationships/hyperlink" Target="https://leetcode.com/submissions/detail/1044163612/" TargetMode="External" Id="rId1430" /><Relationship Type="http://schemas.openxmlformats.org/officeDocument/2006/relationships/hyperlink" Target="https://leetcode.com/problems/removing-stars-from-a-string/" TargetMode="External" Id="rId1431" /><Relationship Type="http://schemas.openxmlformats.org/officeDocument/2006/relationships/hyperlink" Target="https://leetcode.com/submissions/detail/1047528661/" TargetMode="External" Id="rId1432" /><Relationship Type="http://schemas.openxmlformats.org/officeDocument/2006/relationships/hyperlink" Target="https://leetcode.com/problems/removing-stars-from-a-string/" TargetMode="External" Id="rId1433" /><Relationship Type="http://schemas.openxmlformats.org/officeDocument/2006/relationships/hyperlink" Target="https://leetcode.com/submissions/detail/1047537156/" TargetMode="External" Id="rId1434" /><Relationship Type="http://schemas.openxmlformats.org/officeDocument/2006/relationships/hyperlink" Target="https://leetcode.com/problems/asteroid-collision/" TargetMode="External" Id="rId1435" /><Relationship Type="http://schemas.openxmlformats.org/officeDocument/2006/relationships/hyperlink" Target="https://leetcode.com/submissions/detail/1047550220/" TargetMode="External" Id="rId1436" /><Relationship Type="http://schemas.openxmlformats.org/officeDocument/2006/relationships/hyperlink" Target="https://leetcode.com/problems/asteroid-collision/" TargetMode="External" Id="rId1437" /><Relationship Type="http://schemas.openxmlformats.org/officeDocument/2006/relationships/hyperlink" Target="https://leetcode.com/submissions/detail/1047562175/" TargetMode="External" Id="rId1438" /><Relationship Type="http://schemas.openxmlformats.org/officeDocument/2006/relationships/hyperlink" Target="https://leetcode.com/problems/asteroid-collision/" TargetMode="External" Id="rId1439" /><Relationship Type="http://schemas.openxmlformats.org/officeDocument/2006/relationships/hyperlink" Target="https://leetcode.com/submissions/detail/1047569035/" TargetMode="External" Id="rId1440" /><Relationship Type="http://schemas.openxmlformats.org/officeDocument/2006/relationships/hyperlink" Target="https://leetcode.com/problems/decode-string/" TargetMode="External" Id="rId1441" /><Relationship Type="http://schemas.openxmlformats.org/officeDocument/2006/relationships/hyperlink" Target="https://leetcode.com/submissions/detail/1047747472/" TargetMode="External" Id="rId1442" /><Relationship Type="http://schemas.openxmlformats.org/officeDocument/2006/relationships/hyperlink" Target="https://leetcode.com/problems/decode-string/" TargetMode="External" Id="rId1443" /><Relationship Type="http://schemas.openxmlformats.org/officeDocument/2006/relationships/hyperlink" Target="https://leetcode.com/submissions/detail/1047748694/" TargetMode="External" Id="rId1444" /><Relationship Type="http://schemas.openxmlformats.org/officeDocument/2006/relationships/hyperlink" Target="https://leetcode.com/problems/number-of-recent-calls/" TargetMode="External" Id="rId1445" /><Relationship Type="http://schemas.openxmlformats.org/officeDocument/2006/relationships/hyperlink" Target="https://leetcode.com/submissions/detail/1047767716/" TargetMode="External" Id="rId1446" /><Relationship Type="http://schemas.openxmlformats.org/officeDocument/2006/relationships/hyperlink" Target="https://leetcode.com/problems/word-ladder/" TargetMode="External" Id="rId1447" /><Relationship Type="http://schemas.openxmlformats.org/officeDocument/2006/relationships/hyperlink" Target="https://leetcode.com/submissions/detail/1074673446/" TargetMode="External" Id="rId1448" /><Relationship Type="http://schemas.openxmlformats.org/officeDocument/2006/relationships/hyperlink" Target="https://leetcode.com/problems/word-ladder/" TargetMode="External" Id="rId1449" /><Relationship Type="http://schemas.openxmlformats.org/officeDocument/2006/relationships/hyperlink" Target="https://leetcode.com/submissions/detail/1074675001/" TargetMode="External" Id="rId1450" /><Relationship Type="http://schemas.openxmlformats.org/officeDocument/2006/relationships/hyperlink" Target="https://leetcode.com/problems/word-ladder-ii/" TargetMode="External" Id="rId1451" /><Relationship Type="http://schemas.openxmlformats.org/officeDocument/2006/relationships/hyperlink" Target="https://leetcode.com/submissions/detail/1074679202/" TargetMode="External" Id="rId1452" /><Relationship Type="http://schemas.openxmlformats.org/officeDocument/2006/relationships/hyperlink" Target="https://leetcode.com/problems/word-ladder-ii/" TargetMode="External" Id="rId1453" /><Relationship Type="http://schemas.openxmlformats.org/officeDocument/2006/relationships/hyperlink" Target="https://leetcode.com/submissions/detail/1074682758/" TargetMode="External" Id="rId1454" /><Relationship Type="http://schemas.openxmlformats.org/officeDocument/2006/relationships/hyperlink" Target="https://leetcode.com/problems/word-ladder-ii/" TargetMode="External" Id="rId1455" /><Relationship Type="http://schemas.openxmlformats.org/officeDocument/2006/relationships/hyperlink" Target="https://leetcode.com/submissions/detail/1074683017/" TargetMode="External" Id="rId1456" /><Relationship Type="http://schemas.openxmlformats.org/officeDocument/2006/relationships/hyperlink" Target="https://leetcode.com/problems/word-ladder-ii/" TargetMode="External" Id="rId1457" /><Relationship Type="http://schemas.openxmlformats.org/officeDocument/2006/relationships/hyperlink" Target="https://leetcode.com/submissions/detail/1074684278/" TargetMode="External" Id="rId1458" /><Relationship Type="http://schemas.openxmlformats.org/officeDocument/2006/relationships/hyperlink" Target="https://leetcode.com/problems/number-of-distinct-islands/" TargetMode="External" Id="rId1459" /><Relationship Type="http://schemas.openxmlformats.org/officeDocument/2006/relationships/hyperlink" Target="https://leetcode.com/submissions/detail/1078223567/" TargetMode="External" Id="rId1460" /><Relationship Type="http://schemas.openxmlformats.org/officeDocument/2006/relationships/hyperlink" Target="https://leetcode.com/problems/binary-tree-maximum-path-sum/" TargetMode="External" Id="rId1461" /><Relationship Type="http://schemas.openxmlformats.org/officeDocument/2006/relationships/hyperlink" Target="https://leetcode.com/submissions/detail/1079157157/" TargetMode="External" Id="rId1462" /><Relationship Type="http://schemas.openxmlformats.org/officeDocument/2006/relationships/hyperlink" Target="https://leetcode.com/problems/two-sum/" TargetMode="External" Id="rId1463" /><Relationship Type="http://schemas.openxmlformats.org/officeDocument/2006/relationships/hyperlink" Target="https://leetcode.com/submissions/detail/1079247546/" TargetMode="External" Id="rId1464" /><Relationship Type="http://schemas.openxmlformats.org/officeDocument/2006/relationships/hyperlink" Target="https://leetcode.com/problems/alien-dictionary/" TargetMode="External" Id="rId1465" /><Relationship Type="http://schemas.openxmlformats.org/officeDocument/2006/relationships/hyperlink" Target="https://leetcode.com/submissions/detail/1079969864/" TargetMode="External" Id="rId1466" /><Relationship Type="http://schemas.openxmlformats.org/officeDocument/2006/relationships/hyperlink" Target="https://leetcode.com/problems/alien-dictionary/" TargetMode="External" Id="rId1467" /><Relationship Type="http://schemas.openxmlformats.org/officeDocument/2006/relationships/hyperlink" Target="https://leetcode.com/submissions/detail/1079974102/" TargetMode="External" Id="rId1468" /><Relationship Type="http://schemas.openxmlformats.org/officeDocument/2006/relationships/hyperlink" Target="https://leetcode.com/problems/alien-dictionary/" TargetMode="External" Id="rId1469" /><Relationship Type="http://schemas.openxmlformats.org/officeDocument/2006/relationships/hyperlink" Target="https://leetcode.com/submissions/detail/1080029994/" TargetMode="External" Id="rId1470" /><Relationship Type="http://schemas.openxmlformats.org/officeDocument/2006/relationships/hyperlink" Target="https://leetcode.com/problems/alien-dictionary/" TargetMode="External" Id="rId1471" /><Relationship Type="http://schemas.openxmlformats.org/officeDocument/2006/relationships/hyperlink" Target="https://leetcode.com/submissions/detail/1080032283/" TargetMode="External" Id="rId1472" /><Relationship Type="http://schemas.openxmlformats.org/officeDocument/2006/relationships/hyperlink" Target="https://leetcode.com/problems/valid-word-abbreviation/" TargetMode="External" Id="rId1473" /><Relationship Type="http://schemas.openxmlformats.org/officeDocument/2006/relationships/hyperlink" Target="https://leetcode.com/submissions/detail/1094782340/" TargetMode="External" Id="rId1474" /><Relationship Type="http://schemas.openxmlformats.org/officeDocument/2006/relationships/hyperlink" Target="https://leetcode.com/problems/nested-list-weight-sum/" TargetMode="External" Id="rId1475" /><Relationship Type="http://schemas.openxmlformats.org/officeDocument/2006/relationships/hyperlink" Target="https://leetcode.com/submissions/detail/1095575429/" TargetMode="External" Id="rId1476" /><Relationship Type="http://schemas.openxmlformats.org/officeDocument/2006/relationships/hyperlink" Target="https://leetcode.com/problems/making-a-large-island/" TargetMode="External" Id="rId1477" /><Relationship Type="http://schemas.openxmlformats.org/officeDocument/2006/relationships/hyperlink" Target="https://leetcode.com/submissions/detail/1097380291/" TargetMode="External" Id="rId1478" /><Relationship Type="http://schemas.openxmlformats.org/officeDocument/2006/relationships/hyperlink" Target="https://leetcode.com/problems/making-a-large-island/" TargetMode="External" Id="rId1479" /><Relationship Type="http://schemas.openxmlformats.org/officeDocument/2006/relationships/hyperlink" Target="https://leetcode.com/submissions/detail/1097406476/" TargetMode="External" Id="rId1480" /><Relationship Type="http://schemas.openxmlformats.org/officeDocument/2006/relationships/hyperlink" Target="https://leetcode.com/problems/making-a-large-island/" TargetMode="External" Id="rId1481" /><Relationship Type="http://schemas.openxmlformats.org/officeDocument/2006/relationships/hyperlink" Target="https://leetcode.com/submissions/detail/1097406644/" TargetMode="External" Id="rId1482" /><Relationship Type="http://schemas.openxmlformats.org/officeDocument/2006/relationships/hyperlink" Target="https://leetcode.com/problems/making-a-large-island/" TargetMode="External" Id="rId1483" /><Relationship Type="http://schemas.openxmlformats.org/officeDocument/2006/relationships/hyperlink" Target="https://leetcode.com/submissions/detail/1097406988/" TargetMode="External" Id="rId1484" /><Relationship Type="http://schemas.openxmlformats.org/officeDocument/2006/relationships/hyperlink" Target="https://leetcode.com/problems/minimum-add-to-make-parentheses-valid/" TargetMode="External" Id="rId1485" /><Relationship Type="http://schemas.openxmlformats.org/officeDocument/2006/relationships/hyperlink" Target="https://leetcode.com/submissions/detail/1097415373/" TargetMode="External" Id="rId1486" /><Relationship Type="http://schemas.openxmlformats.org/officeDocument/2006/relationships/hyperlink" Target="https://leetcode.com/problems/minimum-add-to-make-parentheses-valid/" TargetMode="External" Id="rId1487" /><Relationship Type="http://schemas.openxmlformats.org/officeDocument/2006/relationships/hyperlink" Target="https://leetcode.com/submissions/detail/1097415671/" TargetMode="External" Id="rId1488" /><Relationship Type="http://schemas.openxmlformats.org/officeDocument/2006/relationships/hyperlink" Target="https://leetcode.com/problems/k-closest-points-to-origin/" TargetMode="External" Id="rId1489" /><Relationship Type="http://schemas.openxmlformats.org/officeDocument/2006/relationships/hyperlink" Target="https://leetcode.com/submissions/detail/1097473741/" TargetMode="External" Id="rId1490" /><Relationship Type="http://schemas.openxmlformats.org/officeDocument/2006/relationships/hyperlink" Target="https://leetcode.com/problems/k-closest-points-to-origin/" TargetMode="External" Id="rId1491" /><Relationship Type="http://schemas.openxmlformats.org/officeDocument/2006/relationships/hyperlink" Target="https://leetcode.com/submissions/detail/1097493384/" TargetMode="External" Id="rId1492" /><Relationship Type="http://schemas.openxmlformats.org/officeDocument/2006/relationships/hyperlink" Target="https://leetcode.com/problems/sum-root-to-leaf-numbers/" TargetMode="External" Id="rId1493" /><Relationship Type="http://schemas.openxmlformats.org/officeDocument/2006/relationships/hyperlink" Target="https://leetcode.com/submissions/detail/1098027197/" TargetMode="External" Id="rId1494" /><Relationship Type="http://schemas.openxmlformats.org/officeDocument/2006/relationships/hyperlink" Target="https://leetcode.com/problems/binary-search/" TargetMode="External" Id="rId1495" /><Relationship Type="http://schemas.openxmlformats.org/officeDocument/2006/relationships/hyperlink" Target="https://leetcode.com/submissions/detail/1098061854/" TargetMode="External" Id="rId1496" /><Relationship Type="http://schemas.openxmlformats.org/officeDocument/2006/relationships/hyperlink" Target="https://leetcode.com/problems/binary-search/" TargetMode="External" Id="rId1497" /><Relationship Type="http://schemas.openxmlformats.org/officeDocument/2006/relationships/hyperlink" Target="https://leetcode.com/submissions/detail/1098072700/" TargetMode="External" Id="rId1498" /><Relationship Type="http://schemas.openxmlformats.org/officeDocument/2006/relationships/hyperlink" Target="https://leetcode.com/problems/binary-search/" TargetMode="External" Id="rId1499" /><Relationship Type="http://schemas.openxmlformats.org/officeDocument/2006/relationships/hyperlink" Target="https://leetcode.com/submissions/detail/1098074316/" TargetMode="External" Id="rId1500" /><Relationship Type="http://schemas.openxmlformats.org/officeDocument/2006/relationships/hyperlink" Target="https://leetcode.com/problems/binary-search/" TargetMode="External" Id="rId1501" /><Relationship Type="http://schemas.openxmlformats.org/officeDocument/2006/relationships/hyperlink" Target="https://leetcode.com/submissions/detail/1098074392/" TargetMode="External" Id="rId1502" /><Relationship Type="http://schemas.openxmlformats.org/officeDocument/2006/relationships/hyperlink" Target="https://leetcode.com/problems/move-zeroes/" TargetMode="External" Id="rId1503" /><Relationship Type="http://schemas.openxmlformats.org/officeDocument/2006/relationships/hyperlink" Target="https://leetcode.com/submissions/detail/1098725717/" TargetMode="External" Id="rId1504" /><Relationship Type="http://schemas.openxmlformats.org/officeDocument/2006/relationships/hyperlink" Target="https://leetcode.com/problems/move-zeroes/" TargetMode="External" Id="rId1505" /><Relationship Type="http://schemas.openxmlformats.org/officeDocument/2006/relationships/hyperlink" Target="https://leetcode.com/submissions/detail/1098732870/" TargetMode="External" Id="rId1506" /><Relationship Type="http://schemas.openxmlformats.org/officeDocument/2006/relationships/hyperlink" Target="https://leetcode.com/problems/toeplitz-matrix/" TargetMode="External" Id="rId1507" /><Relationship Type="http://schemas.openxmlformats.org/officeDocument/2006/relationships/hyperlink" Target="https://leetcode.com/submissions/detail/1098746900/" TargetMode="External" Id="rId1508" /><Relationship Type="http://schemas.openxmlformats.org/officeDocument/2006/relationships/hyperlink" Target="https://leetcode.com/problems/binary-tree-right-side-view/" TargetMode="External" Id="rId1509" /><Relationship Type="http://schemas.openxmlformats.org/officeDocument/2006/relationships/hyperlink" Target="https://leetcode.com/submissions/detail/1099466326/" TargetMode="External" Id="rId1510" /><Relationship Type="http://schemas.openxmlformats.org/officeDocument/2006/relationships/hyperlink" Target="https://leetcode.com/problems/vertical-order-traversal-of-a-binary-tree/" TargetMode="External" Id="rId1511" /><Relationship Type="http://schemas.openxmlformats.org/officeDocument/2006/relationships/hyperlink" Target="https://leetcode.com/submissions/detail/1099525947/" TargetMode="External" Id="rId1512" /><Relationship Type="http://schemas.openxmlformats.org/officeDocument/2006/relationships/hyperlink" Target="https://leetcode.com/problems/move-zeroes/" TargetMode="External" Id="rId1513" /><Relationship Type="http://schemas.openxmlformats.org/officeDocument/2006/relationships/hyperlink" Target="https://leetcode.com/submissions/detail/1099547386/" TargetMode="External" Id="rId1514" /><Relationship Type="http://schemas.openxmlformats.org/officeDocument/2006/relationships/hyperlink" Target="https://leetcode.com/problems/move-zeroes/" TargetMode="External" Id="rId1515" /><Relationship Type="http://schemas.openxmlformats.org/officeDocument/2006/relationships/hyperlink" Target="https://leetcode.com/submissions/detail/1099548511/" TargetMode="External" Id="rId1516" /><Relationship Type="http://schemas.openxmlformats.org/officeDocument/2006/relationships/hyperlink" Target="https://leetcode.com/problems/next-permutation/" TargetMode="External" Id="rId1517" /><Relationship Type="http://schemas.openxmlformats.org/officeDocument/2006/relationships/hyperlink" Target="https://leetcode.com/submissions/detail/1099554668/" TargetMode="External" Id="rId1518" /><Relationship Type="http://schemas.openxmlformats.org/officeDocument/2006/relationships/hyperlink" Target="https://leetcode.com/problems/merge-sorted-array/" TargetMode="External" Id="rId1519" /><Relationship Type="http://schemas.openxmlformats.org/officeDocument/2006/relationships/hyperlink" Target="https://leetcode.com/submissions/detail/1099580916/" TargetMode="External" Id="rId1520" /><Relationship Type="http://schemas.openxmlformats.org/officeDocument/2006/relationships/hyperlink" Target="https://leetcode.com/problems/number-of-islands/" TargetMode="External" Id="rId1521" /><Relationship Type="http://schemas.openxmlformats.org/officeDocument/2006/relationships/hyperlink" Target="https://leetcode.com/submissions/detail/1099593783/" TargetMode="External" Id="rId1522" /><Relationship Type="http://schemas.openxmlformats.org/officeDocument/2006/relationships/hyperlink" Target="https://leetcode.com/problems/letter-combinations-of-a-phone-number/" TargetMode="External" Id="rId1523" /><Relationship Type="http://schemas.openxmlformats.org/officeDocument/2006/relationships/hyperlink" Target="https://leetcode.com/submissions/detail/1099689974/" TargetMode="External" Id="rId1524" /><Relationship Type="http://schemas.openxmlformats.org/officeDocument/2006/relationships/hyperlink" Target="https://leetcode.com/problems/valid-palindrome/" TargetMode="External" Id="rId1525" /><Relationship Type="http://schemas.openxmlformats.org/officeDocument/2006/relationships/hyperlink" Target="https://leetcode.com/submissions/detail/1099691668/" TargetMode="External" Id="rId1526" /><Relationship Type="http://schemas.openxmlformats.org/officeDocument/2006/relationships/hyperlink" Target="https://leetcode.com/problems/maximum-swap/" TargetMode="External" Id="rId1527" /><Relationship Type="http://schemas.openxmlformats.org/officeDocument/2006/relationships/hyperlink" Target="https://leetcode.com/submissions/detail/1099721690/" TargetMode="External" Id="rId1528" /><Relationship Type="http://schemas.openxmlformats.org/officeDocument/2006/relationships/hyperlink" Target="https://leetcode.com/problems/merge-intervals/" TargetMode="External" Id="rId1529" /><Relationship Type="http://schemas.openxmlformats.org/officeDocument/2006/relationships/hyperlink" Target="https://leetcode.com/submissions/detail/1099770280/" TargetMode="External" Id="rId1530" /><Relationship Type="http://schemas.openxmlformats.org/officeDocument/2006/relationships/hyperlink" Target="https://leetcode.com/problems/interval-list-intersections/" TargetMode="External" Id="rId1531" /><Relationship Type="http://schemas.openxmlformats.org/officeDocument/2006/relationships/hyperlink" Target="https://leetcode.com/submissions/detail/1100140524/" TargetMode="External" Id="rId1532" /><Relationship Type="http://schemas.openxmlformats.org/officeDocument/2006/relationships/hyperlink" Target="https://leetcode.com/problems/merge-k-sorted-lists/" TargetMode="External" Id="rId1533" /><Relationship Type="http://schemas.openxmlformats.org/officeDocument/2006/relationships/hyperlink" Target="https://leetcode.com/submissions/detail/1100251601/" TargetMode="External" Id="rId1534" /><Relationship Type="http://schemas.openxmlformats.org/officeDocument/2006/relationships/hyperlink" Target="https://leetcode.com/problems/best-meeting-point/" TargetMode="External" Id="rId1535" /><Relationship Type="http://schemas.openxmlformats.org/officeDocument/2006/relationships/hyperlink" Target="https://leetcode.com/submissions/detail/1100314137/" TargetMode="External" Id="rId1536" /><Relationship Type="http://schemas.openxmlformats.org/officeDocument/2006/relationships/hyperlink" Target="https://leetcode.com/problems/best-meeting-point/" TargetMode="External" Id="rId1537" /><Relationship Type="http://schemas.openxmlformats.org/officeDocument/2006/relationships/hyperlink" Target="https://leetcode.com/submissions/detail/1100321094/" TargetMode="External" Id="rId1538" /><Relationship Type="http://schemas.openxmlformats.org/officeDocument/2006/relationships/hyperlink" Target="https://leetcode.com/problems/closest-binary-search-tree-value/" TargetMode="External" Id="rId1539" /><Relationship Type="http://schemas.openxmlformats.org/officeDocument/2006/relationships/hyperlink" Target="https://leetcode.com/submissions/detail/1100371549/" TargetMode="External" Id="rId1540" /><Relationship Type="http://schemas.openxmlformats.org/officeDocument/2006/relationships/hyperlink" Target="https://leetcode.com/problems/closest-binary-search-tree-value/" TargetMode="External" Id="rId1541" /><Relationship Type="http://schemas.openxmlformats.org/officeDocument/2006/relationships/hyperlink" Target="https://leetcode.com/submissions/detail/1100371698/" TargetMode="External" Id="rId1542" /><Relationship Type="http://schemas.openxmlformats.org/officeDocument/2006/relationships/hyperlink" Target="https://leetcode.com/problems/closest-binary-search-tree-value/" TargetMode="External" Id="rId1543" /><Relationship Type="http://schemas.openxmlformats.org/officeDocument/2006/relationships/hyperlink" Target="https://leetcode.com/submissions/detail/1100373877/" TargetMode="External" Id="rId1544" /><Relationship Type="http://schemas.openxmlformats.org/officeDocument/2006/relationships/hyperlink" Target="https://leetcode.com/problems/closest-binary-search-tree-value/" TargetMode="External" Id="rId1545" /><Relationship Type="http://schemas.openxmlformats.org/officeDocument/2006/relationships/hyperlink" Target="https://leetcode.com/submissions/detail/1100374398/" TargetMode="External" Id="rId1546" /><Relationship Type="http://schemas.openxmlformats.org/officeDocument/2006/relationships/hyperlink" Target="https://leetcode.com/problems/closest-binary-search-tree-value/" TargetMode="External" Id="rId1547" /><Relationship Type="http://schemas.openxmlformats.org/officeDocument/2006/relationships/hyperlink" Target="https://leetcode.com/submissions/detail/1100374686/" TargetMode="External" Id="rId1548" /><Relationship Type="http://schemas.openxmlformats.org/officeDocument/2006/relationships/hyperlink" Target="https://leetcode.com/problems/closest-binary-search-tree-value/" TargetMode="External" Id="rId1549" /><Relationship Type="http://schemas.openxmlformats.org/officeDocument/2006/relationships/hyperlink" Target="https://leetcode.com/submissions/detail/1100375199/" TargetMode="External" Id="rId1550" /><Relationship Type="http://schemas.openxmlformats.org/officeDocument/2006/relationships/hyperlink" Target="https://leetcode.com/problems/closest-binary-search-tree-value/" TargetMode="External" Id="rId1551" /><Relationship Type="http://schemas.openxmlformats.org/officeDocument/2006/relationships/hyperlink" Target="https://leetcode.com/submissions/detail/1100375309/" TargetMode="External" Id="rId1552" /><Relationship Type="http://schemas.openxmlformats.org/officeDocument/2006/relationships/hyperlink" Target="https://leetcode.com/problems/alien-dictionary/" TargetMode="External" Id="rId1553" /><Relationship Type="http://schemas.openxmlformats.org/officeDocument/2006/relationships/hyperlink" Target="https://leetcode.com/submissions/detail/1100930154/" TargetMode="External" Id="rId1554" /><Relationship Type="http://schemas.openxmlformats.org/officeDocument/2006/relationships/hyperlink" Target="https://leetcode.com/problems/alien-dictionary/" TargetMode="External" Id="rId1555" /><Relationship Type="http://schemas.openxmlformats.org/officeDocument/2006/relationships/hyperlink" Target="https://leetcode.com/submissions/detail/1100933431/" TargetMode="External" Id="rId1556" /><Relationship Type="http://schemas.openxmlformats.org/officeDocument/2006/relationships/hyperlink" Target="https://leetcode.com/problems/alien-dictionary/" TargetMode="External" Id="rId1557" /><Relationship Type="http://schemas.openxmlformats.org/officeDocument/2006/relationships/hyperlink" Target="https://leetcode.com/submissions/detail/1100934975/" TargetMode="External" Id="rId1558" /><Relationship Type="http://schemas.openxmlformats.org/officeDocument/2006/relationships/hyperlink" Target="https://leetcode.com/problems/alien-dictionary/" TargetMode="External" Id="rId1559" /><Relationship Type="http://schemas.openxmlformats.org/officeDocument/2006/relationships/hyperlink" Target="https://leetcode.com/submissions/detail/1100935228/" TargetMode="External" Id="rId1560" /><Relationship Type="http://schemas.openxmlformats.org/officeDocument/2006/relationships/hyperlink" Target="https://leetcode.com/problems/alien-dictionary/" TargetMode="External" Id="rId1561" /><Relationship Type="http://schemas.openxmlformats.org/officeDocument/2006/relationships/hyperlink" Target="https://leetcode.com/submissions/detail/1100935727/" TargetMode="External" Id="rId1562" /><Relationship Type="http://schemas.openxmlformats.org/officeDocument/2006/relationships/hyperlink" Target="https://leetcode.com/problems/alien-dictionary/" TargetMode="External" Id="rId1563" /><Relationship Type="http://schemas.openxmlformats.org/officeDocument/2006/relationships/hyperlink" Target="https://leetcode.com/submissions/detail/1100936608/" TargetMode="External" Id="rId1564" /><Relationship Type="http://schemas.openxmlformats.org/officeDocument/2006/relationships/hyperlink" Target="https://leetcode.com/problems/alien-dictionary/" TargetMode="External" Id="rId1565" /><Relationship Type="http://schemas.openxmlformats.org/officeDocument/2006/relationships/hyperlink" Target="https://leetcode.com/submissions/detail/1100937488/" TargetMode="External" Id="rId1566" /><Relationship Type="http://schemas.openxmlformats.org/officeDocument/2006/relationships/hyperlink" Target="https://leetcode.com/problems/alien-dictionary/" TargetMode="External" Id="rId1567" /><Relationship Type="http://schemas.openxmlformats.org/officeDocument/2006/relationships/hyperlink" Target="https://leetcode.com/submissions/detail/1100937709/" TargetMode="External" Id="rId1568" /><Relationship Type="http://schemas.openxmlformats.org/officeDocument/2006/relationships/hyperlink" Target="https://leetcode.com/problems/sliding-window-median/" TargetMode="External" Id="rId1569" /><Relationship Type="http://schemas.openxmlformats.org/officeDocument/2006/relationships/hyperlink" Target="https://leetcode.com/submissions/detail/1100992387/" TargetMode="External" Id="rId1570" /><Relationship Type="http://schemas.openxmlformats.org/officeDocument/2006/relationships/hyperlink" Target="https://leetcode.com/problems/sliding-window-median/" TargetMode="External" Id="rId1571" /><Relationship Type="http://schemas.openxmlformats.org/officeDocument/2006/relationships/hyperlink" Target="https://leetcode.com/submissions/detail/1100993055/" TargetMode="External" Id="rId1572" /><Relationship Type="http://schemas.openxmlformats.org/officeDocument/2006/relationships/hyperlink" Target="https://leetcode.com/problems/contains-duplicate/" TargetMode="External" Id="rId1573" /><Relationship Type="http://schemas.openxmlformats.org/officeDocument/2006/relationships/hyperlink" Target="https://leetcode.com/submissions/detail/1101037724/" TargetMode="External" Id="rId1574" /><Relationship Type="http://schemas.openxmlformats.org/officeDocument/2006/relationships/hyperlink" Target="https://leetcode.com/problems/contains-duplicate-ii/" TargetMode="External" Id="rId1575" /><Relationship Type="http://schemas.openxmlformats.org/officeDocument/2006/relationships/hyperlink" Target="https://leetcode.com/submissions/detail/1101040393/" TargetMode="External" Id="rId1576" /><Relationship Type="http://schemas.openxmlformats.org/officeDocument/2006/relationships/hyperlink" Target="https://leetcode.com/problems/longest-substring-without-repeating-characters/" TargetMode="External" Id="rId1577" /><Relationship Type="http://schemas.openxmlformats.org/officeDocument/2006/relationships/hyperlink" Target="https://leetcode.com/submissions/detail/1101104428/" TargetMode="External" Id="rId1578" /><Relationship Type="http://schemas.openxmlformats.org/officeDocument/2006/relationships/hyperlink" Target="https://leetcode.com/problems/maximum-average-subarray-i/" TargetMode="External" Id="rId1579" /><Relationship Type="http://schemas.openxmlformats.org/officeDocument/2006/relationships/hyperlink" Target="https://leetcode.com/submissions/detail/1101111135/" TargetMode="External" Id="rId1580" /><Relationship Type="http://schemas.openxmlformats.org/officeDocument/2006/relationships/hyperlink" Target="https://leetcode.com/problems/minimum-window-substring/" TargetMode="External" Id="rId1581" /><Relationship Type="http://schemas.openxmlformats.org/officeDocument/2006/relationships/hyperlink" Target="https://leetcode.com/submissions/detail/1101446851/" TargetMode="External" Id="rId1582" /><Relationship Type="http://schemas.openxmlformats.org/officeDocument/2006/relationships/hyperlink" Target="https://leetcode.com/problems/minimum-window-substring/" TargetMode="External" Id="rId1583" /><Relationship Type="http://schemas.openxmlformats.org/officeDocument/2006/relationships/hyperlink" Target="https://leetcode.com/submissions/detail/1101451534/" TargetMode="External" Id="rId1584" /><Relationship Type="http://schemas.openxmlformats.org/officeDocument/2006/relationships/hyperlink" Target="https://leetcode.com/problems/max-consecutive-ones-iii/" TargetMode="External" Id="rId1585" /><Relationship Type="http://schemas.openxmlformats.org/officeDocument/2006/relationships/hyperlink" Target="https://leetcode.com/submissions/detail/1101456423/" TargetMode="External" Id="rId1586" /><Relationship Type="http://schemas.openxmlformats.org/officeDocument/2006/relationships/hyperlink" Target="https://leetcode.com/problems/word-break-ii/" TargetMode="External" Id="rId1587" /><Relationship Type="http://schemas.openxmlformats.org/officeDocument/2006/relationships/hyperlink" Target="https://leetcode.com/submissions/detail/1101500228/" TargetMode="External" Id="rId1588" /><Relationship Type="http://schemas.openxmlformats.org/officeDocument/2006/relationships/hyperlink" Target="https://leetcode.com/problems/sliding-window-maximum/" TargetMode="External" Id="rId1589" /><Relationship Type="http://schemas.openxmlformats.org/officeDocument/2006/relationships/hyperlink" Target="https://leetcode.com/submissions/detail/1101605330/" TargetMode="External" Id="rId1590" /><Relationship Type="http://schemas.openxmlformats.org/officeDocument/2006/relationships/hyperlink" Target="https://leetcode.com/problems/sliding-window-maximum/" TargetMode="External" Id="rId1591" /><Relationship Type="http://schemas.openxmlformats.org/officeDocument/2006/relationships/hyperlink" Target="https://leetcode.com/submissions/detail/1101605417/" TargetMode="External" Id="rId1592" /><Relationship Type="http://schemas.openxmlformats.org/officeDocument/2006/relationships/hyperlink" Target="https://leetcode.com/problems/sliding-window-maximum/" TargetMode="External" Id="rId1593" /><Relationship Type="http://schemas.openxmlformats.org/officeDocument/2006/relationships/hyperlink" Target="https://leetcode.com/submissions/detail/1101605458/" TargetMode="External" Id="rId1594" /><Relationship Type="http://schemas.openxmlformats.org/officeDocument/2006/relationships/hyperlink" Target="https://leetcode.com/problems/find-first-and-last-position-of-element-in-sorted-array/" TargetMode="External" Id="rId1595" /><Relationship Type="http://schemas.openxmlformats.org/officeDocument/2006/relationships/hyperlink" Target="https://leetcode.com/submissions/detail/1101715842/" TargetMode="External" Id="rId1596" /><Relationship Type="http://schemas.openxmlformats.org/officeDocument/2006/relationships/hyperlink" Target="https://leetcode.com/problems/course-schedule/" TargetMode="External" Id="rId1597" /><Relationship Type="http://schemas.openxmlformats.org/officeDocument/2006/relationships/hyperlink" Target="https://leetcode.com/submissions/detail/1101773559/" TargetMode="External" Id="rId1598" /><Relationship Type="http://schemas.openxmlformats.org/officeDocument/2006/relationships/hyperlink" Target="https://leetcode.com/problems/course-schedule/" TargetMode="External" Id="rId1599" /><Relationship Type="http://schemas.openxmlformats.org/officeDocument/2006/relationships/hyperlink" Target="https://leetcode.com/submissions/detail/1101782525/" TargetMode="External" Id="rId1600" /><Relationship Type="http://schemas.openxmlformats.org/officeDocument/2006/relationships/hyperlink" Target="https://leetcode.com/problems/course-schedule/" TargetMode="External" Id="rId1601" /><Relationship Type="http://schemas.openxmlformats.org/officeDocument/2006/relationships/hyperlink" Target="https://leetcode.com/submissions/detail/1101782848/" TargetMode="External" Id="rId1602" /><Relationship Type="http://schemas.openxmlformats.org/officeDocument/2006/relationships/hyperlink" Target="https://leetcode.com/problems/top-k-frequent-elements/" TargetMode="External" Id="rId1603" /><Relationship Type="http://schemas.openxmlformats.org/officeDocument/2006/relationships/hyperlink" Target="https://leetcode.com/submissions/detail/1101830813/" TargetMode="External" Id="rId1604" /><Relationship Type="http://schemas.openxmlformats.org/officeDocument/2006/relationships/hyperlink" Target="https://leetcode.com/problems/top-k-frequent-elements/" TargetMode="External" Id="rId1605" /><Relationship Type="http://schemas.openxmlformats.org/officeDocument/2006/relationships/hyperlink" Target="https://leetcode.com/submissions/detail/1101831528/" TargetMode="External" Id="rId1606" /><Relationship Type="http://schemas.openxmlformats.org/officeDocument/2006/relationships/hyperlink" Target="https://leetcode.com/problems/top-k-frequent-elements/" TargetMode="External" Id="rId1607" /><Relationship Type="http://schemas.openxmlformats.org/officeDocument/2006/relationships/hyperlink" Target="https://leetcode.com/submissions/detail/1101831932/" TargetMode="External" Id="rId1608" /><Relationship Type="http://schemas.openxmlformats.org/officeDocument/2006/relationships/hyperlink" Target="https://leetcode.com/problems/top-k-frequent-elements/" TargetMode="External" Id="rId1609" /><Relationship Type="http://schemas.openxmlformats.org/officeDocument/2006/relationships/hyperlink" Target="https://leetcode.com/submissions/detail/1101836944/" TargetMode="External" Id="rId1610" /><Relationship Type="http://schemas.openxmlformats.org/officeDocument/2006/relationships/hyperlink" Target="https://leetcode.com/problems/top-k-frequent-elements/" TargetMode="External" Id="rId1611" /><Relationship Type="http://schemas.openxmlformats.org/officeDocument/2006/relationships/hyperlink" Target="https://leetcode.com/submissions/detail/1101837215/" TargetMode="External" Id="rId1612" /><Relationship Type="http://schemas.openxmlformats.org/officeDocument/2006/relationships/hyperlink" Target="https://leetcode.com/problems/top-k-frequent-elements/" TargetMode="External" Id="rId1613" /><Relationship Type="http://schemas.openxmlformats.org/officeDocument/2006/relationships/hyperlink" Target="https://leetcode.com/submissions/detail/1102113628/" TargetMode="External" Id="rId1614" /><Relationship Type="http://schemas.openxmlformats.org/officeDocument/2006/relationships/hyperlink" Target="https://leetcode.com/problems/the-maze/" TargetMode="External" Id="rId1615" /><Relationship Type="http://schemas.openxmlformats.org/officeDocument/2006/relationships/hyperlink" Target="https://leetcode.com/submissions/detail/1102135899/" TargetMode="External" Id="rId1616" /><Relationship Type="http://schemas.openxmlformats.org/officeDocument/2006/relationships/hyperlink" Target="https://leetcode.com/problems/the-maze/" TargetMode="External" Id="rId1617" /><Relationship Type="http://schemas.openxmlformats.org/officeDocument/2006/relationships/hyperlink" Target="https://leetcode.com/submissions/detail/1102138705/" TargetMode="External" Id="rId1618" /><Relationship Type="http://schemas.openxmlformats.org/officeDocument/2006/relationships/hyperlink" Target="https://leetcode.com/problems/capacity-to-ship-packages-within-d-days/" TargetMode="External" Id="rId1619" /><Relationship Type="http://schemas.openxmlformats.org/officeDocument/2006/relationships/hyperlink" Target="https://leetcode.com/submissions/detail/1102276611/" TargetMode="External" Id="rId1620" /><Relationship Type="http://schemas.openxmlformats.org/officeDocument/2006/relationships/hyperlink" Target="https://leetcode.com/problems/kth-largest-element-in-an-array/" TargetMode="External" Id="rId1621" /><Relationship Type="http://schemas.openxmlformats.org/officeDocument/2006/relationships/hyperlink" Target="https://leetcode.com/submissions/detail/1102762670/" TargetMode="External" Id="rId1622" /><Relationship Type="http://schemas.openxmlformats.org/officeDocument/2006/relationships/hyperlink" Target="https://leetcode.com/problems/kth-largest-element-in-an-array/" TargetMode="External" Id="rId1623" /><Relationship Type="http://schemas.openxmlformats.org/officeDocument/2006/relationships/hyperlink" Target="https://leetcode.com/submissions/detail/1102763129/" TargetMode="External" Id="rId1624" /><Relationship Type="http://schemas.openxmlformats.org/officeDocument/2006/relationships/hyperlink" Target="https://leetcode.com/problems/random-pick-with-weight/" TargetMode="External" Id="rId1625" /><Relationship Type="http://schemas.openxmlformats.org/officeDocument/2006/relationships/hyperlink" Target="https://leetcode.com/submissions/detail/1102932083/" TargetMode="External" Id="rId1626" /><Relationship Type="http://schemas.openxmlformats.org/officeDocument/2006/relationships/hyperlink" Target="https://leetcode.com/problems/minimum-remove-to-make-valid-parentheses/" TargetMode="External" Id="rId1627" /><Relationship Type="http://schemas.openxmlformats.org/officeDocument/2006/relationships/hyperlink" Target="https://leetcode.com/submissions/detail/1103050513/" TargetMode="External" Id="rId1628" /><Relationship Type="http://schemas.openxmlformats.org/officeDocument/2006/relationships/hyperlink" Target="https://leetcode.com/problems/lowest-common-ancestor-of-a-binary-tree-iii/" TargetMode="External" Id="rId1629" /><Relationship Type="http://schemas.openxmlformats.org/officeDocument/2006/relationships/hyperlink" Target="https://leetcode.com/submissions/detail/1103550089/" TargetMode="External" Id="rId1630" /><Relationship Type="http://schemas.openxmlformats.org/officeDocument/2006/relationships/hyperlink" Target="https://leetcode.com/problems/move-zeroes/" TargetMode="External" Id="rId1631" /><Relationship Type="http://schemas.openxmlformats.org/officeDocument/2006/relationships/hyperlink" Target="https://leetcode.com/submissions/detail/1103569067/" TargetMode="External" Id="rId1632" /><Relationship Type="http://schemas.openxmlformats.org/officeDocument/2006/relationships/hyperlink" Target="https://leetcode.com/problems/move-zeroes/" TargetMode="External" Id="rId1633" /><Relationship Type="http://schemas.openxmlformats.org/officeDocument/2006/relationships/hyperlink" Target="https://leetcode.com/submissions/detail/1103569587/" TargetMode="External" Id="rId1634" /><Relationship Type="http://schemas.openxmlformats.org/officeDocument/2006/relationships/hyperlink" Target="https://leetcode.com/problems/find-peak-element/" TargetMode="External" Id="rId1635" /><Relationship Type="http://schemas.openxmlformats.org/officeDocument/2006/relationships/hyperlink" Target="https://leetcode.com/submissions/detail/1103579764/" TargetMode="External" Id="rId1636" /><Relationship Type="http://schemas.openxmlformats.org/officeDocument/2006/relationships/hyperlink" Target="https://leetcode.com/problems/find-peak-element/" TargetMode="External" Id="rId1637" /><Relationship Type="http://schemas.openxmlformats.org/officeDocument/2006/relationships/hyperlink" Target="https://leetcode.com/submissions/detail/1103580103/" TargetMode="External" Id="rId1638" /><Relationship Type="http://schemas.openxmlformats.org/officeDocument/2006/relationships/hyperlink" Target="https://leetcode.com/problems/find-peak-element/" TargetMode="External" Id="rId1639" /><Relationship Type="http://schemas.openxmlformats.org/officeDocument/2006/relationships/hyperlink" Target="https://leetcode.com/submissions/detail/1103587049/" TargetMode="External" Id="rId1640" /><Relationship Type="http://schemas.openxmlformats.org/officeDocument/2006/relationships/hyperlink" Target="https://leetcode.com/problems/vertical-order-traversal-of-a-binary-tree/" TargetMode="External" Id="rId1641" /><Relationship Type="http://schemas.openxmlformats.org/officeDocument/2006/relationships/hyperlink" Target="https://leetcode.com/submissions/detail/1103647758/" TargetMode="External" Id="rId1642" /><Relationship Type="http://schemas.openxmlformats.org/officeDocument/2006/relationships/hyperlink" Target="https://leetcode.com/problems/add-strings/" TargetMode="External" Id="rId1643" /><Relationship Type="http://schemas.openxmlformats.org/officeDocument/2006/relationships/hyperlink" Target="https://leetcode.com/submissions/detail/1103708182/" TargetMode="External" Id="rId1644" /><Relationship Type="http://schemas.openxmlformats.org/officeDocument/2006/relationships/hyperlink" Target="https://leetcode.com/problems/add-binary/" TargetMode="External" Id="rId1645" /><Relationship Type="http://schemas.openxmlformats.org/officeDocument/2006/relationships/hyperlink" Target="https://leetcode.com/submissions/detail/1103721725/" TargetMode="External" Id="rId1646" /><Relationship Type="http://schemas.openxmlformats.org/officeDocument/2006/relationships/hyperlink" Target="https://leetcode.com/problems/add-binary/" TargetMode="External" Id="rId1647" /><Relationship Type="http://schemas.openxmlformats.org/officeDocument/2006/relationships/hyperlink" Target="https://leetcode.com/submissions/detail/1103721779/" TargetMode="External" Id="rId1648" /><Relationship Type="http://schemas.openxmlformats.org/officeDocument/2006/relationships/hyperlink" Target="https://leetcode.com/problems/sum-root-to-leaf-numbers/" TargetMode="External" Id="rId1649" /><Relationship Type="http://schemas.openxmlformats.org/officeDocument/2006/relationships/hyperlink" Target="https://leetcode.com/submissions/detail/1103750814/" TargetMode="External" Id="rId1650" /><Relationship Type="http://schemas.openxmlformats.org/officeDocument/2006/relationships/hyperlink" Target="https://leetcode.com/problems/copy-list-with-random-pointer/" TargetMode="External" Id="rId1651" /><Relationship Type="http://schemas.openxmlformats.org/officeDocument/2006/relationships/hyperlink" Target="https://leetcode.com/submissions/detail/1103788126/" TargetMode="External" Id="rId1652" /><Relationship Type="http://schemas.openxmlformats.org/officeDocument/2006/relationships/hyperlink" Target="https://leetcode.com/problems/copy-list-with-random-pointer/" TargetMode="External" Id="rId1653" /><Relationship Type="http://schemas.openxmlformats.org/officeDocument/2006/relationships/hyperlink" Target="https://leetcode.com/submissions/detail/1103788203/" TargetMode="External" Id="rId1654" /><Relationship Type="http://schemas.openxmlformats.org/officeDocument/2006/relationships/hyperlink" Target="https://leetcode.com/problems/merge-intervals/" TargetMode="External" Id="rId1655" /><Relationship Type="http://schemas.openxmlformats.org/officeDocument/2006/relationships/hyperlink" Target="https://leetcode.com/submissions/detail/1103883604/" TargetMode="External" Id="rId1656" /><Relationship Type="http://schemas.openxmlformats.org/officeDocument/2006/relationships/hyperlink" Target="https://leetcode.com/problems/merge-intervals/" TargetMode="External" Id="rId1657" /><Relationship Type="http://schemas.openxmlformats.org/officeDocument/2006/relationships/hyperlink" Target="https://leetcode.com/submissions/detail/1103884052/" TargetMode="External" Id="rId1658" /><Relationship Type="http://schemas.openxmlformats.org/officeDocument/2006/relationships/hyperlink" Target="https://leetcode.com/problems/merge-intervals/" TargetMode="External" Id="rId1659" /><Relationship Type="http://schemas.openxmlformats.org/officeDocument/2006/relationships/hyperlink" Target="https://leetcode.com/submissions/detail/1103884172/" TargetMode="External" Id="rId1660" /><Relationship Type="http://schemas.openxmlformats.org/officeDocument/2006/relationships/hyperlink" Target="https://leetcode.com/problems/merge-intervals/" TargetMode="External" Id="rId1661" /><Relationship Type="http://schemas.openxmlformats.org/officeDocument/2006/relationships/hyperlink" Target="https://leetcode.com/submissions/detail/1103884432/" TargetMode="External" Id="rId1662" /><Relationship Type="http://schemas.openxmlformats.org/officeDocument/2006/relationships/hyperlink" Target="https://leetcode.com/problems/k-closest-points-to-origin/" TargetMode="External" Id="rId1663" /><Relationship Type="http://schemas.openxmlformats.org/officeDocument/2006/relationships/hyperlink" Target="https://leetcode.com/submissions/detail/1103898500/" TargetMode="External" Id="rId1664" /><Relationship Type="http://schemas.openxmlformats.org/officeDocument/2006/relationships/hyperlink" Target="https://leetcode.com/problems/k-closest-points-to-origin/" TargetMode="External" Id="rId1665" /><Relationship Type="http://schemas.openxmlformats.org/officeDocument/2006/relationships/hyperlink" Target="https://leetcode.com/submissions/detail/1103914155/" TargetMode="External" Id="rId1666" /><Relationship Type="http://schemas.openxmlformats.org/officeDocument/2006/relationships/hyperlink" Target="https://leetcode.com/problems/k-closest-points-to-origin/" TargetMode="External" Id="rId1667" /><Relationship Type="http://schemas.openxmlformats.org/officeDocument/2006/relationships/hyperlink" Target="https://leetcode.com/submissions/detail/1103915863/" TargetMode="External" Id="rId1668" /><Relationship Type="http://schemas.openxmlformats.org/officeDocument/2006/relationships/hyperlink" Target="https://leetcode.com/problems/k-closest-points-to-origin/" TargetMode="External" Id="rId1669" /><Relationship Type="http://schemas.openxmlformats.org/officeDocument/2006/relationships/hyperlink" Target="https://leetcode.com/submissions/detail/1103916168/" TargetMode="External" Id="rId1670" /><Relationship Type="http://schemas.openxmlformats.org/officeDocument/2006/relationships/hyperlink" Target="https://leetcode.com/problems/k-closest-points-to-origin/" TargetMode="External" Id="rId1671" /><Relationship Type="http://schemas.openxmlformats.org/officeDocument/2006/relationships/hyperlink" Target="https://leetcode.com/submissions/detail/1103919192/" TargetMode="External" Id="rId1672" /><Relationship Type="http://schemas.openxmlformats.org/officeDocument/2006/relationships/hyperlink" Target="https://leetcode.com/problems/k-closest-points-to-origin/" TargetMode="External" Id="rId1673" /><Relationship Type="http://schemas.openxmlformats.org/officeDocument/2006/relationships/hyperlink" Target="https://leetcode.com/submissions/detail/1103921868/" TargetMode="External" Id="rId1674" /><Relationship Type="http://schemas.openxmlformats.org/officeDocument/2006/relationships/hyperlink" Target="https://leetcode.com/problems/k-closest-points-to-origin/" TargetMode="External" Id="rId1675" /><Relationship Type="http://schemas.openxmlformats.org/officeDocument/2006/relationships/hyperlink" Target="https://leetcode.com/submissions/detail/1103922048/" TargetMode="External" Id="rId1676" /><Relationship Type="http://schemas.openxmlformats.org/officeDocument/2006/relationships/hyperlink" Target="https://leetcode.com/problems/k-closest-points-to-origin/" TargetMode="External" Id="rId1677" /><Relationship Type="http://schemas.openxmlformats.org/officeDocument/2006/relationships/hyperlink" Target="https://leetcode.com/submissions/detail/1103923083/" TargetMode="External" Id="rId1678" /><Relationship Type="http://schemas.openxmlformats.org/officeDocument/2006/relationships/hyperlink" Target="https://leetcode.com/problems/k-closest-points-to-origin/" TargetMode="External" Id="rId1679" /><Relationship Type="http://schemas.openxmlformats.org/officeDocument/2006/relationships/hyperlink" Target="https://leetcode.com/submissions/detail/1103923243/" TargetMode="External" Id="rId1680" /><Relationship Type="http://schemas.openxmlformats.org/officeDocument/2006/relationships/hyperlink" Target="https://leetcode.com/problems/k-closest-points-to-origin/" TargetMode="External" Id="rId1681" /><Relationship Type="http://schemas.openxmlformats.org/officeDocument/2006/relationships/hyperlink" Target="https://leetcode.com/submissions/detail/1103926441/" TargetMode="External" Id="rId1682" /><Relationship Type="http://schemas.openxmlformats.org/officeDocument/2006/relationships/hyperlink" Target="https://leetcode.com/problems/powx-n/" TargetMode="External" Id="rId1683" /><Relationship Type="http://schemas.openxmlformats.org/officeDocument/2006/relationships/hyperlink" Target="https://leetcode.com/submissions/detail/1104243702/" TargetMode="External" Id="rId1684" /><Relationship Type="http://schemas.openxmlformats.org/officeDocument/2006/relationships/hyperlink" Target="https://leetcode.com/problems/powx-n/" TargetMode="External" Id="rId1685" /><Relationship Type="http://schemas.openxmlformats.org/officeDocument/2006/relationships/hyperlink" Target="https://leetcode.com/submissions/detail/1104243758/" TargetMode="External" Id="rId1686" /><Relationship Type="http://schemas.openxmlformats.org/officeDocument/2006/relationships/hyperlink" Target="https://leetcode.com/problems/shortest-path-in-binary-matrix/" TargetMode="External" Id="rId1687" /><Relationship Type="http://schemas.openxmlformats.org/officeDocument/2006/relationships/hyperlink" Target="https://leetcode.com/submissions/detail/1104290379/" TargetMode="External" Id="rId1688" /><Relationship Type="http://schemas.openxmlformats.org/officeDocument/2006/relationships/hyperlink" Target="https://leetcode.com/problems/insert-into-a-sorted-circular-linked-list/" TargetMode="External" Id="rId1689" /><Relationship Type="http://schemas.openxmlformats.org/officeDocument/2006/relationships/hyperlink" Target="https://leetcode.com/submissions/detail/1104409561/" TargetMode="External" Id="rId1690" /><Relationship Type="http://schemas.openxmlformats.org/officeDocument/2006/relationships/hyperlink" Target="https://leetcode.com/problems/insert-into-a-sorted-circular-linked-list/" TargetMode="External" Id="rId1691" /><Relationship Type="http://schemas.openxmlformats.org/officeDocument/2006/relationships/hyperlink" Target="https://leetcode.com/submissions/detail/1104413974/" TargetMode="External" Id="rId1692" /><Relationship Type="http://schemas.openxmlformats.org/officeDocument/2006/relationships/hyperlink" Target="https://leetcode.com/problems/insert-into-a-sorted-circular-linked-list/" TargetMode="External" Id="rId1693" /><Relationship Type="http://schemas.openxmlformats.org/officeDocument/2006/relationships/hyperlink" Target="https://leetcode.com/submissions/detail/1104415209/" TargetMode="External" Id="rId1694" /><Relationship Type="http://schemas.openxmlformats.org/officeDocument/2006/relationships/hyperlink" Target="https://leetcode.com/problems/convert-binary-search-tree-to-sorted-doubly-linked-list/" TargetMode="External" Id="rId1695" /><Relationship Type="http://schemas.openxmlformats.org/officeDocument/2006/relationships/hyperlink" Target="https://leetcode.com/submissions/detail/1104433573/" TargetMode="External" Id="rId1696" /><Relationship Type="http://schemas.openxmlformats.org/officeDocument/2006/relationships/hyperlink" Target="https://leetcode.com/problems/convert-binary-search-tree-to-sorted-doubly-linked-list/" TargetMode="External" Id="rId1697" /><Relationship Type="http://schemas.openxmlformats.org/officeDocument/2006/relationships/hyperlink" Target="https://leetcode.com/submissions/detail/1104433674/" TargetMode="External" Id="rId1698" /><Relationship Type="http://schemas.openxmlformats.org/officeDocument/2006/relationships/hyperlink" Target="https://leetcode.com/problems/valid-number/" TargetMode="External" Id="rId1699" /><Relationship Type="http://schemas.openxmlformats.org/officeDocument/2006/relationships/hyperlink" Target="https://leetcode.com/submissions/detail/1104464385/" TargetMode="External" Id="rId1700" /><Relationship Type="http://schemas.openxmlformats.org/officeDocument/2006/relationships/hyperlink" Target="https://leetcode.com/problems/maximum-swap/" TargetMode="External" Id="rId1701" /><Relationship Type="http://schemas.openxmlformats.org/officeDocument/2006/relationships/hyperlink" Target="https://leetcode.com/submissions/detail/1104468055/" TargetMode="External" Id="rId1702" /><Relationship Type="http://schemas.openxmlformats.org/officeDocument/2006/relationships/hyperlink" Target="https://leetcode.com/problems/maximum-swap/" TargetMode="External" Id="rId1703" /><Relationship Type="http://schemas.openxmlformats.org/officeDocument/2006/relationships/hyperlink" Target="https://leetcode.com/submissions/detail/1104468418/" TargetMode="External" Id="rId1704" /><Relationship Type="http://schemas.openxmlformats.org/officeDocument/2006/relationships/hyperlink" Target="https://leetcode.com/problems/maximum-swap/" TargetMode="External" Id="rId1705" /><Relationship Type="http://schemas.openxmlformats.org/officeDocument/2006/relationships/hyperlink" Target="https://leetcode.com/submissions/detail/1104469286/" TargetMode="External" Id="rId1706" /><Relationship Type="http://schemas.openxmlformats.org/officeDocument/2006/relationships/hyperlink" Target="https://leetcode.com/problems/maximum-swap/" TargetMode="External" Id="rId1707" /><Relationship Type="http://schemas.openxmlformats.org/officeDocument/2006/relationships/hyperlink" Target="https://leetcode.com/submissions/detail/1104470021/" TargetMode="External" Id="rId1708" /><Relationship Type="http://schemas.openxmlformats.org/officeDocument/2006/relationships/hyperlink" Target="https://leetcode.com/problems/maximum-swap/" TargetMode="External" Id="rId1709" /><Relationship Type="http://schemas.openxmlformats.org/officeDocument/2006/relationships/hyperlink" Target="https://leetcode.com/submissions/detail/1104470630/" TargetMode="External" Id="rId1710" /><Relationship Type="http://schemas.openxmlformats.org/officeDocument/2006/relationships/hyperlink" Target="https://leetcode.com/problems/simplify-path/" TargetMode="External" Id="rId1711" /><Relationship Type="http://schemas.openxmlformats.org/officeDocument/2006/relationships/hyperlink" Target="https://leetcode.com/submissions/detail/1104475468/" TargetMode="External" Id="rId1712" /><Relationship Type="http://schemas.openxmlformats.org/officeDocument/2006/relationships/hyperlink" Target="https://leetcode.com/problems/range-sum-of-bst/" TargetMode="External" Id="rId1713" /><Relationship Type="http://schemas.openxmlformats.org/officeDocument/2006/relationships/hyperlink" Target="https://leetcode.com/submissions/detail/1104480226/" TargetMode="External" Id="rId1714" /><Relationship Type="http://schemas.openxmlformats.org/officeDocument/2006/relationships/hyperlink" Target="https://leetcode.com/problems/3sum-smaller/" TargetMode="External" Id="rId1715" /><Relationship Type="http://schemas.openxmlformats.org/officeDocument/2006/relationships/hyperlink" Target="https://leetcode.com/submissions/detail/1104553566/" TargetMode="External" Id="rId1716" /><Relationship Type="http://schemas.openxmlformats.org/officeDocument/2006/relationships/hyperlink" Target="https://leetcode.com/problems/3sum-smaller/" TargetMode="External" Id="rId1717" /><Relationship Type="http://schemas.openxmlformats.org/officeDocument/2006/relationships/hyperlink" Target="https://leetcode.com/submissions/detail/1104557332/" TargetMode="External" Id="rId1718" /><Relationship Type="http://schemas.openxmlformats.org/officeDocument/2006/relationships/hyperlink" Target="https://leetcode.com/problems/3sum-smaller/" TargetMode="External" Id="rId1719" /><Relationship Type="http://schemas.openxmlformats.org/officeDocument/2006/relationships/hyperlink" Target="https://leetcode.com/submissions/detail/1104557842/" TargetMode="External" Id="rId1720" /><Relationship Type="http://schemas.openxmlformats.org/officeDocument/2006/relationships/hyperlink" Target="https://leetcode.com/problems/buildings-with-an-ocean-view/" TargetMode="External" Id="rId1721" /><Relationship Type="http://schemas.openxmlformats.org/officeDocument/2006/relationships/hyperlink" Target="https://leetcode.com/submissions/detail/1104886054/" TargetMode="External" Id="rId1722" /><Relationship Type="http://schemas.openxmlformats.org/officeDocument/2006/relationships/hyperlink" Target="https://leetcode.com/problems/buildings-with-an-ocean-view/" TargetMode="External" Id="rId1723" /><Relationship Type="http://schemas.openxmlformats.org/officeDocument/2006/relationships/hyperlink" Target="https://leetcode.com/submissions/detail/1104890598/" TargetMode="External" Id="rId1724" /><Relationship Type="http://schemas.openxmlformats.org/officeDocument/2006/relationships/hyperlink" Target="https://leetcode.com/problems/buildings-with-an-ocean-view/" TargetMode="External" Id="rId1725" /><Relationship Type="http://schemas.openxmlformats.org/officeDocument/2006/relationships/hyperlink" Target="https://leetcode.com/submissions/detail/1104890758/" TargetMode="External" Id="rId1726" /><Relationship Type="http://schemas.openxmlformats.org/officeDocument/2006/relationships/hyperlink" Target="https://leetcode.com/problems/3sum/" TargetMode="External" Id="rId1727" /><Relationship Type="http://schemas.openxmlformats.org/officeDocument/2006/relationships/hyperlink" Target="https://leetcode.com/submissions/detail/1104914332/" TargetMode="External" Id="rId1728" /><Relationship Type="http://schemas.openxmlformats.org/officeDocument/2006/relationships/hyperlink" Target="https://leetcode.com/problems/3sum/" TargetMode="External" Id="rId1729" /><Relationship Type="http://schemas.openxmlformats.org/officeDocument/2006/relationships/hyperlink" Target="https://leetcode.com/submissions/detail/1104916149/" TargetMode="External" Id="rId1730" /><Relationship Type="http://schemas.openxmlformats.org/officeDocument/2006/relationships/hyperlink" Target="https://leetcode.com/problems/3sum/" TargetMode="External" Id="rId1731" /><Relationship Type="http://schemas.openxmlformats.org/officeDocument/2006/relationships/hyperlink" Target="https://leetcode.com/submissions/detail/1104923500/" TargetMode="External" Id="rId1732" /><Relationship Type="http://schemas.openxmlformats.org/officeDocument/2006/relationships/hyperlink" Target="https://leetcode.com/problems/3sum/" TargetMode="External" Id="rId1733" /><Relationship Type="http://schemas.openxmlformats.org/officeDocument/2006/relationships/hyperlink" Target="https://leetcode.com/submissions/detail/1104923564/" TargetMode="External" Id="rId1734" /><Relationship Type="http://schemas.openxmlformats.org/officeDocument/2006/relationships/hyperlink" Target="https://leetcode.com/problems/merge-sorted-array/" TargetMode="External" Id="rId1735" /><Relationship Type="http://schemas.openxmlformats.org/officeDocument/2006/relationships/hyperlink" Target="https://leetcode.com/submissions/detail/1105108540/" TargetMode="External" Id="rId1736" /><Relationship Type="http://schemas.openxmlformats.org/officeDocument/2006/relationships/hyperlink" Target="https://leetcode.com/problems/closest-binary-search-tree-value/" TargetMode="External" Id="rId1737" /><Relationship Type="http://schemas.openxmlformats.org/officeDocument/2006/relationships/hyperlink" Target="https://leetcode.com/submissions/detail/1105116851/" TargetMode="External" Id="rId1738" /><Relationship Type="http://schemas.openxmlformats.org/officeDocument/2006/relationships/hyperlink" Target="https://leetcode.com/problems/closest-binary-search-tree-value/" TargetMode="External" Id="rId1739" /><Relationship Type="http://schemas.openxmlformats.org/officeDocument/2006/relationships/hyperlink" Target="https://leetcode.com/submissions/detail/1105117494/" TargetMode="External" Id="rId1740" /><Relationship Type="http://schemas.openxmlformats.org/officeDocument/2006/relationships/hyperlink" Target="https://leetcode.com/problems/closest-binary-search-tree-value/" TargetMode="External" Id="rId1741" /><Relationship Type="http://schemas.openxmlformats.org/officeDocument/2006/relationships/hyperlink" Target="https://leetcode.com/submissions/detail/1105118128/" TargetMode="External" Id="rId1742" /><Relationship Type="http://schemas.openxmlformats.org/officeDocument/2006/relationships/hyperlink" Target="https://leetcode.com/problems/number-of-islands/" TargetMode="External" Id="rId1743" /><Relationship Type="http://schemas.openxmlformats.org/officeDocument/2006/relationships/hyperlink" Target="https://leetcode.com/submissions/detail/1105137836/" TargetMode="External" Id="rId1744" /><Relationship Type="http://schemas.openxmlformats.org/officeDocument/2006/relationships/hyperlink" Target="https://leetcode.com/problems/number-of-islands/" TargetMode="External" Id="rId1745" /><Relationship Type="http://schemas.openxmlformats.org/officeDocument/2006/relationships/hyperlink" Target="https://leetcode.com/submissions/detail/1105140025/" TargetMode="External" Id="rId1746" /><Relationship Type="http://schemas.openxmlformats.org/officeDocument/2006/relationships/hyperlink" Target="https://leetcode.com/problems/number-of-islands/" TargetMode="External" Id="rId1747" /><Relationship Type="http://schemas.openxmlformats.org/officeDocument/2006/relationships/hyperlink" Target="https://leetcode.com/submissions/detail/1105140056/" TargetMode="External" Id="rId1748" /><Relationship Type="http://schemas.openxmlformats.org/officeDocument/2006/relationships/hyperlink" Target="https://leetcode.com/problems/continuous-subarray-sum/" TargetMode="External" Id="rId1749" /><Relationship Type="http://schemas.openxmlformats.org/officeDocument/2006/relationships/hyperlink" Target="https://leetcode.com/submissions/detail/1105195149/" TargetMode="External" Id="rId1750" /><Relationship Type="http://schemas.openxmlformats.org/officeDocument/2006/relationships/hyperlink" Target="https://leetcode.com/problems/valid-palindrome/" TargetMode="External" Id="rId1751" /><Relationship Type="http://schemas.openxmlformats.org/officeDocument/2006/relationships/hyperlink" Target="https://leetcode.com/submissions/detail/1105496913/" TargetMode="External" Id="rId1752" /><Relationship Type="http://schemas.openxmlformats.org/officeDocument/2006/relationships/hyperlink" Target="https://leetcode.com/problems/design-tic-tac-toe/" TargetMode="External" Id="rId1753" /><Relationship Type="http://schemas.openxmlformats.org/officeDocument/2006/relationships/hyperlink" Target="https://leetcode.com/submissions/detail/1105503344/" TargetMode="External" Id="rId1754" /><Relationship Type="http://schemas.openxmlformats.org/officeDocument/2006/relationships/hyperlink" Target="https://leetcode.com/problems/design-tic-tac-toe/" TargetMode="External" Id="rId1755" /><Relationship Type="http://schemas.openxmlformats.org/officeDocument/2006/relationships/hyperlink" Target="https://leetcode.com/submissions/detail/1105503568/" TargetMode="External" Id="rId1756" /><Relationship Type="http://schemas.openxmlformats.org/officeDocument/2006/relationships/hyperlink" Target="https://leetcode.com/problems/word-search/" TargetMode="External" Id="rId1757" /><Relationship Type="http://schemas.openxmlformats.org/officeDocument/2006/relationships/hyperlink" Target="https://leetcode.com/submissions/detail/1105588401/" TargetMode="External" Id="rId1758" /><Relationship Type="http://schemas.openxmlformats.org/officeDocument/2006/relationships/hyperlink" Target="https://leetcode.com/problems/word-search/" TargetMode="External" Id="rId1759" /><Relationship Type="http://schemas.openxmlformats.org/officeDocument/2006/relationships/hyperlink" Target="https://leetcode.com/submissions/detail/1105593548/" TargetMode="External" Id="rId1760" /><Relationship Type="http://schemas.openxmlformats.org/officeDocument/2006/relationships/hyperlink" Target="https://leetcode.com/problems/merge-k-sorted-lists/" TargetMode="External" Id="rId1761" /><Relationship Type="http://schemas.openxmlformats.org/officeDocument/2006/relationships/hyperlink" Target="https://leetcode.com/submissions/detail/1105714758/" TargetMode="External" Id="rId1762" /><Relationship Type="http://schemas.openxmlformats.org/officeDocument/2006/relationships/hyperlink" Target="https://leetcode.com/problems/random-pick-index/" TargetMode="External" Id="rId1763" /><Relationship Type="http://schemas.openxmlformats.org/officeDocument/2006/relationships/hyperlink" Target="https://leetcode.com/submissions/detail/1105733373/" TargetMode="External" Id="rId1764" /><Relationship Type="http://schemas.openxmlformats.org/officeDocument/2006/relationships/hyperlink" Target="https://leetcode.com/problems/random-pick-index/" TargetMode="External" Id="rId1765" /><Relationship Type="http://schemas.openxmlformats.org/officeDocument/2006/relationships/hyperlink" Target="https://leetcode.com/submissions/detail/1105733520/" TargetMode="External" Id="rId1766" /><Relationship Type="http://schemas.openxmlformats.org/officeDocument/2006/relationships/hyperlink" Target="https://leetcode.com/problems/shortest-distance-from-all-buildings/" TargetMode="External" Id="rId1767" /><Relationship Type="http://schemas.openxmlformats.org/officeDocument/2006/relationships/hyperlink" Target="https://leetcode.com/submissions/detail/1106862429/" TargetMode="External" Id="rId1768" /><Relationship Type="http://schemas.openxmlformats.org/officeDocument/2006/relationships/hyperlink" Target="https://leetcode.com/problems/shortest-distance-from-all-buildings/" TargetMode="External" Id="rId1769" /><Relationship Type="http://schemas.openxmlformats.org/officeDocument/2006/relationships/hyperlink" Target="https://leetcode.com/submissions/detail/1106862624/" TargetMode="External" Id="rId1770" /><Relationship Type="http://schemas.openxmlformats.org/officeDocument/2006/relationships/hyperlink" Target="https://leetcode.com/problems/shortest-distance-from-all-buildings/" TargetMode="External" Id="rId1771" /><Relationship Type="http://schemas.openxmlformats.org/officeDocument/2006/relationships/hyperlink" Target="https://leetcode.com/submissions/detail/1106900347/" TargetMode="External" Id="rId1772" /><Relationship Type="http://schemas.openxmlformats.org/officeDocument/2006/relationships/hyperlink" Target="https://leetcode.com/problems/diagonal-traverse/" TargetMode="External" Id="rId1773" /><Relationship Type="http://schemas.openxmlformats.org/officeDocument/2006/relationships/hyperlink" Target="https://leetcode.com/submissions/detail/1106907486/" TargetMode="External" Id="rId1774" /><Relationship Type="http://schemas.openxmlformats.org/officeDocument/2006/relationships/hyperlink" Target="https://leetcode.com/problems/diagonal-traverse/" TargetMode="External" Id="rId1775" /><Relationship Type="http://schemas.openxmlformats.org/officeDocument/2006/relationships/hyperlink" Target="https://leetcode.com/submissions/detail/1106922663/" TargetMode="External" Id="rId1776" /><Relationship Type="http://schemas.openxmlformats.org/officeDocument/2006/relationships/hyperlink" Target="https://leetcode.com/problems/lru-cache/" TargetMode="External" Id="rId1777" /><Relationship Type="http://schemas.openxmlformats.org/officeDocument/2006/relationships/hyperlink" Target="https://leetcode.com/submissions/detail/1107134933/" TargetMode="External" Id="rId1778" /><Relationship Type="http://schemas.openxmlformats.org/officeDocument/2006/relationships/hyperlink" Target="https://leetcode.com/problems/moving-average-from-data-stream/" TargetMode="External" Id="rId1779" /><Relationship Type="http://schemas.openxmlformats.org/officeDocument/2006/relationships/hyperlink" Target="https://leetcode.com/submissions/detail/1107144810/" TargetMode="External" Id="rId1780" /><Relationship Type="http://schemas.openxmlformats.org/officeDocument/2006/relationships/hyperlink" Target="https://leetcode.com/problems/verifying-an-alien-dictionary/" TargetMode="External" Id="rId1781" /><Relationship Type="http://schemas.openxmlformats.org/officeDocument/2006/relationships/hyperlink" Target="https://leetcode.com/submissions/detail/1107193695/" TargetMode="External" Id="rId1782" /><Relationship Type="http://schemas.openxmlformats.org/officeDocument/2006/relationships/hyperlink" Target="https://leetcode.com/problems/verifying-an-alien-dictionary/" TargetMode="External" Id="rId1783" /><Relationship Type="http://schemas.openxmlformats.org/officeDocument/2006/relationships/hyperlink" Target="https://leetcode.com/submissions/detail/1107193795/" TargetMode="External" Id="rId1784" /><Relationship Type="http://schemas.openxmlformats.org/officeDocument/2006/relationships/hyperlink" Target="https://leetcode.com/problems/verifying-an-alien-dictionary/" TargetMode="External" Id="rId1785" /><Relationship Type="http://schemas.openxmlformats.org/officeDocument/2006/relationships/hyperlink" Target="https://leetcode.com/submissions/detail/1107193931/" TargetMode="External" Id="rId1786" /><Relationship Type="http://schemas.openxmlformats.org/officeDocument/2006/relationships/hyperlink" Target="https://leetcode.com/problems/verifying-an-alien-dictionary/" TargetMode="External" Id="rId1787" /><Relationship Type="http://schemas.openxmlformats.org/officeDocument/2006/relationships/hyperlink" Target="https://leetcode.com/submissions/detail/1107194007/" TargetMode="External" Id="rId1788" /><Relationship Type="http://schemas.openxmlformats.org/officeDocument/2006/relationships/hyperlink" Target="https://leetcode.com/problems/verifying-an-alien-dictionary/" TargetMode="External" Id="rId1789" /><Relationship Type="http://schemas.openxmlformats.org/officeDocument/2006/relationships/hyperlink" Target="https://leetcode.com/submissions/detail/1107194860/" TargetMode="External" Id="rId1790" /><Relationship Type="http://schemas.openxmlformats.org/officeDocument/2006/relationships/hyperlink" Target="https://leetcode.com/problems/verifying-an-alien-dictionary/" TargetMode="External" Id="rId1791" /><Relationship Type="http://schemas.openxmlformats.org/officeDocument/2006/relationships/hyperlink" Target="https://leetcode.com/submissions/detail/1107196798/" TargetMode="External" Id="rId1792" /><Relationship Type="http://schemas.openxmlformats.org/officeDocument/2006/relationships/hyperlink" Target="https://leetcode.com/problems/verifying-an-alien-dictionary/" TargetMode="External" Id="rId1793" /><Relationship Type="http://schemas.openxmlformats.org/officeDocument/2006/relationships/hyperlink" Target="https://leetcode.com/submissions/detail/1107197652/" TargetMode="External" Id="rId1794" /><Relationship Type="http://schemas.openxmlformats.org/officeDocument/2006/relationships/hyperlink" Target="https://leetcode.com/problems/verifying-an-alien-dictionary/" TargetMode="External" Id="rId1795" /><Relationship Type="http://schemas.openxmlformats.org/officeDocument/2006/relationships/hyperlink" Target="https://leetcode.com/submissions/detail/1107197758/" TargetMode="External" Id="rId1796" /><Relationship Type="http://schemas.openxmlformats.org/officeDocument/2006/relationships/hyperlink" Target="https://leetcode.com/problems/verifying-an-alien-dictionary/" TargetMode="External" Id="rId1797" /><Relationship Type="http://schemas.openxmlformats.org/officeDocument/2006/relationships/hyperlink" Target="https://leetcode.com/submissions/detail/1107197841/" TargetMode="External" Id="rId1798" /><Relationship Type="http://schemas.openxmlformats.org/officeDocument/2006/relationships/hyperlink" Target="https://leetcode.com/problems/verifying-an-alien-dictionary/" TargetMode="External" Id="rId1799" /><Relationship Type="http://schemas.openxmlformats.org/officeDocument/2006/relationships/hyperlink" Target="https://leetcode.com/submissions/detail/1107199075/" TargetMode="External" Id="rId1800" /><Relationship Type="http://schemas.openxmlformats.org/officeDocument/2006/relationships/hyperlink" Target="https://leetcode.com/problems/capacity-to-ship-packages-within-d-days/" TargetMode="External" Id="rId1801" /><Relationship Type="http://schemas.openxmlformats.org/officeDocument/2006/relationships/hyperlink" Target="https://leetcode.com/submissions/detail/1107477954/" TargetMode="External" Id="rId1802" /><Relationship Type="http://schemas.openxmlformats.org/officeDocument/2006/relationships/hyperlink" Target="https://leetcode.com/problems/koko-eating-bananas/" TargetMode="External" Id="rId1803" /><Relationship Type="http://schemas.openxmlformats.org/officeDocument/2006/relationships/hyperlink" Target="https://leetcode.com/submissions/detail/1107502795/" TargetMode="External" Id="rId1804" /><Relationship Type="http://schemas.openxmlformats.org/officeDocument/2006/relationships/hyperlink" Target="https://leetcode.com/problems/koko-eating-bananas/" TargetMode="External" Id="rId1805" /><Relationship Type="http://schemas.openxmlformats.org/officeDocument/2006/relationships/hyperlink" Target="https://leetcode.com/submissions/detail/1107503112/" TargetMode="External" Id="rId1806" /><Relationship Type="http://schemas.openxmlformats.org/officeDocument/2006/relationships/hyperlink" Target="https://leetcode.com/problems/koko-eating-bananas/" TargetMode="External" Id="rId1807" /><Relationship Type="http://schemas.openxmlformats.org/officeDocument/2006/relationships/hyperlink" Target="https://leetcode.com/submissions/detail/1107503649/" TargetMode="External" Id="rId1808" /><Relationship Type="http://schemas.openxmlformats.org/officeDocument/2006/relationships/hyperlink" Target="https://leetcode.com/problems/koko-eating-bananas/" TargetMode="External" Id="rId1809" /><Relationship Type="http://schemas.openxmlformats.org/officeDocument/2006/relationships/hyperlink" Target="https://leetcode.com/submissions/detail/1107504760/" TargetMode="External" Id="rId1810" /><Relationship Type="http://schemas.openxmlformats.org/officeDocument/2006/relationships/hyperlink" Target="https://leetcode.com/problems/koko-eating-bananas/" TargetMode="External" Id="rId1811" /><Relationship Type="http://schemas.openxmlformats.org/officeDocument/2006/relationships/hyperlink" Target="https://leetcode.com/submissions/detail/1107504814/" TargetMode="External" Id="rId1812" /><Relationship Type="http://schemas.openxmlformats.org/officeDocument/2006/relationships/hyperlink" Target="https://leetcode.com/problems/koko-eating-bananas/" TargetMode="External" Id="rId1813" /><Relationship Type="http://schemas.openxmlformats.org/officeDocument/2006/relationships/hyperlink" Target="https://leetcode.com/submissions/detail/1107504873/" TargetMode="External" Id="rId1814" /><Relationship Type="http://schemas.openxmlformats.org/officeDocument/2006/relationships/hyperlink" Target="https://leetcode.com/problems/koko-eating-bananas/" TargetMode="External" Id="rId1815" /><Relationship Type="http://schemas.openxmlformats.org/officeDocument/2006/relationships/hyperlink" Target="https://leetcode.com/submissions/detail/1107505336/" TargetMode="External" Id="rId1816" /><Relationship Type="http://schemas.openxmlformats.org/officeDocument/2006/relationships/hyperlink" Target="https://leetcode.com/problems/koko-eating-bananas/" TargetMode="External" Id="rId1817" /><Relationship Type="http://schemas.openxmlformats.org/officeDocument/2006/relationships/hyperlink" Target="https://leetcode.com/submissions/detail/1107505427/" TargetMode="External" Id="rId1818" /><Relationship Type="http://schemas.openxmlformats.org/officeDocument/2006/relationships/hyperlink" Target="https://leetcode.com/problems/cutting-ribbons/" TargetMode="External" Id="rId1819" /><Relationship Type="http://schemas.openxmlformats.org/officeDocument/2006/relationships/hyperlink" Target="https://leetcode.com/submissions/detail/1107523392/" TargetMode="External" Id="rId1820" /><Relationship Type="http://schemas.openxmlformats.org/officeDocument/2006/relationships/hyperlink" Target="https://leetcode.com/problems/cutting-ribbons/" TargetMode="External" Id="rId1821" /><Relationship Type="http://schemas.openxmlformats.org/officeDocument/2006/relationships/hyperlink" Target="https://leetcode.com/submissions/detail/1107524807/" TargetMode="External" Id="rId1822" /><Relationship Type="http://schemas.openxmlformats.org/officeDocument/2006/relationships/hyperlink" Target="https://leetcode.com/problems/cutting-ribbons/" TargetMode="External" Id="rId1823" /><Relationship Type="http://schemas.openxmlformats.org/officeDocument/2006/relationships/hyperlink" Target="https://leetcode.com/submissions/detail/1107525012/" TargetMode="External" Id="rId1824" /><Relationship Type="http://schemas.openxmlformats.org/officeDocument/2006/relationships/hyperlink" Target="https://leetcode.com/problems/cutting-ribbons/" TargetMode="External" Id="rId1825" /><Relationship Type="http://schemas.openxmlformats.org/officeDocument/2006/relationships/hyperlink" Target="https://leetcode.com/submissions/detail/1107525244/" TargetMode="External" Id="rId1826" /><Relationship Type="http://schemas.openxmlformats.org/officeDocument/2006/relationships/hyperlink" Target="https://leetcode.com/problems/cutting-ribbons/" TargetMode="External" Id="rId1827" /><Relationship Type="http://schemas.openxmlformats.org/officeDocument/2006/relationships/hyperlink" Target="https://leetcode.com/submissions/detail/1107525423/" TargetMode="External" Id="rId1828" /><Relationship Type="http://schemas.openxmlformats.org/officeDocument/2006/relationships/hyperlink" Target="https://leetcode.com/problems/cutting-ribbons/" TargetMode="External" Id="rId1829" /><Relationship Type="http://schemas.openxmlformats.org/officeDocument/2006/relationships/hyperlink" Target="https://leetcode.com/submissions/detail/1107532529/" TargetMode="External" Id="rId1830" /><Relationship Type="http://schemas.openxmlformats.org/officeDocument/2006/relationships/hyperlink" Target="https://leetcode.com/problems/cutting-ribbons/" TargetMode="External" Id="rId1831" /><Relationship Type="http://schemas.openxmlformats.org/officeDocument/2006/relationships/hyperlink" Target="https://leetcode.com/submissions/detail/1107532903/" TargetMode="External" Id="rId1832" /><Relationship Type="http://schemas.openxmlformats.org/officeDocument/2006/relationships/hyperlink" Target="https://leetcode.com/problems/accounts-merge/" TargetMode="External" Id="rId1833" /><Relationship Type="http://schemas.openxmlformats.org/officeDocument/2006/relationships/hyperlink" Target="https://leetcode.com/submissions/detail/1107725257/" TargetMode="External" Id="rId1834" /><Relationship Type="http://schemas.openxmlformats.org/officeDocument/2006/relationships/hyperlink" Target="https://leetcode.com/problems/accounts-merge/" TargetMode="External" Id="rId1835" /><Relationship Type="http://schemas.openxmlformats.org/officeDocument/2006/relationships/hyperlink" Target="https://leetcode.com/submissions/detail/1107727740/" TargetMode="External" Id="rId1836" /><Relationship Type="http://schemas.openxmlformats.org/officeDocument/2006/relationships/hyperlink" Target="https://leetcode.com/problems/accounts-merge/" TargetMode="External" Id="rId1837" /><Relationship Type="http://schemas.openxmlformats.org/officeDocument/2006/relationships/hyperlink" Target="https://leetcode.com/submissions/detail/1107727897/" TargetMode="External" Id="rId1838" /><Relationship Type="http://schemas.openxmlformats.org/officeDocument/2006/relationships/hyperlink" Target="https://leetcode.com/problems/interval-list-intersections/" TargetMode="External" Id="rId1839" /><Relationship Type="http://schemas.openxmlformats.org/officeDocument/2006/relationships/hyperlink" Target="https://leetcode.com/submissions/detail/1107749175/" TargetMode="External" Id="rId1840" /><Relationship Type="http://schemas.openxmlformats.org/officeDocument/2006/relationships/hyperlink" Target="https://leetcode.com/problems/minimum-insertions-to-balance-a-parentheses-string/" TargetMode="External" Id="rId1841" /><Relationship Type="http://schemas.openxmlformats.org/officeDocument/2006/relationships/hyperlink" Target="https://leetcode.com/submissions/detail/1107805104/" TargetMode="External" Id="rId1842" /><Relationship Type="http://schemas.openxmlformats.org/officeDocument/2006/relationships/hyperlink" Target="https://leetcode.com/problems/meeting-rooms-ii/" TargetMode="External" Id="rId1843" /><Relationship Type="http://schemas.openxmlformats.org/officeDocument/2006/relationships/hyperlink" Target="https://leetcode.com/submissions/detail/1107813825/" TargetMode="External" Id="rId1844" /><Relationship Type="http://schemas.openxmlformats.org/officeDocument/2006/relationships/hyperlink" Target="https://leetcode.com/problems/meeting-rooms-ii/" TargetMode="External" Id="rId1845" /><Relationship Type="http://schemas.openxmlformats.org/officeDocument/2006/relationships/hyperlink" Target="https://leetcode.com/submissions/detail/1107813904/" TargetMode="External" Id="rId1846" /><Relationship Type="http://schemas.openxmlformats.org/officeDocument/2006/relationships/hyperlink" Target="https://leetcode.com/problems/valid-palindrome-iii/" TargetMode="External" Id="rId1847" /><Relationship Type="http://schemas.openxmlformats.org/officeDocument/2006/relationships/hyperlink" Target="https://leetcode.com/submissions/detail/1107822796/" TargetMode="External" Id="rId1848" /><Relationship Type="http://schemas.openxmlformats.org/officeDocument/2006/relationships/hyperlink" Target="https://leetcode.com/problems/valid-palindrome-iii/" TargetMode="External" Id="rId1849" /><Relationship Type="http://schemas.openxmlformats.org/officeDocument/2006/relationships/hyperlink" Target="https://leetcode.com/submissions/detail/1107823219/" TargetMode="External" Id="rId1850" /><Relationship Type="http://schemas.openxmlformats.org/officeDocument/2006/relationships/hyperlink" Target="https://leetcode.com/problems/valid-palindrome-iii/" TargetMode="External" Id="rId1851" /><Relationship Type="http://schemas.openxmlformats.org/officeDocument/2006/relationships/hyperlink" Target="https://leetcode.com/submissions/detail/1107826698/" TargetMode="External" Id="rId1852" /><Relationship Type="http://schemas.openxmlformats.org/officeDocument/2006/relationships/hyperlink" Target="https://leetcode.com/problems/valid-palindrome-iii/" TargetMode="External" Id="rId1853" /><Relationship Type="http://schemas.openxmlformats.org/officeDocument/2006/relationships/hyperlink" Target="https://leetcode.com/submissions/detail/1107835804/" TargetMode="External" Id="rId1854" /><Relationship Type="http://schemas.openxmlformats.org/officeDocument/2006/relationships/hyperlink" Target="https://leetcode.com/problems/valid-palindrome-iii/" TargetMode="External" Id="rId1855" /><Relationship Type="http://schemas.openxmlformats.org/officeDocument/2006/relationships/hyperlink" Target="https://leetcode.com/submissions/detail/1107836174/" TargetMode="External" Id="rId1856" /><Relationship Type="http://schemas.openxmlformats.org/officeDocument/2006/relationships/hyperlink" Target="https://leetcode.com/problems/valid-palindrome-iii/" TargetMode="External" Id="rId1857" /><Relationship Type="http://schemas.openxmlformats.org/officeDocument/2006/relationships/hyperlink" Target="https://leetcode.com/submissions/detail/1107836433/" TargetMode="External" Id="rId1858" /><Relationship Type="http://schemas.openxmlformats.org/officeDocument/2006/relationships/hyperlink" Target="https://leetcode.com/problems/valid-palindrome-iii/" TargetMode="External" Id="rId1859" /><Relationship Type="http://schemas.openxmlformats.org/officeDocument/2006/relationships/hyperlink" Target="https://leetcode.com/submissions/detail/1107836532/" TargetMode="External" Id="rId1860" /><Relationship Type="http://schemas.openxmlformats.org/officeDocument/2006/relationships/hyperlink" Target="https://leetcode.com/problems/valid-palindrome-iii/" TargetMode="External" Id="rId1861" /><Relationship Type="http://schemas.openxmlformats.org/officeDocument/2006/relationships/hyperlink" Target="https://leetcode.com/submissions/detail/1107843502/" TargetMode="External" Id="rId1862" /><Relationship Type="http://schemas.openxmlformats.org/officeDocument/2006/relationships/hyperlink" Target="https://leetcode.com/problems/alien-dictionary/" TargetMode="External" Id="rId1863" /><Relationship Type="http://schemas.openxmlformats.org/officeDocument/2006/relationships/hyperlink" Target="https://leetcode.com/submissions/detail/1108286839/" TargetMode="External" Id="rId1864" /><Relationship Type="http://schemas.openxmlformats.org/officeDocument/2006/relationships/hyperlink" Target="https://leetcode.com/problems/letter-combinations-of-a-phone-number/" TargetMode="External" Id="rId1865" /><Relationship Type="http://schemas.openxmlformats.org/officeDocument/2006/relationships/hyperlink" Target="https://leetcode.com/submissions/detail/1108418188/" TargetMode="External" Id="rId1866" /><Relationship Type="http://schemas.openxmlformats.org/officeDocument/2006/relationships/hyperlink" Target="https://leetcode.com/problems/minimum-window-substring/" TargetMode="External" Id="rId1867" /><Relationship Type="http://schemas.openxmlformats.org/officeDocument/2006/relationships/hyperlink" Target="https://leetcode.com/submissions/detail/1108604004/" TargetMode="External" Id="rId1868" /><Relationship Type="http://schemas.openxmlformats.org/officeDocument/2006/relationships/hyperlink" Target="https://leetcode.com/problems/word-break/" TargetMode="External" Id="rId1869" /><Relationship Type="http://schemas.openxmlformats.org/officeDocument/2006/relationships/hyperlink" Target="https://leetcode.com/submissions/detail/1108934824/" TargetMode="External" Id="rId1870" /><Relationship Type="http://schemas.openxmlformats.org/officeDocument/2006/relationships/hyperlink" Target="https://leetcode.com/problems/word-break/" TargetMode="External" Id="rId1871" /><Relationship Type="http://schemas.openxmlformats.org/officeDocument/2006/relationships/hyperlink" Target="https://leetcode.com/submissions/detail/1108938735/" TargetMode="External" Id="rId1872" /><Relationship Type="http://schemas.openxmlformats.org/officeDocument/2006/relationships/hyperlink" Target="https://leetcode.com/problems/range-sum-query-2d-immutable/" TargetMode="External" Id="rId1873" /><Relationship Type="http://schemas.openxmlformats.org/officeDocument/2006/relationships/hyperlink" Target="https://leetcode.com/submissions/detail/1109090813/" TargetMode="External" Id="rId1874" /><Relationship Type="http://schemas.openxmlformats.org/officeDocument/2006/relationships/hyperlink" Target="https://leetcode.com/problems/find-median-from-data-stream/" TargetMode="External" Id="rId1875" /><Relationship Type="http://schemas.openxmlformats.org/officeDocument/2006/relationships/hyperlink" Target="https://leetcode.com/submissions/detail/1109215964/" TargetMode="External" Id="rId1876" /><Relationship Type="http://schemas.openxmlformats.org/officeDocument/2006/relationships/hyperlink" Target="https://leetcode.com/problems/find-median-from-data-stream/" TargetMode="External" Id="rId1877" /><Relationship Type="http://schemas.openxmlformats.org/officeDocument/2006/relationships/hyperlink" Target="https://leetcode.com/submissions/detail/1109232253/" TargetMode="External" Id="rId1878" /><Relationship Type="http://schemas.openxmlformats.org/officeDocument/2006/relationships/hyperlink" Target="https://leetcode.com/problems/sliding-window-median/" TargetMode="External" Id="rId1879" /><Relationship Type="http://schemas.openxmlformats.org/officeDocument/2006/relationships/hyperlink" Target="https://leetcode.com/submissions/detail/1109253947/" TargetMode="External" Id="rId1880" /><Relationship Type="http://schemas.openxmlformats.org/officeDocument/2006/relationships/hyperlink" Target="https://leetcode.com/problems/max-area-of-island/" TargetMode="External" Id="rId1881" /><Relationship Type="http://schemas.openxmlformats.org/officeDocument/2006/relationships/hyperlink" Target="https://leetcode.com/submissions/detail/1109267250/" TargetMode="External" Id="rId1882" /><Relationship Type="http://schemas.openxmlformats.org/officeDocument/2006/relationships/hyperlink" Target="https://leetcode.com/problems/maximum-subarray-sum-with-one-deletion/" TargetMode="External" Id="rId1883" /><Relationship Type="http://schemas.openxmlformats.org/officeDocument/2006/relationships/hyperlink" Target="https://leetcode.com/submissions/detail/1109334699/" TargetMode="External" Id="rId1884" /><Relationship Type="http://schemas.openxmlformats.org/officeDocument/2006/relationships/hyperlink" Target="https://leetcode.com/problems/maximum-subarray-sum-with-one-deletion/" TargetMode="External" Id="rId1885" /><Relationship Type="http://schemas.openxmlformats.org/officeDocument/2006/relationships/hyperlink" Target="https://leetcode.com/submissions/detail/1109334926/" TargetMode="External" Id="rId1886" /><Relationship Type="http://schemas.openxmlformats.org/officeDocument/2006/relationships/hyperlink" Target="https://leetcode.com/problems/nested-list-weight-sum/" TargetMode="External" Id="rId1887" /><Relationship Type="http://schemas.openxmlformats.org/officeDocument/2006/relationships/hyperlink" Target="https://leetcode.com/submissions/detail/1109816286/" TargetMode="External" Id="rId1888" /><Relationship Type="http://schemas.openxmlformats.org/officeDocument/2006/relationships/hyperlink" Target="https://leetcode.com/problems/dot-product-of-two-sparse-vectors/" TargetMode="External" Id="rId1889" /><Relationship Type="http://schemas.openxmlformats.org/officeDocument/2006/relationships/hyperlink" Target="https://leetcode.com/submissions/detail/1109823795/" TargetMode="External" Id="rId1890" /><Relationship Type="http://schemas.openxmlformats.org/officeDocument/2006/relationships/hyperlink" Target="https://leetcode.com/problems/dot-product-of-two-sparse-vectors/" TargetMode="External" Id="rId1891" /><Relationship Type="http://schemas.openxmlformats.org/officeDocument/2006/relationships/hyperlink" Target="https://leetcode.com/submissions/detail/1109825198/" TargetMode="External" Id="rId1892" /><Relationship Type="http://schemas.openxmlformats.org/officeDocument/2006/relationships/hyperlink" Target="https://leetcode.com/problems/valid-palindrome-ii/" TargetMode="External" Id="rId1893" /><Relationship Type="http://schemas.openxmlformats.org/officeDocument/2006/relationships/hyperlink" Target="https://leetcode.com/submissions/detail/1109833874/" TargetMode="External" Id="rId1894" /><Relationship Type="http://schemas.openxmlformats.org/officeDocument/2006/relationships/hyperlink" Target="https://leetcode.com/problems/kth-largest-element-in-an-array/" TargetMode="External" Id="rId1895" /><Relationship Type="http://schemas.openxmlformats.org/officeDocument/2006/relationships/hyperlink" Target="https://leetcode.com/submissions/detail/1109901339/" TargetMode="External" Id="rId1896" /><Relationship Type="http://schemas.openxmlformats.org/officeDocument/2006/relationships/hyperlink" Target="https://leetcode.com/problems/group-shifted-strings/" TargetMode="External" Id="rId1897" /><Relationship Type="http://schemas.openxmlformats.org/officeDocument/2006/relationships/hyperlink" Target="https://leetcode.com/submissions/detail/1109959184/" TargetMode="External" Id="rId1898" /><Relationship Type="http://schemas.openxmlformats.org/officeDocument/2006/relationships/hyperlink" Target="https://leetcode.com/problems/shortest-path-in-binary-matrix/" TargetMode="External" Id="rId1899" /><Relationship Type="http://schemas.openxmlformats.org/officeDocument/2006/relationships/hyperlink" Target="https://leetcode.com/submissions/detail/1110000050/" TargetMode="External" Id="rId1900" /><Relationship Type="http://schemas.openxmlformats.org/officeDocument/2006/relationships/hyperlink" Target="https://leetcode.com/problems/sum-root-to-leaf-numbers/" TargetMode="External" Id="rId1901" /><Relationship Type="http://schemas.openxmlformats.org/officeDocument/2006/relationships/hyperlink" Target="https://leetcode.com/submissions/detail/1110454760/" TargetMode="External" Id="rId1902" /><Relationship Type="http://schemas.openxmlformats.org/officeDocument/2006/relationships/hyperlink" Target="https://leetcode.com/problems/k-closest-points-to-origin/" TargetMode="External" Id="rId1903" /><Relationship Type="http://schemas.openxmlformats.org/officeDocument/2006/relationships/hyperlink" Target="https://leetcode.com/submissions/detail/1110461639/" TargetMode="External" Id="rId1904" /><Relationship Type="http://schemas.openxmlformats.org/officeDocument/2006/relationships/hyperlink" Target="https://leetcode.com/problems/k-closest-points-to-origin/" TargetMode="External" Id="rId1905" /><Relationship Type="http://schemas.openxmlformats.org/officeDocument/2006/relationships/hyperlink" Target="https://leetcode.com/submissions/detail/1110462128/" TargetMode="External" Id="rId1906" /><Relationship Type="http://schemas.openxmlformats.org/officeDocument/2006/relationships/hyperlink" Target="https://leetcode.com/problems/k-closest-points-to-origin/" TargetMode="External" Id="rId1907" /><Relationship Type="http://schemas.openxmlformats.org/officeDocument/2006/relationships/hyperlink" Target="https://leetcode.com/submissions/detail/1110463354/" TargetMode="External" Id="rId1908" /><Relationship Type="http://schemas.openxmlformats.org/officeDocument/2006/relationships/hyperlink" Target="https://leetcode.com/problems/k-closest-points-to-origin/" TargetMode="External" Id="rId1909" /><Relationship Type="http://schemas.openxmlformats.org/officeDocument/2006/relationships/hyperlink" Target="https://leetcode.com/submissions/detail/1110463589/" TargetMode="External" Id="rId1910" /><Relationship Type="http://schemas.openxmlformats.org/officeDocument/2006/relationships/hyperlink" Target="https://leetcode.com/problems/k-closest-points-to-origin/" TargetMode="External" Id="rId1911" /><Relationship Type="http://schemas.openxmlformats.org/officeDocument/2006/relationships/hyperlink" Target="https://leetcode.com/submissions/detail/1110469085/" TargetMode="External" Id="rId1912" /><Relationship Type="http://schemas.openxmlformats.org/officeDocument/2006/relationships/hyperlink" Target="https://leetcode.com/problems/insert-into-a-sorted-circular-linked-list/" TargetMode="External" Id="rId1913" /><Relationship Type="http://schemas.openxmlformats.org/officeDocument/2006/relationships/hyperlink" Target="https://leetcode.com/submissions/detail/1110526139/" TargetMode="External" Id="rId1914" /><Relationship Type="http://schemas.openxmlformats.org/officeDocument/2006/relationships/hyperlink" Target="https://leetcode.com/problems/insert-into-a-sorted-circular-linked-list/" TargetMode="External" Id="rId1915" /><Relationship Type="http://schemas.openxmlformats.org/officeDocument/2006/relationships/hyperlink" Target="https://leetcode.com/submissions/detail/1110526949/" TargetMode="External" Id="rId1916" /><Relationship Type="http://schemas.openxmlformats.org/officeDocument/2006/relationships/hyperlink" Target="https://leetcode.com/problems/insert-into-a-sorted-circular-linked-list/" TargetMode="External" Id="rId1917" /><Relationship Type="http://schemas.openxmlformats.org/officeDocument/2006/relationships/hyperlink" Target="https://leetcode.com/submissions/detail/1110527185/" TargetMode="External" Id="rId1918" /><Relationship Type="http://schemas.openxmlformats.org/officeDocument/2006/relationships/hyperlink" Target="https://leetcode.com/problems/move-zeroes/" TargetMode="External" Id="rId1919" /><Relationship Type="http://schemas.openxmlformats.org/officeDocument/2006/relationships/hyperlink" Target="https://leetcode.com/submissions/detail/1111081946/" TargetMode="External" Id="rId1920" /><Relationship Type="http://schemas.openxmlformats.org/officeDocument/2006/relationships/hyperlink" Target="https://leetcode.com/problems/move-zeroes/" TargetMode="External" Id="rId1921" /><Relationship Type="http://schemas.openxmlformats.org/officeDocument/2006/relationships/hyperlink" Target="https://leetcode.com/submissions/detail/1111082004/" TargetMode="External" Id="rId1922" /><Relationship Type="http://schemas.openxmlformats.org/officeDocument/2006/relationships/hyperlink" Target="https://leetcode.com/problems/move-zeroes/" TargetMode="External" Id="rId1923" /><Relationship Type="http://schemas.openxmlformats.org/officeDocument/2006/relationships/hyperlink" Target="https://leetcode.com/submissions/detail/1111083414/" TargetMode="External" Id="rId1924" /><Relationship Type="http://schemas.openxmlformats.org/officeDocument/2006/relationships/hyperlink" Target="https://leetcode.com/problems/move-zeroes/" TargetMode="External" Id="rId1925" /><Relationship Type="http://schemas.openxmlformats.org/officeDocument/2006/relationships/hyperlink" Target="https://leetcode.com/submissions/detail/1111083586/" TargetMode="External" Id="rId1926" /><Relationship Type="http://schemas.openxmlformats.org/officeDocument/2006/relationships/hyperlink" Target="https://leetcode.com/problems/shortest-distance-from-all-buildings/" TargetMode="External" Id="rId1927" /><Relationship Type="http://schemas.openxmlformats.org/officeDocument/2006/relationships/hyperlink" Target="https://leetcode.com/submissions/detail/1111109010/" TargetMode="External" Id="rId1928" /><Relationship Type="http://schemas.openxmlformats.org/officeDocument/2006/relationships/hyperlink" Target="https://leetcode.com/problems/shortest-distance-from-all-buildings/" TargetMode="External" Id="rId1929" /><Relationship Type="http://schemas.openxmlformats.org/officeDocument/2006/relationships/hyperlink" Target="https://leetcode.com/submissions/detail/1111109853/" TargetMode="External" Id="rId1930" /><Relationship Type="http://schemas.openxmlformats.org/officeDocument/2006/relationships/hyperlink" Target="https://leetcode.com/problems/shortest-distance-from-all-buildings/" TargetMode="External" Id="rId1931" /><Relationship Type="http://schemas.openxmlformats.org/officeDocument/2006/relationships/hyperlink" Target="https://leetcode.com/submissions/detail/1111110057/" TargetMode="External" Id="rId1932" /><Relationship Type="http://schemas.openxmlformats.org/officeDocument/2006/relationships/hyperlink" Target="https://leetcode.com/problems/shortest-distance-from-all-buildings/" TargetMode="External" Id="rId1933" /><Relationship Type="http://schemas.openxmlformats.org/officeDocument/2006/relationships/hyperlink" Target="https://leetcode.com/submissions/detail/1111110446/" TargetMode="External" Id="rId1934" /><Relationship Type="http://schemas.openxmlformats.org/officeDocument/2006/relationships/hyperlink" Target="https://leetcode.com/problems/shortest-distance-from-all-buildings/" TargetMode="External" Id="rId1935" /><Relationship Type="http://schemas.openxmlformats.org/officeDocument/2006/relationships/hyperlink" Target="https://leetcode.com/submissions/detail/1111110689/" TargetMode="External" Id="rId1936" /><Relationship Type="http://schemas.openxmlformats.org/officeDocument/2006/relationships/hyperlink" Target="https://leetcode.com/problems/shortest-distance-from-all-buildings/" TargetMode="External" Id="rId1937" /><Relationship Type="http://schemas.openxmlformats.org/officeDocument/2006/relationships/hyperlink" Target="https://leetcode.com/submissions/detail/1111110993/" TargetMode="External" Id="rId1938" /><Relationship Type="http://schemas.openxmlformats.org/officeDocument/2006/relationships/hyperlink" Target="https://leetcode.com/problems/shortest-distance-from-all-buildings/" TargetMode="External" Id="rId1939" /><Relationship Type="http://schemas.openxmlformats.org/officeDocument/2006/relationships/hyperlink" Target="https://leetcode.com/submissions/detail/1111111381/" TargetMode="External" Id="rId1940" /><Relationship Type="http://schemas.openxmlformats.org/officeDocument/2006/relationships/hyperlink" Target="https://leetcode.com/problems/shortest-distance-from-all-buildings/" TargetMode="External" Id="rId1941" /><Relationship Type="http://schemas.openxmlformats.org/officeDocument/2006/relationships/hyperlink" Target="https://leetcode.com/submissions/detail/1111111437/" TargetMode="External" Id="rId1942" /><Relationship Type="http://schemas.openxmlformats.org/officeDocument/2006/relationships/hyperlink" Target="https://leetcode.com/problems/minimum-window-substring/" TargetMode="External" Id="rId1943" /><Relationship Type="http://schemas.openxmlformats.org/officeDocument/2006/relationships/hyperlink" Target="https://leetcode.com/submissions/detail/1111621511/" TargetMode="External" Id="rId1944" /><Relationship Type="http://schemas.openxmlformats.org/officeDocument/2006/relationships/hyperlink" Target="https://leetcode.com/problems/minimum-window-substring/" TargetMode="External" Id="rId1945" /><Relationship Type="http://schemas.openxmlformats.org/officeDocument/2006/relationships/hyperlink" Target="https://leetcode.com/submissions/detail/1111622130/" TargetMode="External" Id="rId1946" /><Relationship Type="http://schemas.openxmlformats.org/officeDocument/2006/relationships/hyperlink" Target="https://leetcode.com/problems/minimum-window-substring/" TargetMode="External" Id="rId1947" /><Relationship Type="http://schemas.openxmlformats.org/officeDocument/2006/relationships/hyperlink" Target="https://leetcode.com/submissions/detail/1111622888/" TargetMode="External" Id="rId1948" /><Relationship Type="http://schemas.openxmlformats.org/officeDocument/2006/relationships/hyperlink" Target="https://leetcode.com/problems/friends-of-appropriate-ages/" TargetMode="External" Id="rId1949" /><Relationship Type="http://schemas.openxmlformats.org/officeDocument/2006/relationships/hyperlink" Target="https://leetcode.com/submissions/detail/1111670027/" TargetMode="External" Id="rId1950" /><Relationship Type="http://schemas.openxmlformats.org/officeDocument/2006/relationships/hyperlink" Target="https://leetcode.com/problems/remove-invalid-parentheses/" TargetMode="External" Id="rId1951" /><Relationship Type="http://schemas.openxmlformats.org/officeDocument/2006/relationships/hyperlink" Target="https://leetcode.com/submissions/detail/1111829707/" TargetMode="External" Id="rId1952" /><Relationship Type="http://schemas.openxmlformats.org/officeDocument/2006/relationships/hyperlink" Target="https://leetcode.com/problems/remove-invalid-parentheses/" TargetMode="External" Id="rId1953" /><Relationship Type="http://schemas.openxmlformats.org/officeDocument/2006/relationships/hyperlink" Target="https://leetcode.com/submissions/detail/1111829774/" TargetMode="External" Id="rId1954" /><Relationship Type="http://schemas.openxmlformats.org/officeDocument/2006/relationships/hyperlink" Target="https://leetcode.com/problems/binary-tree-vertical-order-traversal/" TargetMode="External" Id="rId1955" /><Relationship Type="http://schemas.openxmlformats.org/officeDocument/2006/relationships/hyperlink" Target="https://leetcode.com/submissions/detail/1111891986/" TargetMode="External" Id="rId1956" /><Relationship Type="http://schemas.openxmlformats.org/officeDocument/2006/relationships/hyperlink" Target="https://leetcode.com/problems/binary-tree-vertical-order-traversal/" TargetMode="External" Id="rId1957" /><Relationship Type="http://schemas.openxmlformats.org/officeDocument/2006/relationships/hyperlink" Target="https://leetcode.com/submissions/detail/1111892126/" TargetMode="External" Id="rId1958" /><Relationship Type="http://schemas.openxmlformats.org/officeDocument/2006/relationships/hyperlink" Target="https://leetcode.com/problems/minimum-remove-to-make-valid-parentheses/" TargetMode="External" Id="rId1959" /><Relationship Type="http://schemas.openxmlformats.org/officeDocument/2006/relationships/hyperlink" Target="https://leetcode.com/submissions/detail/1111899189/" TargetMode="External" Id="rId1960" /><Relationship Type="http://schemas.openxmlformats.org/officeDocument/2006/relationships/hyperlink" Target="https://leetcode.com/problems/buildings-with-an-ocean-view/" TargetMode="External" Id="rId1961" /><Relationship Type="http://schemas.openxmlformats.org/officeDocument/2006/relationships/hyperlink" Target="https://leetcode.com/submissions/detail/1111935541/" TargetMode="External" Id="rId1962" /><Relationship Type="http://schemas.openxmlformats.org/officeDocument/2006/relationships/hyperlink" Target="https://leetcode.com/problems/lowest-common-ancestor-of-a-binary-tree-iii/" TargetMode="External" Id="rId1963" /><Relationship Type="http://schemas.openxmlformats.org/officeDocument/2006/relationships/hyperlink" Target="https://leetcode.com/submissions/detail/1111939118/" TargetMode="External" Id="rId1964" /><Relationship Type="http://schemas.openxmlformats.org/officeDocument/2006/relationships/hyperlink" Target="https://leetcode.com/problems/lowest-common-ancestor-of-a-binary-tree-iii/" TargetMode="External" Id="rId1965" /><Relationship Type="http://schemas.openxmlformats.org/officeDocument/2006/relationships/hyperlink" Target="https://leetcode.com/submissions/detail/1111946116/" TargetMode="External" Id="rId1966" /><Relationship Type="http://schemas.openxmlformats.org/officeDocument/2006/relationships/hyperlink" Target="https://leetcode.com/problems/nested-list-weight-sum/" TargetMode="External" Id="rId1967" /><Relationship Type="http://schemas.openxmlformats.org/officeDocument/2006/relationships/hyperlink" Target="https://leetcode.com/submissions/detail/1111956734/" TargetMode="External" Id="rId1968" /><Relationship Type="http://schemas.openxmlformats.org/officeDocument/2006/relationships/hyperlink" Target="https://leetcode.com/problems/nested-list-weight-sum/" TargetMode="External" Id="rId1969" /><Relationship Type="http://schemas.openxmlformats.org/officeDocument/2006/relationships/hyperlink" Target="https://leetcode.com/submissions/detail/1111956828/" TargetMode="External" Id="rId1970" /><Relationship Type="http://schemas.openxmlformats.org/officeDocument/2006/relationships/hyperlink" Target="https://leetcode.com/problems/nested-list-weight-sum/" TargetMode="External" Id="rId1971" /><Relationship Type="http://schemas.openxmlformats.org/officeDocument/2006/relationships/hyperlink" Target="https://leetcode.com/submissions/detail/1111957079/" TargetMode="External" Id="rId1972" /><Relationship Type="http://schemas.openxmlformats.org/officeDocument/2006/relationships/hyperlink" Target="https://leetcode.com/problems/kth-largest-element-in-an-array/" TargetMode="External" Id="rId1973" /><Relationship Type="http://schemas.openxmlformats.org/officeDocument/2006/relationships/hyperlink" Target="https://leetcode.com/submissions/detail/1111960771/" TargetMode="External" Id="rId1974" /><Relationship Type="http://schemas.openxmlformats.org/officeDocument/2006/relationships/hyperlink" Target="https://leetcode.com/problems/kth-largest-element-in-an-array/" TargetMode="External" Id="rId1975" /><Relationship Type="http://schemas.openxmlformats.org/officeDocument/2006/relationships/hyperlink" Target="https://leetcode.com/submissions/detail/1111962412/" TargetMode="External" Id="rId1976" /><Relationship Type="http://schemas.openxmlformats.org/officeDocument/2006/relationships/hyperlink" Target="https://leetcode.com/problems/custom-sort-string/" TargetMode="External" Id="rId1977" /><Relationship Type="http://schemas.openxmlformats.org/officeDocument/2006/relationships/hyperlink" Target="https://leetcode.com/submissions/detail/1111967531/" TargetMode="External" Id="rId1978" /><Relationship Type="http://schemas.openxmlformats.org/officeDocument/2006/relationships/hyperlink" Target="https://leetcode.com/problems/simplify-path/" TargetMode="External" Id="rId1979" /><Relationship Type="http://schemas.openxmlformats.org/officeDocument/2006/relationships/hyperlink" Target="https://leetcode.com/submissions/detail/1111972039/" TargetMode="External" Id="rId1980" /><Relationship Type="http://schemas.openxmlformats.org/officeDocument/2006/relationships/hyperlink" Target="https://leetcode.com/problems/simplify-path/" TargetMode="External" Id="rId1981" /><Relationship Type="http://schemas.openxmlformats.org/officeDocument/2006/relationships/hyperlink" Target="https://leetcode.com/submissions/detail/1111972681/" TargetMode="External" Id="rId1982" /><Relationship Type="http://schemas.openxmlformats.org/officeDocument/2006/relationships/hyperlink" Target="https://leetcode.com/problems/valid-number/" TargetMode="External" Id="rId1983" /><Relationship Type="http://schemas.openxmlformats.org/officeDocument/2006/relationships/hyperlink" Target="https://leetcode.com/submissions/detail/1111973554/" TargetMode="External" Id="rId1984" /><Relationship Type="http://schemas.openxmlformats.org/officeDocument/2006/relationships/hyperlink" Target="https://leetcode.com/problems/convert-binary-search-tree-to-sorted-doubly-linked-list/" TargetMode="External" Id="rId1985" /><Relationship Type="http://schemas.openxmlformats.org/officeDocument/2006/relationships/hyperlink" Target="https://leetcode.com/submissions/detail/1111980709/" TargetMode="External" Id="rId1986" /><Relationship Type="http://schemas.openxmlformats.org/officeDocument/2006/relationships/hyperlink" Target="https://leetcode.com/problems/range-sum-of-bst/" TargetMode="External" Id="rId1987" /><Relationship Type="http://schemas.openxmlformats.org/officeDocument/2006/relationships/hyperlink" Target="https://leetcode.com/submissions/detail/1111983463/" TargetMode="External" Id="rId1988" /><Relationship Type="http://schemas.openxmlformats.org/officeDocument/2006/relationships/hyperlink" Target="https://leetcode.com/problems/range-sum-of-bst/" TargetMode="External" Id="rId1989" /><Relationship Type="http://schemas.openxmlformats.org/officeDocument/2006/relationships/hyperlink" Target="https://leetcode.com/submissions/detail/1111984908/" TargetMode="External" Id="rId1990" /><Relationship Type="http://schemas.openxmlformats.org/officeDocument/2006/relationships/hyperlink" Target="https://leetcode.com/problems/range-sum-of-bst/" TargetMode="External" Id="rId1991" /><Relationship Type="http://schemas.openxmlformats.org/officeDocument/2006/relationships/hyperlink" Target="https://leetcode.com/submissions/detail/1111986775/" TargetMode="External" Id="rId1992" /><Relationship Type="http://schemas.openxmlformats.org/officeDocument/2006/relationships/hyperlink" Target="https://leetcode.com/problems/range-sum-of-bst/" TargetMode="External" Id="rId1993" /><Relationship Type="http://schemas.openxmlformats.org/officeDocument/2006/relationships/hyperlink" Target="https://leetcode.com/submissions/detail/1111986984/" TargetMode="External" Id="rId1994" /><Relationship Type="http://schemas.openxmlformats.org/officeDocument/2006/relationships/hyperlink" Target="https://leetcode.com/problems/stickers-to-spell-word/" TargetMode="External" Id="rId1995" /><Relationship Type="http://schemas.openxmlformats.org/officeDocument/2006/relationships/hyperlink" Target="https://leetcode.com/submissions/detail/1111997465/" TargetMode="External" Id="rId1996" /><Relationship Type="http://schemas.openxmlformats.org/officeDocument/2006/relationships/hyperlink" Target="https://leetcode.com/problems/stickers-to-spell-word/" TargetMode="External" Id="rId1997" /><Relationship Type="http://schemas.openxmlformats.org/officeDocument/2006/relationships/hyperlink" Target="https://leetcode.com/submissions/detail/1111998348/" TargetMode="External" Id="rId1998" /><Relationship Type="http://schemas.openxmlformats.org/officeDocument/2006/relationships/hyperlink" Target="https://leetcode.com/problems/stickers-to-spell-word/" TargetMode="External" Id="rId1999" /><Relationship Type="http://schemas.openxmlformats.org/officeDocument/2006/relationships/hyperlink" Target="https://leetcode.com/submissions/detail/1112000451/" TargetMode="External" Id="rId2000" /><Relationship Type="http://schemas.openxmlformats.org/officeDocument/2006/relationships/hyperlink" Target="https://leetcode.com/problems/stickers-to-spell-word/" TargetMode="External" Id="rId2001" /><Relationship Type="http://schemas.openxmlformats.org/officeDocument/2006/relationships/hyperlink" Target="https://leetcode.com/submissions/detail/1112001424/" TargetMode="External" Id="rId2002" /><Relationship Type="http://schemas.openxmlformats.org/officeDocument/2006/relationships/hyperlink" Target="https://leetcode.com/problems/stickers-to-spell-word/" TargetMode="External" Id="rId2003" /><Relationship Type="http://schemas.openxmlformats.org/officeDocument/2006/relationships/hyperlink" Target="https://leetcode.com/submissions/detail/1112001777/" TargetMode="External" Id="rId2004" /><Relationship Type="http://schemas.openxmlformats.org/officeDocument/2006/relationships/hyperlink" Target="https://leetcode.com/problems/stickers-to-spell-word/" TargetMode="External" Id="rId2005" /><Relationship Type="http://schemas.openxmlformats.org/officeDocument/2006/relationships/hyperlink" Target="https://leetcode.com/submissions/detail/1112001890/" TargetMode="External" Id="rId2006" /><Relationship Type="http://schemas.openxmlformats.org/officeDocument/2006/relationships/hyperlink" Target="https://leetcode.com/problems/group-shifted-strings/" TargetMode="External" Id="rId2007" /><Relationship Type="http://schemas.openxmlformats.org/officeDocument/2006/relationships/hyperlink" Target="https://leetcode.com/submissions/detail/1112242328/" TargetMode="External" Id="rId2008" /><Relationship Type="http://schemas.openxmlformats.org/officeDocument/2006/relationships/hyperlink" Target="https://leetcode.com/problems/lowest-common-ancestor-of-a-binary-tree/" TargetMode="External" Id="rId2009" /><Relationship Type="http://schemas.openxmlformats.org/officeDocument/2006/relationships/hyperlink" Target="https://leetcode.com/submissions/detail/1112251672/" TargetMode="External" Id="rId2010" /><Relationship Type="http://schemas.openxmlformats.org/officeDocument/2006/relationships/hyperlink" Target="https://leetcode.com/problems/merge-intervals/" TargetMode="External" Id="rId2011" /><Relationship Type="http://schemas.openxmlformats.org/officeDocument/2006/relationships/hyperlink" Target="https://leetcode.com/submissions/detail/1112254485/" TargetMode="External" Id="rId2012" /><Relationship Type="http://schemas.openxmlformats.org/officeDocument/2006/relationships/hyperlink" Target="https://leetcode.com/problems/merge-intervals/" TargetMode="External" Id="rId2013" /><Relationship Type="http://schemas.openxmlformats.org/officeDocument/2006/relationships/hyperlink" Target="https://leetcode.com/submissions/detail/1112254617/" TargetMode="External" Id="rId2014" /><Relationship Type="http://schemas.openxmlformats.org/officeDocument/2006/relationships/hyperlink" Target="https://leetcode.com/problems/powx-n/" TargetMode="External" Id="rId2015" /><Relationship Type="http://schemas.openxmlformats.org/officeDocument/2006/relationships/hyperlink" Target="https://leetcode.com/submissions/detail/1112265657/" TargetMode="External" Id="rId2016" /><Relationship Type="http://schemas.openxmlformats.org/officeDocument/2006/relationships/hyperlink" Target="https://leetcode.com/problems/powx-n/" TargetMode="External" Id="rId2017" /><Relationship Type="http://schemas.openxmlformats.org/officeDocument/2006/relationships/hyperlink" Target="https://leetcode.com/submissions/detail/1112271277/" TargetMode="External" Id="rId2018" /><Relationship Type="http://schemas.openxmlformats.org/officeDocument/2006/relationships/hyperlink" Target="https://leetcode.com/problems/powx-n/" TargetMode="External" Id="rId2019" /><Relationship Type="http://schemas.openxmlformats.org/officeDocument/2006/relationships/hyperlink" Target="https://leetcode.com/submissions/detail/1112271484/" TargetMode="External" Id="rId2020" /><Relationship Type="http://schemas.openxmlformats.org/officeDocument/2006/relationships/hyperlink" Target="https://leetcode.com/problems/shortest-path-in-binary-matrix/" TargetMode="External" Id="rId2021" /><Relationship Type="http://schemas.openxmlformats.org/officeDocument/2006/relationships/hyperlink" Target="https://leetcode.com/submissions/detail/1112280515/" TargetMode="External" Id="rId2022" /><Relationship Type="http://schemas.openxmlformats.org/officeDocument/2006/relationships/hyperlink" Target="https://leetcode.com/problems/k-closest-points-to-origin/" TargetMode="External" Id="rId2023" /><Relationship Type="http://schemas.openxmlformats.org/officeDocument/2006/relationships/hyperlink" Target="https://leetcode.com/submissions/detail/1112301809/" TargetMode="External" Id="rId2024" /><Relationship Type="http://schemas.openxmlformats.org/officeDocument/2006/relationships/hyperlink" Target="https://leetcode.com/problems/sum-root-to-leaf-numbers/" TargetMode="External" Id="rId2025" /><Relationship Type="http://schemas.openxmlformats.org/officeDocument/2006/relationships/hyperlink" Target="https://leetcode.com/submissions/detail/1112356748/" TargetMode="External" Id="rId2026" /><Relationship Type="http://schemas.openxmlformats.org/officeDocument/2006/relationships/hyperlink" Target="https://leetcode.com/problems/copy-list-with-random-pointer/" TargetMode="External" Id="rId2027" /><Relationship Type="http://schemas.openxmlformats.org/officeDocument/2006/relationships/hyperlink" Target="https://leetcode.com/submissions/detail/1112368671/" TargetMode="External" Id="rId2028" /><Relationship Type="http://schemas.openxmlformats.org/officeDocument/2006/relationships/hyperlink" Target="https://leetcode.com/problems/toeplitz-matrix/" TargetMode="External" Id="rId2029" /><Relationship Type="http://schemas.openxmlformats.org/officeDocument/2006/relationships/hyperlink" Target="https://leetcode.com/submissions/detail/1112372456/" TargetMode="External" Id="rId2030" /><Relationship Type="http://schemas.openxmlformats.org/officeDocument/2006/relationships/hyperlink" Target="https://leetcode.com/problems/subarray-sum-equals-k/" TargetMode="External" Id="rId2031" /><Relationship Type="http://schemas.openxmlformats.org/officeDocument/2006/relationships/hyperlink" Target="https://leetcode.com/submissions/detail/1112379899/" TargetMode="External" Id="rId2032" /><Relationship Type="http://schemas.openxmlformats.org/officeDocument/2006/relationships/hyperlink" Target="https://leetcode.com/problems/binary-tree-right-side-view/" TargetMode="External" Id="rId2033" /><Relationship Type="http://schemas.openxmlformats.org/officeDocument/2006/relationships/hyperlink" Target="https://leetcode.com/submissions/detail/1112385693/" TargetMode="External" Id="rId2034" /><Relationship Type="http://schemas.openxmlformats.org/officeDocument/2006/relationships/hyperlink" Target="https://leetcode.com/problems/minimum-add-to-make-parentheses-valid/" TargetMode="External" Id="rId2035" /><Relationship Type="http://schemas.openxmlformats.org/officeDocument/2006/relationships/hyperlink" Target="https://leetcode.com/submissions/detail/1112386349/" TargetMode="External" Id="rId2036" /><Relationship Type="http://schemas.openxmlformats.org/officeDocument/2006/relationships/hyperlink" Target="https://leetcode.com/problems/minimum-add-to-make-parentheses-valid/" TargetMode="External" Id="rId2037" /><Relationship Type="http://schemas.openxmlformats.org/officeDocument/2006/relationships/hyperlink" Target="https://leetcode.com/submissions/detail/1112386888/" TargetMode="External" Id="rId2038" /><Relationship Type="http://schemas.openxmlformats.org/officeDocument/2006/relationships/hyperlink" Target="https://leetcode.com/problems/find-peak-element/" TargetMode="External" Id="rId2039" /><Relationship Type="http://schemas.openxmlformats.org/officeDocument/2006/relationships/hyperlink" Target="https://leetcode.com/submissions/detail/1112390472/" TargetMode="External" Id="rId2040" /><Relationship Type="http://schemas.openxmlformats.org/officeDocument/2006/relationships/hyperlink" Target="https://leetcode.com/problems/diagonal-traverse/" TargetMode="External" Id="rId2041" /><Relationship Type="http://schemas.openxmlformats.org/officeDocument/2006/relationships/hyperlink" Target="https://leetcode.com/submissions/detail/1112438365/" TargetMode="External" Id="rId2042" /><Relationship Type="http://schemas.openxmlformats.org/officeDocument/2006/relationships/hyperlink" Target="https://leetcode.com/problems/add-strings/" TargetMode="External" Id="rId2043" /><Relationship Type="http://schemas.openxmlformats.org/officeDocument/2006/relationships/hyperlink" Target="https://leetcode.com/submissions/detail/1112439668/" TargetMode="External" Id="rId2044" /><Relationship Type="http://schemas.openxmlformats.org/officeDocument/2006/relationships/hyperlink" Target="https://leetcode.com/problems/add-strings/" TargetMode="External" Id="rId2045" /><Relationship Type="http://schemas.openxmlformats.org/officeDocument/2006/relationships/hyperlink" Target="https://leetcode.com/submissions/detail/1112439723/" TargetMode="External" Id="rId2046" /><Relationship Type="http://schemas.openxmlformats.org/officeDocument/2006/relationships/hyperlink" Target="https://leetcode.com/problems/add-strings/" TargetMode="External" Id="rId2047" /><Relationship Type="http://schemas.openxmlformats.org/officeDocument/2006/relationships/hyperlink" Target="https://leetcode.com/submissions/detail/1112439779/" TargetMode="External" Id="rId2048" /><Relationship Type="http://schemas.openxmlformats.org/officeDocument/2006/relationships/hyperlink" Target="https://leetcode.com/problems/move-zeroes/" TargetMode="External" Id="rId2049" /><Relationship Type="http://schemas.openxmlformats.org/officeDocument/2006/relationships/hyperlink" Target="https://leetcode.com/submissions/detail/1112443699/" TargetMode="External" Id="rId2050" /><Relationship Type="http://schemas.openxmlformats.org/officeDocument/2006/relationships/hyperlink" Target="https://leetcode.com/problems/moving-average-from-data-stream/" TargetMode="External" Id="rId2051" /><Relationship Type="http://schemas.openxmlformats.org/officeDocument/2006/relationships/hyperlink" Target="https://leetcode.com/submissions/detail/1112453515/" TargetMode="External" Id="rId2052" /><Relationship Type="http://schemas.openxmlformats.org/officeDocument/2006/relationships/hyperlink" Target="https://leetcode.com/problems/best-meeting-point/" TargetMode="External" Id="rId2053" /><Relationship Type="http://schemas.openxmlformats.org/officeDocument/2006/relationships/hyperlink" Target="https://leetcode.com/submissions/detail/1112468782/" TargetMode="External" Id="rId2054" /><Relationship Type="http://schemas.openxmlformats.org/officeDocument/2006/relationships/hyperlink" Target="https://leetcode.com/problems/random-pick-index/" TargetMode="External" Id="rId2055" /><Relationship Type="http://schemas.openxmlformats.org/officeDocument/2006/relationships/hyperlink" Target="https://leetcode.com/submissions/detail/1112471660/" TargetMode="External" Id="rId2056" /><Relationship Type="http://schemas.openxmlformats.org/officeDocument/2006/relationships/hyperlink" Target="https://leetcode.com/problems/vertical-order-traversal-of-a-binary-tree/" TargetMode="External" Id="rId2057" /><Relationship Type="http://schemas.openxmlformats.org/officeDocument/2006/relationships/hyperlink" Target="https://leetcode.com/submissions/detail/1112478686/" TargetMode="External" Id="rId2058" /><Relationship Type="http://schemas.openxmlformats.org/officeDocument/2006/relationships/hyperlink" Target="https://leetcode.com/problems/valid-palindrome-iii/" TargetMode="External" Id="rId2059" /><Relationship Type="http://schemas.openxmlformats.org/officeDocument/2006/relationships/hyperlink" Target="https://leetcode.com/submissions/detail/1112482563/" TargetMode="External" Id="rId2060" /><Relationship Type="http://schemas.openxmlformats.org/officeDocument/2006/relationships/hyperlink" Target="https://leetcode.com/problems/valid-palindrome-iii/" TargetMode="External" Id="rId2061" /><Relationship Type="http://schemas.openxmlformats.org/officeDocument/2006/relationships/hyperlink" Target="https://leetcode.com/submissions/detail/1112482609/" TargetMode="External" Id="rId2062" /><Relationship Type="http://schemas.openxmlformats.org/officeDocument/2006/relationships/hyperlink" Target="https://leetcode.com/problems/expression-add-operators/" TargetMode="External" Id="rId2063" /><Relationship Type="http://schemas.openxmlformats.org/officeDocument/2006/relationships/hyperlink" Target="https://leetcode.com/submissions/detail/1112486977/" TargetMode="External" Id="rId2064" /><Relationship Type="http://schemas.openxmlformats.org/officeDocument/2006/relationships/hyperlink" Target="https://leetcode.com/problems/expression-add-operators/" TargetMode="External" Id="rId2065" /><Relationship Type="http://schemas.openxmlformats.org/officeDocument/2006/relationships/hyperlink" Target="https://leetcode.com/submissions/detail/1112487028/" TargetMode="External" Id="rId2066" /><Relationship Type="http://schemas.openxmlformats.org/officeDocument/2006/relationships/hyperlink" Target="https://leetcode.com/problems/expression-add-operators/" TargetMode="External" Id="rId2067" /><Relationship Type="http://schemas.openxmlformats.org/officeDocument/2006/relationships/hyperlink" Target="https://leetcode.com/submissions/detail/1112488328/" TargetMode="External" Id="rId2068" /><Relationship Type="http://schemas.openxmlformats.org/officeDocument/2006/relationships/hyperlink" Target="https://leetcode.com/problems/merge-sorted-array/" TargetMode="External" Id="rId2069" /><Relationship Type="http://schemas.openxmlformats.org/officeDocument/2006/relationships/hyperlink" Target="https://leetcode.com/submissions/detail/1112489517/" TargetMode="External" Id="rId2070" /><Relationship Type="http://schemas.openxmlformats.org/officeDocument/2006/relationships/hyperlink" Target="https://leetcode.com/problems/closest-binary-search-tree-value/" TargetMode="External" Id="rId2071" /><Relationship Type="http://schemas.openxmlformats.org/officeDocument/2006/relationships/hyperlink" Target="https://leetcode.com/submissions/detail/1112491562/" TargetMode="External" Id="rId2072" /><Relationship Type="http://schemas.openxmlformats.org/officeDocument/2006/relationships/hyperlink" Target="https://leetcode.com/problems/closest-binary-search-tree-value/" TargetMode="External" Id="rId2073" /><Relationship Type="http://schemas.openxmlformats.org/officeDocument/2006/relationships/hyperlink" Target="https://leetcode.com/submissions/detail/1112513924/" TargetMode="External" Id="rId2074" /><Relationship Type="http://schemas.openxmlformats.org/officeDocument/2006/relationships/hyperlink" Target="https://leetcode.com/problems/closest-binary-search-tree-value/" TargetMode="External" Id="rId2075" /><Relationship Type="http://schemas.openxmlformats.org/officeDocument/2006/relationships/hyperlink" Target="https://leetcode.com/submissions/detail/1112514534/" TargetMode="External" Id="rId2076" /><Relationship Type="http://schemas.openxmlformats.org/officeDocument/2006/relationships/hyperlink" Target="https://leetcode.com/problems/design-tic-tac-toe/" TargetMode="External" Id="rId2077" /><Relationship Type="http://schemas.openxmlformats.org/officeDocument/2006/relationships/hyperlink" Target="https://leetcode.com/submissions/detail/1112525137/" TargetMode="External" Id="rId2078" /><Relationship Type="http://schemas.openxmlformats.org/officeDocument/2006/relationships/hyperlink" Target="https://leetcode.com/problems/merge-k-sorted-lists/" TargetMode="External" Id="rId2079" /><Relationship Type="http://schemas.openxmlformats.org/officeDocument/2006/relationships/hyperlink" Target="https://leetcode.com/submissions/detail/1112533366/" TargetMode="External" Id="rId2080" /><Relationship Type="http://schemas.openxmlformats.org/officeDocument/2006/relationships/hyperlink" Target="https://leetcode.com/problems/letter-combinations-of-a-phone-number/" TargetMode="External" Id="rId2081" /><Relationship Type="http://schemas.openxmlformats.org/officeDocument/2006/relationships/hyperlink" Target="https://leetcode.com/submissions/detail/1112548089/" TargetMode="External" Id="rId2082" /><Relationship Type="http://schemas.openxmlformats.org/officeDocument/2006/relationships/hyperlink" Target="https://leetcode.com/problems/exclusive-time-of-functions/" TargetMode="External" Id="rId2083" /><Relationship Type="http://schemas.openxmlformats.org/officeDocument/2006/relationships/hyperlink" Target="https://leetcode.com/submissions/detail/1116724578/" TargetMode="External" Id="rId2084" /><Relationship Type="http://schemas.openxmlformats.org/officeDocument/2006/relationships/hyperlink" Target="https://leetcode.com/problems/longest-increasing-path-in-a-matrix/" TargetMode="External" Id="rId2085" /><Relationship Type="http://schemas.openxmlformats.org/officeDocument/2006/relationships/hyperlink" Target="https://leetcode.com/submissions/detail/1116748603/" TargetMode="External" Id="rId2086" /><Relationship Type="http://schemas.openxmlformats.org/officeDocument/2006/relationships/hyperlink" Target="https://leetcode.com/problems/count-and-say/" TargetMode="External" Id="rId2087" /><Relationship Type="http://schemas.openxmlformats.org/officeDocument/2006/relationships/hyperlink" Target="https://leetcode.com/submissions/detail/1116767756/" TargetMode="External" Id="rId2088" /><Relationship Type="http://schemas.openxmlformats.org/officeDocument/2006/relationships/hyperlink" Target="https://leetcode.com/problems/count-and-say/" TargetMode="External" Id="rId2089" /><Relationship Type="http://schemas.openxmlformats.org/officeDocument/2006/relationships/hyperlink" Target="https://leetcode.com/submissions/detail/1116767903/" TargetMode="External" Id="rId2090" /><Relationship Type="http://schemas.openxmlformats.org/officeDocument/2006/relationships/hyperlink" Target="https://leetcode.com/problems/diagonal-traverse-ii/" TargetMode="External" Id="rId2091" /><Relationship Type="http://schemas.openxmlformats.org/officeDocument/2006/relationships/hyperlink" Target="https://leetcode.com/submissions/detail/1116793579/" TargetMode="External" Id="rId2092" /><Relationship Type="http://schemas.openxmlformats.org/officeDocument/2006/relationships/hyperlink" Target="https://leetcode.com/problems/diameter-of-n-ary-tree/" TargetMode="External" Id="rId2093" /><Relationship Type="http://schemas.openxmlformats.org/officeDocument/2006/relationships/hyperlink" Target="https://leetcode.com/submissions/detail/1117330803/" TargetMode="External" Id="rId2094" /><Relationship Type="http://schemas.openxmlformats.org/officeDocument/2006/relationships/hyperlink" Target="https://leetcode.com/problems/missing-element-in-sorted-array/" TargetMode="External" Id="rId2095" /><Relationship Type="http://schemas.openxmlformats.org/officeDocument/2006/relationships/hyperlink" Target="https://leetcode.com/submissions/detail/1117497054/" TargetMode="External" Id="rId2096" /><Relationship Type="http://schemas.openxmlformats.org/officeDocument/2006/relationships/hyperlink" Target="https://leetcode.com/problems/missing-element-in-sorted-array/" TargetMode="External" Id="rId2097" /><Relationship Type="http://schemas.openxmlformats.org/officeDocument/2006/relationships/hyperlink" Target="https://leetcode.com/submissions/detail/1117497243/" TargetMode="External" Id="rId2098" /><Relationship Type="http://schemas.openxmlformats.org/officeDocument/2006/relationships/hyperlink" Target="https://leetcode.com/problems/remove-all-adjacent-duplicates-in-string-ii/" TargetMode="External" Id="rId2099" /><Relationship Type="http://schemas.openxmlformats.org/officeDocument/2006/relationships/hyperlink" Target="https://leetcode.com/submissions/detail/1117569269/" TargetMode="External" Id="rId2100" /><Relationship Type="http://schemas.openxmlformats.org/officeDocument/2006/relationships/hyperlink" Target="https://leetcode.com/problems/course-schedule/" TargetMode="External" Id="rId2101" /><Relationship Type="http://schemas.openxmlformats.org/officeDocument/2006/relationships/hyperlink" Target="https://leetcode.com/submissions/detail/1123781267/" TargetMode="External" Id="rId2102" /><Relationship Type="http://schemas.openxmlformats.org/officeDocument/2006/relationships/hyperlink" Target="https://leetcode.com/problems/course-schedule/" TargetMode="External" Id="rId2103" /><Relationship Type="http://schemas.openxmlformats.org/officeDocument/2006/relationships/hyperlink" Target="https://leetcode.com/submissions/detail/1123795027/" TargetMode="External" Id="rId2104" /><Relationship Type="http://schemas.openxmlformats.org/officeDocument/2006/relationships/hyperlink" Target="https://leetcode.com/problems/course-schedule/" TargetMode="External" Id="rId2105" /><Relationship Type="http://schemas.openxmlformats.org/officeDocument/2006/relationships/hyperlink" Target="https://leetcode.com/submissions/detail/1123795365/" TargetMode="External" Id="rId2106" /><Relationship Type="http://schemas.openxmlformats.org/officeDocument/2006/relationships/hyperlink" Target="https://leetcode.com/problems/course-schedule/" TargetMode="External" Id="rId2107" /><Relationship Type="http://schemas.openxmlformats.org/officeDocument/2006/relationships/hyperlink" Target="https://leetcode.com/submissions/detail/1123795445/" TargetMode="External" Id="rId2108" /><Relationship Type="http://schemas.openxmlformats.org/officeDocument/2006/relationships/hyperlink" Target="https://leetcode.com/problems/basic-calculator-ii/" TargetMode="External" Id="rId2109" /><Relationship Type="http://schemas.openxmlformats.org/officeDocument/2006/relationships/hyperlink" Target="https://leetcode.com/submissions/detail/1124633796/" TargetMode="External" Id="rId2110" /><Relationship Type="http://schemas.openxmlformats.org/officeDocument/2006/relationships/hyperlink" Target="https://leetcode.com/problems/basic-calculator-ii/" TargetMode="External" Id="rId2111" /><Relationship Type="http://schemas.openxmlformats.org/officeDocument/2006/relationships/hyperlink" Target="https://leetcode.com/submissions/detail/1124633974/" TargetMode="External" Id="rId2112" /><Relationship Type="http://schemas.openxmlformats.org/officeDocument/2006/relationships/hyperlink" Target="https://leetcode.com/problems/valid-palindrome-ii/" TargetMode="External" Id="rId2113" /><Relationship Type="http://schemas.openxmlformats.org/officeDocument/2006/relationships/hyperlink" Target="https://leetcode.com/submissions/detail/1124638597/" TargetMode="External" Id="rId2114" /><Relationship Type="http://schemas.openxmlformats.org/officeDocument/2006/relationships/hyperlink" Target="https://leetcode.com/problems/valid-palindrome-ii/" TargetMode="External" Id="rId2115" /><Relationship Type="http://schemas.openxmlformats.org/officeDocument/2006/relationships/hyperlink" Target="https://leetcode.com/submissions/detail/1124638629/" TargetMode="External" Id="rId2116" /><Relationship Type="http://schemas.openxmlformats.org/officeDocument/2006/relationships/hyperlink" Target="https://leetcode.com/problems/valid-palindrome-ii/" TargetMode="External" Id="rId2117" /><Relationship Type="http://schemas.openxmlformats.org/officeDocument/2006/relationships/hyperlink" Target="https://leetcode.com/submissions/detail/1124638810/" TargetMode="External" Id="rId2118" /><Relationship Type="http://schemas.openxmlformats.org/officeDocument/2006/relationships/hyperlink" Target="https://leetcode.com/problems/valid-palindrome-ii/" TargetMode="External" Id="rId2119" /><Relationship Type="http://schemas.openxmlformats.org/officeDocument/2006/relationships/hyperlink" Target="https://leetcode.com/submissions/detail/1124639635/" TargetMode="External" Id="rId2120" /><Relationship Type="http://schemas.openxmlformats.org/officeDocument/2006/relationships/hyperlink" Target="https://leetcode.com/problems/diameter-of-binary-tree/" TargetMode="External" Id="rId2121" /><Relationship Type="http://schemas.openxmlformats.org/officeDocument/2006/relationships/hyperlink" Target="https://leetcode.com/submissions/detail/1124645907/" TargetMode="External" Id="rId2122" /><Relationship Type="http://schemas.openxmlformats.org/officeDocument/2006/relationships/hyperlink" Target="https://leetcode.com/problems/diameter-of-binary-tree/" TargetMode="External" Id="rId2123" /><Relationship Type="http://schemas.openxmlformats.org/officeDocument/2006/relationships/hyperlink" Target="https://leetcode.com/submissions/detail/1124787020/" TargetMode="External" Id="rId2124" /><Relationship Type="http://schemas.openxmlformats.org/officeDocument/2006/relationships/hyperlink" Target="https://leetcode.com/problems/binary-search-tree-iterator/" TargetMode="External" Id="rId2125" /><Relationship Type="http://schemas.openxmlformats.org/officeDocument/2006/relationships/hyperlink" Target="https://leetcode.com/submissions/detail/1125232440/" TargetMode="External" Id="rId2126" /><Relationship Type="http://schemas.openxmlformats.org/officeDocument/2006/relationships/hyperlink" Target="https://leetcode.com/problems/stickers-to-spell-word/" TargetMode="External" Id="rId2127" /><Relationship Type="http://schemas.openxmlformats.org/officeDocument/2006/relationships/hyperlink" Target="https://leetcode.com/submissions/detail/1125331930/" TargetMode="External" Id="rId2128" /><Relationship Type="http://schemas.openxmlformats.org/officeDocument/2006/relationships/hyperlink" Target="https://leetcode.com/problems/stickers-to-spell-word/" TargetMode="External" Id="rId2129" /><Relationship Type="http://schemas.openxmlformats.org/officeDocument/2006/relationships/hyperlink" Target="https://leetcode.com/submissions/detail/1125395706/" TargetMode="External" Id="rId2130" /><Relationship Type="http://schemas.openxmlformats.org/officeDocument/2006/relationships/hyperlink" Target="https://leetcode.com/problems/stickers-to-spell-word/" TargetMode="External" Id="rId2131" /><Relationship Type="http://schemas.openxmlformats.org/officeDocument/2006/relationships/hyperlink" Target="https://leetcode.com/submissions/detail/1125395839/" TargetMode="External" Id="rId2132" /><Relationship Type="http://schemas.openxmlformats.org/officeDocument/2006/relationships/hyperlink" Target="https://leetcode.com/problems/stickers-to-spell-word/" TargetMode="External" Id="rId2133" /><Relationship Type="http://schemas.openxmlformats.org/officeDocument/2006/relationships/hyperlink" Target="https://leetcode.com/submissions/detail/1125395919/" TargetMode="External" Id="rId2134" /><Relationship Type="http://schemas.openxmlformats.org/officeDocument/2006/relationships/hyperlink" Target="https://leetcode.com/problems/stickers-to-spell-word/" TargetMode="External" Id="rId2135" /><Relationship Type="http://schemas.openxmlformats.org/officeDocument/2006/relationships/hyperlink" Target="https://leetcode.com/submissions/detail/1125396185/" TargetMode="External" Id="rId2136" /><Relationship Type="http://schemas.openxmlformats.org/officeDocument/2006/relationships/hyperlink" Target="https://leetcode.com/problems/stickers-to-spell-word/" TargetMode="External" Id="rId2137" /><Relationship Type="http://schemas.openxmlformats.org/officeDocument/2006/relationships/hyperlink" Target="https://leetcode.com/submissions/detail/1125396254/" TargetMode="External" Id="rId2138" /><Relationship Type="http://schemas.openxmlformats.org/officeDocument/2006/relationships/hyperlink" Target="https://leetcode.com/problems/stickers-to-spell-word/" TargetMode="External" Id="rId2139" /><Relationship Type="http://schemas.openxmlformats.org/officeDocument/2006/relationships/hyperlink" Target="https://leetcode.com/submissions/detail/1125396531/" TargetMode="External" Id="rId2140" /><Relationship Type="http://schemas.openxmlformats.org/officeDocument/2006/relationships/hyperlink" Target="https://leetcode.com/problems/stickers-to-spell-word/" TargetMode="External" Id="rId2141" /><Relationship Type="http://schemas.openxmlformats.org/officeDocument/2006/relationships/hyperlink" Target="https://leetcode.com/submissions/detail/1125396563/" TargetMode="External" Id="rId2142" /><Relationship Type="http://schemas.openxmlformats.org/officeDocument/2006/relationships/hyperlink" Target="https://leetcode.com/problems/remove-invalid-parentheses/" TargetMode="External" Id="rId2143" /><Relationship Type="http://schemas.openxmlformats.org/officeDocument/2006/relationships/hyperlink" Target="https://leetcode.com/submissions/detail/1125507833/" TargetMode="External" Id="rId2144" /><Relationship Type="http://schemas.openxmlformats.org/officeDocument/2006/relationships/hyperlink" Target="https://leetcode.com/problems/design-tic-tac-toe/" TargetMode="External" Id="rId2145" /><Relationship Type="http://schemas.openxmlformats.org/officeDocument/2006/relationships/hyperlink" Target="https://leetcode.com/submissions/detail/1127697547/" TargetMode="External" Id="rId2146" /><Relationship Type="http://schemas.openxmlformats.org/officeDocument/2006/relationships/hyperlink" Target="https://leetcode.com/problems/design-tic-tac-toe/" TargetMode="External" Id="rId2147" /><Relationship Type="http://schemas.openxmlformats.org/officeDocument/2006/relationships/hyperlink" Target="https://leetcode.com/submissions/detail/1127705937/" TargetMode="External" Id="rId2148" /><Relationship Type="http://schemas.openxmlformats.org/officeDocument/2006/relationships/hyperlink" Target="https://leetcode.com/problems/design-tic-tac-toe/" TargetMode="External" Id="rId2149" /><Relationship Type="http://schemas.openxmlformats.org/officeDocument/2006/relationships/hyperlink" Target="https://leetcode.com/submissions/detail/1127706807/" TargetMode="External" Id="rId2150" /><Relationship Type="http://schemas.openxmlformats.org/officeDocument/2006/relationships/hyperlink" Target="https://leetcode.com/problems/design-tic-tac-toe/" TargetMode="External" Id="rId2151" /><Relationship Type="http://schemas.openxmlformats.org/officeDocument/2006/relationships/hyperlink" Target="https://leetcode.com/submissions/detail/1127706827/" TargetMode="External" Id="rId2152" /><Relationship Type="http://schemas.openxmlformats.org/officeDocument/2006/relationships/hyperlink" Target="https://leetcode.com/problems/number-of-islands/" TargetMode="External" Id="rId2153" /><Relationship Type="http://schemas.openxmlformats.org/officeDocument/2006/relationships/hyperlink" Target="https://leetcode.com/submissions/detail/1127722455/" TargetMode="External" Id="rId2154" /><Relationship Type="http://schemas.openxmlformats.org/officeDocument/2006/relationships/hyperlink" Target="https://leetcode.com/problems/robot-room-cleaner/" TargetMode="External" Id="rId2155" /><Relationship Type="http://schemas.openxmlformats.org/officeDocument/2006/relationships/hyperlink" Target="https://leetcode.com/submissions/detail/1128338242/" TargetMode="External" Id="rId2156" /><Relationship Type="http://schemas.openxmlformats.org/officeDocument/2006/relationships/hyperlink" Target="https://leetcode.com/problems/stickers-to-spell-word/" TargetMode="External" Id="rId2157" /><Relationship Type="http://schemas.openxmlformats.org/officeDocument/2006/relationships/hyperlink" Target="https://leetcode.com/submissions/detail/1128940457/" TargetMode="External" Id="rId2158" /><Relationship Type="http://schemas.openxmlformats.org/officeDocument/2006/relationships/hyperlink" Target="https://leetcode.com/problems/remove-invalid-parentheses/" TargetMode="External" Id="rId2159" /><Relationship Type="http://schemas.openxmlformats.org/officeDocument/2006/relationships/hyperlink" Target="https://leetcode.com/submissions/detail/1129326954/" TargetMode="External" Id="rId2160" /><Relationship Type="http://schemas.openxmlformats.org/officeDocument/2006/relationships/hyperlink" Target="https://leetcode.com/problems/remove-invalid-parentheses/" TargetMode="External" Id="rId2161" /><Relationship Type="http://schemas.openxmlformats.org/officeDocument/2006/relationships/hyperlink" Target="https://leetcode.com/submissions/detail/1129327075/" TargetMode="External" Id="rId2162" /><Relationship Type="http://schemas.openxmlformats.org/officeDocument/2006/relationships/hyperlink" Target="https://leetcode.com/problems/remove-invalid-parentheses/" TargetMode="External" Id="rId2163" /><Relationship Type="http://schemas.openxmlformats.org/officeDocument/2006/relationships/hyperlink" Target="https://leetcode.com/submissions/detail/1129327268/" TargetMode="External" Id="rId2164" /><Relationship Type="http://schemas.openxmlformats.org/officeDocument/2006/relationships/hyperlink" Target="https://leetcode.com/problems/word-break-ii/" TargetMode="External" Id="rId2165" /><Relationship Type="http://schemas.openxmlformats.org/officeDocument/2006/relationships/hyperlink" Target="https://leetcode.com/submissions/detail/1129792195/" TargetMode="External" Id="rId2166" /><Relationship Type="http://schemas.openxmlformats.org/officeDocument/2006/relationships/hyperlink" Target="https://leetcode.com/problems/word-break-ii/" TargetMode="External" Id="rId2167" /><Relationship Type="http://schemas.openxmlformats.org/officeDocument/2006/relationships/hyperlink" Target="https://leetcode.com/submissions/detail/1129792391/" TargetMode="External" Id="rId2168" /><Relationship Type="http://schemas.openxmlformats.org/officeDocument/2006/relationships/hyperlink" Target="https://leetcode.com/problems/word-break-ii/" TargetMode="External" Id="rId2169" /><Relationship Type="http://schemas.openxmlformats.org/officeDocument/2006/relationships/hyperlink" Target="https://leetcode.com/submissions/detail/1129792787/" TargetMode="External" Id="rId2170" /><Relationship Type="http://schemas.openxmlformats.org/officeDocument/2006/relationships/hyperlink" Target="https://leetcode.com/problems/word-break-ii/" TargetMode="External" Id="rId2171" /><Relationship Type="http://schemas.openxmlformats.org/officeDocument/2006/relationships/hyperlink" Target="https://leetcode.com/submissions/detail/1129793937/" TargetMode="External" Id="rId2172" /><Relationship Type="http://schemas.openxmlformats.org/officeDocument/2006/relationships/hyperlink" Target="https://leetcode.com/problems/word-break-ii/" TargetMode="External" Id="rId2173" /><Relationship Type="http://schemas.openxmlformats.org/officeDocument/2006/relationships/hyperlink" Target="https://leetcode.com/submissions/detail/1129794153/" TargetMode="External" Id="rId2174" /><Relationship Type="http://schemas.openxmlformats.org/officeDocument/2006/relationships/hyperlink" Target="https://leetcode.com/problems/longest-increasing-path-in-a-matrix/" TargetMode="External" Id="rId2175" /><Relationship Type="http://schemas.openxmlformats.org/officeDocument/2006/relationships/hyperlink" Target="https://leetcode.com/submissions/detail/1130607430/" TargetMode="External" Id="rId2176" /><Relationship Type="http://schemas.openxmlformats.org/officeDocument/2006/relationships/hyperlink" Target="https://leetcode.com/problems/longest-increasing-path-in-a-matrix/" TargetMode="External" Id="rId2177" /><Relationship Type="http://schemas.openxmlformats.org/officeDocument/2006/relationships/hyperlink" Target="https://leetcode.com/submissions/detail/1130610793/" TargetMode="External" Id="rId2178" /><Relationship Type="http://schemas.openxmlformats.org/officeDocument/2006/relationships/hyperlink" Target="https://leetcode.com/problems/longest-increasing-path-in-a-matrix/" TargetMode="External" Id="rId2179" /><Relationship Type="http://schemas.openxmlformats.org/officeDocument/2006/relationships/hyperlink" Target="https://leetcode.com/submissions/detail/1130611844/" TargetMode="External" Id="rId2180" /><Relationship Type="http://schemas.openxmlformats.org/officeDocument/2006/relationships/hyperlink" Target="https://leetcode.com/problems/path-with-minimum-effort/" TargetMode="External" Id="rId2181" /><Relationship Type="http://schemas.openxmlformats.org/officeDocument/2006/relationships/hyperlink" Target="https://leetcode.com/submissions/detail/1130722345/" TargetMode="External" Id="rId2182" /><Relationship Type="http://schemas.openxmlformats.org/officeDocument/2006/relationships/hyperlink" Target="https://leetcode.com/problems/path-with-minimum-effort/" TargetMode="External" Id="rId2183" /><Relationship Type="http://schemas.openxmlformats.org/officeDocument/2006/relationships/hyperlink" Target="https://leetcode.com/submissions/detail/1130731608/" TargetMode="External" Id="rId2184" /><Relationship Type="http://schemas.openxmlformats.org/officeDocument/2006/relationships/hyperlink" Target="https://leetcode.com/problems/path-with-minimum-effort/" TargetMode="External" Id="rId2185" /><Relationship Type="http://schemas.openxmlformats.org/officeDocument/2006/relationships/hyperlink" Target="https://leetcode.com/submissions/detail/1130731765/" TargetMode="External" Id="rId2186" /><Relationship Type="http://schemas.openxmlformats.org/officeDocument/2006/relationships/hyperlink" Target="https://leetcode.com/problems/reconstruct-itinerary/" TargetMode="External" Id="rId2187" /><Relationship Type="http://schemas.openxmlformats.org/officeDocument/2006/relationships/hyperlink" Target="https://leetcode.com/submissions/detail/1130928739/" TargetMode="External" Id="rId2188" /><Relationship Type="http://schemas.openxmlformats.org/officeDocument/2006/relationships/hyperlink" Target="https://leetcode.com/problems/minimum-window-substring/" TargetMode="External" Id="rId2189" /><Relationship Type="http://schemas.openxmlformats.org/officeDocument/2006/relationships/hyperlink" Target="https://leetcode.com/submissions/detail/1130947759/" TargetMode="External" Id="rId2190" /><Relationship Type="http://schemas.openxmlformats.org/officeDocument/2006/relationships/hyperlink" Target="https://leetcode.com/problems/minimum-window-substring/" TargetMode="External" Id="rId2191" /><Relationship Type="http://schemas.openxmlformats.org/officeDocument/2006/relationships/hyperlink" Target="https://leetcode.com/submissions/detail/1130949292/" TargetMode="External" Id="rId2192" /><Relationship Type="http://schemas.openxmlformats.org/officeDocument/2006/relationships/hyperlink" Target="https://leetcode.com/problems/minimum-window-substring/" TargetMode="External" Id="rId2193" /><Relationship Type="http://schemas.openxmlformats.org/officeDocument/2006/relationships/hyperlink" Target="https://leetcode.com/submissions/detail/1130949492/" TargetMode="External" Id="rId2194" /><Relationship Type="http://schemas.openxmlformats.org/officeDocument/2006/relationships/hyperlink" Target="https://leetcode.com/problems/minimum-window-substring/" TargetMode="External" Id="rId2195" /><Relationship Type="http://schemas.openxmlformats.org/officeDocument/2006/relationships/hyperlink" Target="https://leetcode.com/submissions/detail/1130949566/" TargetMode="External" Id="rId2196" /><Relationship Type="http://schemas.openxmlformats.org/officeDocument/2006/relationships/hyperlink" Target="https://leetcode.com/problems/serialize-and-deserialize-binary-tree/" TargetMode="External" Id="rId2197" /><Relationship Type="http://schemas.openxmlformats.org/officeDocument/2006/relationships/hyperlink" Target="https://leetcode.com/submissions/detail/1130967362/" TargetMode="External" Id="rId2198" /><Relationship Type="http://schemas.openxmlformats.org/officeDocument/2006/relationships/hyperlink" Target="https://leetcode.com/problems/serialize-and-deserialize-binary-tree/" TargetMode="External" Id="rId2199" /><Relationship Type="http://schemas.openxmlformats.org/officeDocument/2006/relationships/hyperlink" Target="https://leetcode.com/submissions/detail/1130969649/" TargetMode="External" Id="rId2200" /><Relationship Type="http://schemas.openxmlformats.org/officeDocument/2006/relationships/hyperlink" Target="https://leetcode.com/problems/find-in-mountain-array/" TargetMode="External" Id="rId2201" /><Relationship Type="http://schemas.openxmlformats.org/officeDocument/2006/relationships/hyperlink" Target="https://leetcode.com/submissions/detail/1130977442/" TargetMode="External" Id="rId2202" /><Relationship Type="http://schemas.openxmlformats.org/officeDocument/2006/relationships/hyperlink" Target="https://leetcode.com/problems/find-in-mountain-array/" TargetMode="External" Id="rId2203" /><Relationship Type="http://schemas.openxmlformats.org/officeDocument/2006/relationships/hyperlink" Target="https://leetcode.com/submissions/detail/1130977791/" TargetMode="External" Id="rId2204" /><Relationship Type="http://schemas.openxmlformats.org/officeDocument/2006/relationships/hyperlink" Target="https://leetcode.com/problems/find-in-mountain-array/" TargetMode="External" Id="rId2205" /><Relationship Type="http://schemas.openxmlformats.org/officeDocument/2006/relationships/hyperlink" Target="https://leetcode.com/submissions/detail/1130978155/" TargetMode="External" Id="rId2206" /><Relationship Type="http://schemas.openxmlformats.org/officeDocument/2006/relationships/hyperlink" Target="https://leetcode.com/problems/largest-rectangle-in-histogram/" TargetMode="External" Id="rId2207" /><Relationship Type="http://schemas.openxmlformats.org/officeDocument/2006/relationships/hyperlink" Target="https://leetcode.com/submissions/detail/1131038362/" TargetMode="External" Id="rId2208" /><Relationship Type="http://schemas.openxmlformats.org/officeDocument/2006/relationships/hyperlink" Target="https://leetcode.com/problems/largest-rectangle-in-histogram/" TargetMode="External" Id="rId2209" /><Relationship Type="http://schemas.openxmlformats.org/officeDocument/2006/relationships/hyperlink" Target="https://leetcode.com/submissions/detail/1131040251/" TargetMode="External" Id="rId2210" /><Relationship Type="http://schemas.openxmlformats.org/officeDocument/2006/relationships/hyperlink" Target="https://leetcode.com/problems/expression-add-operators/" TargetMode="External" Id="rId2211" /><Relationship Type="http://schemas.openxmlformats.org/officeDocument/2006/relationships/hyperlink" Target="https://leetcode.com/submissions/detail/1131581265/" TargetMode="External" Id="rId2212" /><Relationship Type="http://schemas.openxmlformats.org/officeDocument/2006/relationships/hyperlink" Target="https://leetcode.com/problems/expression-add-operators/" TargetMode="External" Id="rId2213" /><Relationship Type="http://schemas.openxmlformats.org/officeDocument/2006/relationships/hyperlink" Target="https://leetcode.com/submissions/detail/1131582212/" TargetMode="External" Id="rId2214" /><Relationship Type="http://schemas.openxmlformats.org/officeDocument/2006/relationships/hyperlink" Target="https://leetcode.com/problems/word-search-ii/" TargetMode="External" Id="rId2215" /><Relationship Type="http://schemas.openxmlformats.org/officeDocument/2006/relationships/hyperlink" Target="https://leetcode.com/submissions/detail/1131690819/" TargetMode="External" Id="rId2216" /><Relationship Type="http://schemas.openxmlformats.org/officeDocument/2006/relationships/hyperlink" Target="https://leetcode.com/problems/word-search-ii/" TargetMode="External" Id="rId2217" /><Relationship Type="http://schemas.openxmlformats.org/officeDocument/2006/relationships/hyperlink" Target="https://leetcode.com/submissions/detail/1131693426/" TargetMode="External" Id="rId2218" /><Relationship Type="http://schemas.openxmlformats.org/officeDocument/2006/relationships/hyperlink" Target="https://leetcode.com/problems/number-of-squareful-arrays/" TargetMode="External" Id="rId2219" /><Relationship Type="http://schemas.openxmlformats.org/officeDocument/2006/relationships/hyperlink" Target="https://leetcode.com/submissions/detail/1131708431/" TargetMode="External" Id="rId2220" /><Relationship Type="http://schemas.openxmlformats.org/officeDocument/2006/relationships/hyperlink" Target="https://leetcode.com/problems/number-of-squareful-arrays/" TargetMode="External" Id="rId2221" /><Relationship Type="http://schemas.openxmlformats.org/officeDocument/2006/relationships/hyperlink" Target="https://leetcode.com/submissions/detail/1131708471/" TargetMode="External" Id="rId2222" /><Relationship Type="http://schemas.openxmlformats.org/officeDocument/2006/relationships/hyperlink" Target="https://leetcode.com/problems/number-of-squareful-arrays/" TargetMode="External" Id="rId2223" /><Relationship Type="http://schemas.openxmlformats.org/officeDocument/2006/relationships/hyperlink" Target="https://leetcode.com/submissions/detail/1131709849/" TargetMode="External" Id="rId2224" /><Relationship Type="http://schemas.openxmlformats.org/officeDocument/2006/relationships/hyperlink" Target="https://leetcode.com/problems/basic-calculator/" TargetMode="External" Id="rId2225" /><Relationship Type="http://schemas.openxmlformats.org/officeDocument/2006/relationships/hyperlink" Target="https://leetcode.com/submissions/detail/1131734995/" TargetMode="External" Id="rId2226" /><Relationship Type="http://schemas.openxmlformats.org/officeDocument/2006/relationships/hyperlink" Target="https://leetcode.com/problems/basic-calculator-iii/" TargetMode="External" Id="rId2227" /><Relationship Type="http://schemas.openxmlformats.org/officeDocument/2006/relationships/hyperlink" Target="https://leetcode.com/submissions/detail/1131749449/" TargetMode="External" Id="rId2228" /><Relationship Type="http://schemas.openxmlformats.org/officeDocument/2006/relationships/hyperlink" Target="https://leetcode.com/problems/basic-calculator-iii/" TargetMode="External" Id="rId2229" /><Relationship Type="http://schemas.openxmlformats.org/officeDocument/2006/relationships/hyperlink" Target="https://leetcode.com/submissions/detail/1131749772/" TargetMode="External" Id="rId2230" /><Relationship Type="http://schemas.openxmlformats.org/officeDocument/2006/relationships/hyperlink" Target="https://leetcode.com/problems/basic-calculator-iii/" TargetMode="External" Id="rId2231" /><Relationship Type="http://schemas.openxmlformats.org/officeDocument/2006/relationships/hyperlink" Target="https://leetcode.com/submissions/detail/1131750265/" TargetMode="External" Id="rId2232" /><Relationship Type="http://schemas.openxmlformats.org/officeDocument/2006/relationships/hyperlink" Target="https://leetcode.com/problems/basic-calculator-iii/" TargetMode="External" Id="rId2233" /><Relationship Type="http://schemas.openxmlformats.org/officeDocument/2006/relationships/hyperlink" Target="https://leetcode.com/submissions/detail/1131751327/" TargetMode="External" Id="rId2234" /><Relationship Type="http://schemas.openxmlformats.org/officeDocument/2006/relationships/hyperlink" Target="https://leetcode.com/problems/basic-calculator-iii/" TargetMode="External" Id="rId2235" /><Relationship Type="http://schemas.openxmlformats.org/officeDocument/2006/relationships/hyperlink" Target="https://leetcode.com/submissions/detail/1131752384/" TargetMode="External" Id="rId2236" /><Relationship Type="http://schemas.openxmlformats.org/officeDocument/2006/relationships/hyperlink" Target="https://leetcode.com/problems/basic-calculator-iii/" TargetMode="External" Id="rId2237" /><Relationship Type="http://schemas.openxmlformats.org/officeDocument/2006/relationships/hyperlink" Target="https://leetcode.com/submissions/detail/1131752416/" TargetMode="External" Id="rId2238" /><Relationship Type="http://schemas.openxmlformats.org/officeDocument/2006/relationships/hyperlink" Target="https://leetcode.com/problems/basic-calculator-iii/" TargetMode="External" Id="rId2239" /><Relationship Type="http://schemas.openxmlformats.org/officeDocument/2006/relationships/hyperlink" Target="https://leetcode.com/submissions/detail/1131752448/" TargetMode="External" Id="rId2240" /><Relationship Type="http://schemas.openxmlformats.org/officeDocument/2006/relationships/hyperlink" Target="https://leetcode.com/problems/best-meeting-point/" TargetMode="External" Id="rId2241" /><Relationship Type="http://schemas.openxmlformats.org/officeDocument/2006/relationships/hyperlink" Target="https://leetcode.com/submissions/detail/1131760567/" TargetMode="External" Id="rId2242" /><Relationship Type="http://schemas.openxmlformats.org/officeDocument/2006/relationships/hyperlink" Target="https://leetcode.com/problems/3sum/" TargetMode="External" Id="rId2243" /><Relationship Type="http://schemas.openxmlformats.org/officeDocument/2006/relationships/hyperlink" Target="https://leetcode.com/submissions/detail/1131807750/" TargetMode="External" Id="rId2244" /><Relationship Type="http://schemas.openxmlformats.org/officeDocument/2006/relationships/hyperlink" Target="https://leetcode.com/problems/vertical-order-traversal-of-a-binary-tree/" TargetMode="External" Id="rId2245" /><Relationship Type="http://schemas.openxmlformats.org/officeDocument/2006/relationships/hyperlink" Target="https://leetcode.com/submissions/detail/1131815366/" TargetMode="External" Id="rId2246" /><Relationship Type="http://schemas.openxmlformats.org/officeDocument/2006/relationships/hyperlink" Target="https://leetcode.com/problems/vertical-order-traversal-of-a-binary-tree/" TargetMode="External" Id="rId2247" /><Relationship Type="http://schemas.openxmlformats.org/officeDocument/2006/relationships/hyperlink" Target="https://leetcode.com/submissions/detail/1131817380/" TargetMode="External" Id="rId2248" /><Relationship Type="http://schemas.openxmlformats.org/officeDocument/2006/relationships/hyperlink" Target="https://leetcode.com/problems/vertical-order-traversal-of-a-binary-tree/" TargetMode="External" Id="rId2249" /><Relationship Type="http://schemas.openxmlformats.org/officeDocument/2006/relationships/hyperlink" Target="https://leetcode.com/submissions/detail/1131817657/" TargetMode="External" Id="rId2250" /><Relationship Type="http://schemas.openxmlformats.org/officeDocument/2006/relationships/hyperlink" Target="https://leetcode.com/problems/next-permutation/" TargetMode="External" Id="rId2251" /><Relationship Type="http://schemas.openxmlformats.org/officeDocument/2006/relationships/hyperlink" Target="https://leetcode.com/submissions/detail/1132312147/" TargetMode="External" Id="rId2252" /><Relationship Type="http://schemas.openxmlformats.org/officeDocument/2006/relationships/hyperlink" Target="https://leetcode.com/problems/making-a-large-island/" TargetMode="External" Id="rId2253" /><Relationship Type="http://schemas.openxmlformats.org/officeDocument/2006/relationships/hyperlink" Target="https://leetcode.com/submissions/detail/1132338413/" TargetMode="External" Id="rId2254" /><Relationship Type="http://schemas.openxmlformats.org/officeDocument/2006/relationships/hyperlink" Target="https://leetcode.com/problems/making-a-large-island/" TargetMode="External" Id="rId2255" /><Relationship Type="http://schemas.openxmlformats.org/officeDocument/2006/relationships/hyperlink" Target="https://leetcode.com/submissions/detail/1132340043/" TargetMode="External" Id="rId2256" /><Relationship Type="http://schemas.openxmlformats.org/officeDocument/2006/relationships/hyperlink" Target="https://leetcode.com/problems/making-a-large-island/" TargetMode="External" Id="rId2257" /><Relationship Type="http://schemas.openxmlformats.org/officeDocument/2006/relationships/hyperlink" Target="https://leetcode.com/submissions/detail/1132340830/" TargetMode="External" Id="rId2258" /><Relationship Type="http://schemas.openxmlformats.org/officeDocument/2006/relationships/hyperlink" Target="https://leetcode.com/problems/making-a-large-island/" TargetMode="External" Id="rId2259" /><Relationship Type="http://schemas.openxmlformats.org/officeDocument/2006/relationships/hyperlink" Target="https://leetcode.com/submissions/detail/1132342888/" TargetMode="External" Id="rId2260" /><Relationship Type="http://schemas.openxmlformats.org/officeDocument/2006/relationships/hyperlink" Target="https://leetcode.com/problems/making-a-large-island/" TargetMode="External" Id="rId2261" /><Relationship Type="http://schemas.openxmlformats.org/officeDocument/2006/relationships/hyperlink" Target="https://leetcode.com/submissions/detail/1132345249/" TargetMode="External" Id="rId2262" /><Relationship Type="http://schemas.openxmlformats.org/officeDocument/2006/relationships/hyperlink" Target="https://leetcode.com/problems/making-a-large-island/" TargetMode="External" Id="rId2263" /><Relationship Type="http://schemas.openxmlformats.org/officeDocument/2006/relationships/hyperlink" Target="https://leetcode.com/submissions/detail/1132345564/" TargetMode="External" Id="rId2264" /><Relationship Type="http://schemas.openxmlformats.org/officeDocument/2006/relationships/hyperlink" Target="https://leetcode.com/problems/making-a-large-island/" TargetMode="External" Id="rId2265" /><Relationship Type="http://schemas.openxmlformats.org/officeDocument/2006/relationships/hyperlink" Target="https://leetcode.com/submissions/detail/1132346295/" TargetMode="External" Id="rId2266" /><Relationship Type="http://schemas.openxmlformats.org/officeDocument/2006/relationships/hyperlink" Target="https://leetcode.com/problems/making-a-large-island/" TargetMode="External" Id="rId2267" /><Relationship Type="http://schemas.openxmlformats.org/officeDocument/2006/relationships/hyperlink" Target="https://leetcode.com/submissions/detail/1132348827/" TargetMode="External" Id="rId2268" /><Relationship Type="http://schemas.openxmlformats.org/officeDocument/2006/relationships/hyperlink" Target="https://leetcode.com/problems/making-a-large-island/" TargetMode="External" Id="rId2269" /><Relationship Type="http://schemas.openxmlformats.org/officeDocument/2006/relationships/hyperlink" Target="https://leetcode.com/submissions/detail/1132351712/" TargetMode="External" Id="rId2270" /><Relationship Type="http://schemas.openxmlformats.org/officeDocument/2006/relationships/hyperlink" Target="https://leetcode.com/problems/making-a-large-island/" TargetMode="External" Id="rId2271" /><Relationship Type="http://schemas.openxmlformats.org/officeDocument/2006/relationships/hyperlink" Target="https://leetcode.com/submissions/detail/1132353241/" TargetMode="External" Id="rId2272" /><Relationship Type="http://schemas.openxmlformats.org/officeDocument/2006/relationships/hyperlink" Target="https://leetcode.com/problems/making-a-large-island/" TargetMode="External" Id="rId2273" /><Relationship Type="http://schemas.openxmlformats.org/officeDocument/2006/relationships/hyperlink" Target="https://leetcode.com/submissions/detail/1132356169/" TargetMode="External" Id="rId2274" /><Relationship Type="http://schemas.openxmlformats.org/officeDocument/2006/relationships/hyperlink" Target="https://leetcode.com/problems/making-a-large-island/" TargetMode="External" Id="rId2275" /><Relationship Type="http://schemas.openxmlformats.org/officeDocument/2006/relationships/hyperlink" Target="https://leetcode.com/submissions/detail/1132356332/" TargetMode="External" Id="rId2276" /><Relationship Type="http://schemas.openxmlformats.org/officeDocument/2006/relationships/hyperlink" Target="https://leetcode.com/problems/making-a-large-island/" TargetMode="External" Id="rId2277" /><Relationship Type="http://schemas.openxmlformats.org/officeDocument/2006/relationships/hyperlink" Target="https://leetcode.com/submissions/detail/1132358230/" TargetMode="External" Id="rId2278" /><Relationship Type="http://schemas.openxmlformats.org/officeDocument/2006/relationships/hyperlink" Target="https://leetcode.com/problems/making-a-large-island/" TargetMode="External" Id="rId2279" /><Relationship Type="http://schemas.openxmlformats.org/officeDocument/2006/relationships/hyperlink" Target="https://leetcode.com/submissions/detail/1132430006/" TargetMode="External" Id="rId2280" /><Relationship Type="http://schemas.openxmlformats.org/officeDocument/2006/relationships/hyperlink" Target="https://leetcode.com/problems/making-a-large-island/" TargetMode="External" Id="rId2281" /><Relationship Type="http://schemas.openxmlformats.org/officeDocument/2006/relationships/hyperlink" Target="https://leetcode.com/submissions/detail/1132432728/" TargetMode="External" Id="rId2282" /><Relationship Type="http://schemas.openxmlformats.org/officeDocument/2006/relationships/hyperlink" Target="https://leetcode.com/problems/insert-into-a-sorted-circular-linked-list/" TargetMode="External" Id="rId2283" /><Relationship Type="http://schemas.openxmlformats.org/officeDocument/2006/relationships/hyperlink" Target="https://leetcode.com/submissions/detail/1132452299/" TargetMode="External" Id="rId2284" /><Relationship Type="http://schemas.openxmlformats.org/officeDocument/2006/relationships/hyperlink" Target="https://leetcode.com/problems/maximum-swap/" TargetMode="External" Id="rId2285" /><Relationship Type="http://schemas.openxmlformats.org/officeDocument/2006/relationships/hyperlink" Target="https://leetcode.com/submissions/detail/1132457069/" TargetMode="External" Id="rId2286" /><Relationship Type="http://schemas.openxmlformats.org/officeDocument/2006/relationships/hyperlink" Target="https://leetcode.com/problems/remove-invalid-parentheses/" TargetMode="External" Id="rId2287" /><Relationship Type="http://schemas.openxmlformats.org/officeDocument/2006/relationships/hyperlink" Target="https://leetcode.com/submissions/detail/1132507586/" TargetMode="External" Id="rId2288" /><Relationship Type="http://schemas.openxmlformats.org/officeDocument/2006/relationships/hyperlink" Target="https://leetcode.com/problems/moving-average-from-data-stream/" TargetMode="External" Id="rId2289" /><Relationship Type="http://schemas.openxmlformats.org/officeDocument/2006/relationships/hyperlink" Target="https://leetcode.com/submissions/detail/1132518060/" TargetMode="External" Id="rId2290" /><Relationship Type="http://schemas.openxmlformats.org/officeDocument/2006/relationships/hyperlink" Target="https://leetcode.com/problems/lowest-common-ancestor-of-a-binary-tree/" TargetMode="External" Id="rId2291" /><Relationship Type="http://schemas.openxmlformats.org/officeDocument/2006/relationships/hyperlink" Target="https://leetcode.com/submissions/detail/1132541577/" TargetMode="External" Id="rId2292" /><Relationship Type="http://schemas.openxmlformats.org/officeDocument/2006/relationships/hyperlink" Target="https://leetcode.com/problems/lowest-common-ancestor-of-a-binary-tree/" TargetMode="External" Id="rId2293" /><Relationship Type="http://schemas.openxmlformats.org/officeDocument/2006/relationships/hyperlink" Target="https://leetcode.com/submissions/detail/1132541758/" TargetMode="External" Id="rId2294" /><Relationship Type="http://schemas.openxmlformats.org/officeDocument/2006/relationships/hyperlink" Target="https://leetcode.com/problems/lowest-common-ancestor-of-a-binary-tree/" TargetMode="External" Id="rId2295" /><Relationship Type="http://schemas.openxmlformats.org/officeDocument/2006/relationships/hyperlink" Target="https://leetcode.com/submissions/detail/1132541940/" TargetMode="External" Id="rId2296" /><Relationship Type="http://schemas.openxmlformats.org/officeDocument/2006/relationships/hyperlink" Target="https://leetcode.com/problems/lowest-common-ancestor-of-a-binary-tree/" TargetMode="External" Id="rId2297" /><Relationship Type="http://schemas.openxmlformats.org/officeDocument/2006/relationships/hyperlink" Target="https://leetcode.com/submissions/detail/1132542057/" TargetMode="External" Id="rId2298" /><Relationship Type="http://schemas.openxmlformats.org/officeDocument/2006/relationships/hyperlink" Target="https://leetcode.com/problems/k-closest-points-to-origin/" TargetMode="External" Id="rId2299" /><Relationship Type="http://schemas.openxmlformats.org/officeDocument/2006/relationships/hyperlink" Target="https://leetcode.com/submissions/detail/1132603413/" TargetMode="External" Id="rId2300" /><Relationship Type="http://schemas.openxmlformats.org/officeDocument/2006/relationships/hyperlink" Target="https://leetcode.com/problems/k-closest-points-to-origin/" TargetMode="External" Id="rId2301" /><Relationship Type="http://schemas.openxmlformats.org/officeDocument/2006/relationships/hyperlink" Target="https://leetcode.com/submissions/detail/1132603909/" TargetMode="External" Id="rId2302" /><Relationship Type="http://schemas.openxmlformats.org/officeDocument/2006/relationships/hyperlink" Target="https://leetcode.com/problems/k-closest-points-to-origin/" TargetMode="External" Id="rId2303" /><Relationship Type="http://schemas.openxmlformats.org/officeDocument/2006/relationships/hyperlink" Target="https://leetcode.com/submissions/detail/1132604152/" TargetMode="External" Id="rId2304" /><Relationship Type="http://schemas.openxmlformats.org/officeDocument/2006/relationships/hyperlink" Target="https://leetcode.com/problems/k-closest-points-to-origin/" TargetMode="External" Id="rId2305" /><Relationship Type="http://schemas.openxmlformats.org/officeDocument/2006/relationships/hyperlink" Target="https://leetcode.com/submissions/detail/1132604943/" TargetMode="External" Id="rId2306" /><Relationship Type="http://schemas.openxmlformats.org/officeDocument/2006/relationships/hyperlink" Target="https://leetcode.com/problems/swim-in-rising-water/" TargetMode="External" Id="rId2307" /><Relationship Type="http://schemas.openxmlformats.org/officeDocument/2006/relationships/hyperlink" Target="https://leetcode.com/submissions/detail/1132617566/" TargetMode="External" Id="rId2308" /><Relationship Type="http://schemas.openxmlformats.org/officeDocument/2006/relationships/hyperlink" Target="https://leetcode.com/problems/sum-of-unique-elements/" TargetMode="External" Id="rId2309" /><Relationship Type="http://schemas.openxmlformats.org/officeDocument/2006/relationships/hyperlink" Target="https://leetcode.com/submissions/detail/1132621107/" TargetMode="External" Id="rId2310" /><Relationship Type="http://schemas.openxmlformats.org/officeDocument/2006/relationships/hyperlink" Target="https://leetcode.com/problems/binary-tree-pruning/" TargetMode="External" Id="rId2311" /><Relationship Type="http://schemas.openxmlformats.org/officeDocument/2006/relationships/hyperlink" Target="https://leetcode.com/submissions/detail/1132621142/" TargetMode="External" Id="rId2312" /><Relationship Type="http://schemas.openxmlformats.org/officeDocument/2006/relationships/hyperlink" Target="https://leetcode.com/problems/binary-tree-pruning/" TargetMode="External" Id="rId2313" /><Relationship Type="http://schemas.openxmlformats.org/officeDocument/2006/relationships/hyperlink" Target="https://leetcode.com/submissions/detail/1132621567/" TargetMode="External" Id="rId2314" /><Relationship Type="http://schemas.openxmlformats.org/officeDocument/2006/relationships/hyperlink" Target="https://leetcode.com/problems/binary-tree-pruning/" TargetMode="External" Id="rId2315" /><Relationship Type="http://schemas.openxmlformats.org/officeDocument/2006/relationships/hyperlink" Target="https://leetcode.com/submissions/detail/1132621824/" TargetMode="External" Id="rId2316" /><Relationship Type="http://schemas.openxmlformats.org/officeDocument/2006/relationships/hyperlink" Target="https://leetcode.com/problems/binary-tree-pruning/" TargetMode="External" Id="rId2317" /><Relationship Type="http://schemas.openxmlformats.org/officeDocument/2006/relationships/hyperlink" Target="https://leetcode.com/submissions/detail/1132621943/" TargetMode="External" Id="rId2318" /><Relationship Type="http://schemas.openxmlformats.org/officeDocument/2006/relationships/hyperlink" Target="https://leetcode.com/problems/binary-tree-pruning/" TargetMode="External" Id="rId2319" /><Relationship Type="http://schemas.openxmlformats.org/officeDocument/2006/relationships/hyperlink" Target="https://leetcode.com/submissions/detail/1132622024/" TargetMode="External" Id="rId2320" /><Relationship Type="http://schemas.openxmlformats.org/officeDocument/2006/relationships/hyperlink" Target="https://leetcode.com/problems/binary-tree-pruning/" TargetMode="External" Id="rId2321" /><Relationship Type="http://schemas.openxmlformats.org/officeDocument/2006/relationships/hyperlink" Target="https://leetcode.com/submissions/detail/1132622143/" TargetMode="External" Id="rId2322" /><Relationship Type="http://schemas.openxmlformats.org/officeDocument/2006/relationships/hyperlink" Target="https://leetcode.com/problems/binary-tree-pruning/" TargetMode="External" Id="rId2323" /><Relationship Type="http://schemas.openxmlformats.org/officeDocument/2006/relationships/hyperlink" Target="https://leetcode.com/submissions/detail/1132622379/" TargetMode="External" Id="rId2324" /><Relationship Type="http://schemas.openxmlformats.org/officeDocument/2006/relationships/hyperlink" Target="https://leetcode.com/problems/binary-tree-pruning/" TargetMode="External" Id="rId2325" /><Relationship Type="http://schemas.openxmlformats.org/officeDocument/2006/relationships/hyperlink" Target="https://leetcode.com/submissions/detail/1132622540/" TargetMode="External" Id="rId2326" /><Relationship Type="http://schemas.openxmlformats.org/officeDocument/2006/relationships/hyperlink" Target="https://leetcode.com/problems/binary-tree-pruning/" TargetMode="External" Id="rId2327" /><Relationship Type="http://schemas.openxmlformats.org/officeDocument/2006/relationships/hyperlink" Target="https://leetcode.com/submissions/detail/1132622662/" TargetMode="External" Id="rId2328" /><Relationship Type="http://schemas.openxmlformats.org/officeDocument/2006/relationships/hyperlink" Target="https://leetcode.com/problems/binary-tree-pruning/" TargetMode="External" Id="rId2329" /><Relationship Type="http://schemas.openxmlformats.org/officeDocument/2006/relationships/hyperlink" Target="https://leetcode.com/submissions/detail/1132623294/" TargetMode="External" Id="rId2330" /><Relationship Type="http://schemas.openxmlformats.org/officeDocument/2006/relationships/hyperlink" Target="https://leetcode.com/problems/binary-tree-pruning/" TargetMode="External" Id="rId2331" /><Relationship Type="http://schemas.openxmlformats.org/officeDocument/2006/relationships/hyperlink" Target="https://leetcode.com/submissions/detail/1132625993/" TargetMode="External" Id="rId2332" /><Relationship Type="http://schemas.openxmlformats.org/officeDocument/2006/relationships/hyperlink" Target="https://leetcode.com/problems/swim-in-rising-water/" TargetMode="External" Id="rId2333" /><Relationship Type="http://schemas.openxmlformats.org/officeDocument/2006/relationships/hyperlink" Target="https://leetcode.com/submissions/detail/1132632572/" TargetMode="External" Id="rId2334" /><Relationship Type="http://schemas.openxmlformats.org/officeDocument/2006/relationships/hyperlink" Target="https://leetcode.com/problems/swim-in-rising-water/" TargetMode="External" Id="rId2335" /><Relationship Type="http://schemas.openxmlformats.org/officeDocument/2006/relationships/hyperlink" Target="https://leetcode.com/submissions/detail/1132632863/" TargetMode="External" Id="rId2336" /><Relationship Type="http://schemas.openxmlformats.org/officeDocument/2006/relationships/hyperlink" Target="https://leetcode.com/problems/swim-in-rising-water/" TargetMode="External" Id="rId2337" /><Relationship Type="http://schemas.openxmlformats.org/officeDocument/2006/relationships/hyperlink" Target="https://leetcode.com/submissions/detail/1132641819/" TargetMode="External" Id="rId2338" /><Relationship Type="http://schemas.openxmlformats.org/officeDocument/2006/relationships/hyperlink" Target="https://leetcode.com/problems/first-bad-version/" TargetMode="External" Id="rId2339" /><Relationship Type="http://schemas.openxmlformats.org/officeDocument/2006/relationships/hyperlink" Target="https://leetcode.com/submissions/detail/1132654946/" TargetMode="External" Id="rId2340" /><Relationship Type="http://schemas.openxmlformats.org/officeDocument/2006/relationships/hyperlink" Target="https://leetcode.com/problems/design-add-and-search-words-data-structure/" TargetMode="External" Id="rId2341" /><Relationship Type="http://schemas.openxmlformats.org/officeDocument/2006/relationships/hyperlink" Target="https://leetcode.com/submissions/detail/1132671929/" TargetMode="External" Id="rId2342" /><Relationship Type="http://schemas.openxmlformats.org/officeDocument/2006/relationships/hyperlink" Target="https://leetcode.com/problems/number-of-islands/" TargetMode="External" Id="rId2343" /><Relationship Type="http://schemas.openxmlformats.org/officeDocument/2006/relationships/hyperlink" Target="https://leetcode.com/submissions/detail/1132674438/" TargetMode="External" Id="rId2344" /><Relationship Type="http://schemas.openxmlformats.org/officeDocument/2006/relationships/hyperlink" Target="https://leetcode.com/problems/number-of-islands/" TargetMode="External" Id="rId2345" /><Relationship Type="http://schemas.openxmlformats.org/officeDocument/2006/relationships/hyperlink" Target="https://leetcode.com/submissions/detail/1132681858/" TargetMode="External" Id="rId2346" /><Relationship Type="http://schemas.openxmlformats.org/officeDocument/2006/relationships/hyperlink" Target="https://leetcode.com/problems/remove-invalid-parentheses/" TargetMode="External" Id="rId2347" /><Relationship Type="http://schemas.openxmlformats.org/officeDocument/2006/relationships/hyperlink" Target="https://leetcode.com/submissions/detail/1132694948/" TargetMode="External" Id="rId2348" /><Relationship Type="http://schemas.openxmlformats.org/officeDocument/2006/relationships/hyperlink" Target="https://leetcode.com/problems/valid-number/" TargetMode="External" Id="rId2349" /><Relationship Type="http://schemas.openxmlformats.org/officeDocument/2006/relationships/hyperlink" Target="https://leetcode.com/submissions/detail/1133405320/" TargetMode="External" Id="rId2350" /><Relationship Type="http://schemas.openxmlformats.org/officeDocument/2006/relationships/hyperlink" Target="https://leetcode.com/problems/convert-binary-search-tree-to-sorted-doubly-linked-list/" TargetMode="External" Id="rId2351" /><Relationship Type="http://schemas.openxmlformats.org/officeDocument/2006/relationships/hyperlink" Target="https://leetcode.com/submissions/detail/1133982312/" TargetMode="External" Id="rId2352" /><Relationship Type="http://schemas.openxmlformats.org/officeDocument/2006/relationships/hyperlink" Target="https://leetcode.com/problems/copy-list-with-random-pointer/" TargetMode="External" Id="rId2353" /><Relationship Type="http://schemas.openxmlformats.org/officeDocument/2006/relationships/hyperlink" Target="https://leetcode.com/submissions/detail/1134008815/" TargetMode="External" Id="rId2354" /><Relationship Type="http://schemas.openxmlformats.org/officeDocument/2006/relationships/hyperlink" Target="https://leetcode.com/problems/copy-list-with-random-pointer/" TargetMode="External" Id="rId2355" /><Relationship Type="http://schemas.openxmlformats.org/officeDocument/2006/relationships/hyperlink" Target="https://leetcode.com/submissions/detail/1134010731/" TargetMode="External" Id="rId2356" /><Relationship Type="http://schemas.openxmlformats.org/officeDocument/2006/relationships/hyperlink" Target="https://leetcode.com/problems/copy-list-with-random-pointer/" TargetMode="External" Id="rId2357" /><Relationship Type="http://schemas.openxmlformats.org/officeDocument/2006/relationships/hyperlink" Target="https://leetcode.com/submissions/detail/1134011422/" TargetMode="External" Id="rId2358" /><Relationship Type="http://schemas.openxmlformats.org/officeDocument/2006/relationships/hyperlink" Target="https://leetcode.com/problems/copy-list-with-random-pointer/" TargetMode="External" Id="rId2359" /><Relationship Type="http://schemas.openxmlformats.org/officeDocument/2006/relationships/hyperlink" Target="https://leetcode.com/submissions/detail/1134011626/" TargetMode="External" Id="rId2360" /><Relationship Type="http://schemas.openxmlformats.org/officeDocument/2006/relationships/hyperlink" Target="https://leetcode.com/problems/copy-list-with-random-pointer/" TargetMode="External" Id="rId2361" /><Relationship Type="http://schemas.openxmlformats.org/officeDocument/2006/relationships/hyperlink" Target="https://leetcode.com/submissions/detail/1134011763/" TargetMode="External" Id="rId2362" /><Relationship Type="http://schemas.openxmlformats.org/officeDocument/2006/relationships/hyperlink" Target="https://leetcode.com/problems/random-pick-index/" TargetMode="External" Id="rId2363" /><Relationship Type="http://schemas.openxmlformats.org/officeDocument/2006/relationships/hyperlink" Target="https://leetcode.com/submissions/detail/1134027278/" TargetMode="External" Id="rId2364" /><Relationship Type="http://schemas.openxmlformats.org/officeDocument/2006/relationships/hyperlink" Target="https://leetcode.com/problems/random-pick-index/" TargetMode="External" Id="rId2365" /><Relationship Type="http://schemas.openxmlformats.org/officeDocument/2006/relationships/hyperlink" Target="https://leetcode.com/submissions/detail/1134027560/" TargetMode="External" Id="rId2366" /><Relationship Type="http://schemas.openxmlformats.org/officeDocument/2006/relationships/hyperlink" Target="https://leetcode.com/problems/random-pick-index/" TargetMode="External" Id="rId2367" /><Relationship Type="http://schemas.openxmlformats.org/officeDocument/2006/relationships/hyperlink" Target="https://leetcode.com/submissions/detail/1134027921/" TargetMode="External" Id="rId2368" /><Relationship Type="http://schemas.openxmlformats.org/officeDocument/2006/relationships/hyperlink" Target="https://leetcode.com/problems/basic-calculator-ii/" TargetMode="External" Id="rId2369" /><Relationship Type="http://schemas.openxmlformats.org/officeDocument/2006/relationships/hyperlink" Target="https://leetcode.com/submissions/detail/1134032496/" TargetMode="External" Id="rId2370" /><Relationship Type="http://schemas.openxmlformats.org/officeDocument/2006/relationships/hyperlink" Target="https://leetcode.com/problems/merge-k-sorted-lists/" TargetMode="External" Id="rId2371" /><Relationship Type="http://schemas.openxmlformats.org/officeDocument/2006/relationships/hyperlink" Target="https://leetcode.com/submissions/detail/1134069625/" TargetMode="External" Id="rId2372" /><Relationship Type="http://schemas.openxmlformats.org/officeDocument/2006/relationships/hyperlink" Target="https://leetcode.com/problems/random-pick-with-weight/" TargetMode="External" Id="rId2373" /><Relationship Type="http://schemas.openxmlformats.org/officeDocument/2006/relationships/hyperlink" Target="https://leetcode.com/submissions/detail/1134082231/" TargetMode="External" Id="rId2374" /><Relationship Type="http://schemas.openxmlformats.org/officeDocument/2006/relationships/hyperlink" Target="https://leetcode.com/problems/count-and-say/" TargetMode="External" Id="rId2375" /><Relationship Type="http://schemas.openxmlformats.org/officeDocument/2006/relationships/hyperlink" Target="https://leetcode.com/submissions/detail/1134094340/" TargetMode="External" Id="rId2376" /><Relationship Type="http://schemas.openxmlformats.org/officeDocument/2006/relationships/hyperlink" Target="https://leetcode.com/problems/word-break/" TargetMode="External" Id="rId2377" /><Relationship Type="http://schemas.openxmlformats.org/officeDocument/2006/relationships/hyperlink" Target="https://leetcode.com/submissions/detail/1134878882/" TargetMode="External" Id="rId2378" /><Relationship Type="http://schemas.openxmlformats.org/officeDocument/2006/relationships/hyperlink" Target="https://leetcode.com/problems/word-break/" TargetMode="External" Id="rId2379" /><Relationship Type="http://schemas.openxmlformats.org/officeDocument/2006/relationships/hyperlink" Target="https://leetcode.com/submissions/detail/1134881936/" TargetMode="External" Id="rId2380" /><Relationship Type="http://schemas.openxmlformats.org/officeDocument/2006/relationships/hyperlink" Target="https://leetcode.com/problems/word-break/" TargetMode="External" Id="rId2381" /><Relationship Type="http://schemas.openxmlformats.org/officeDocument/2006/relationships/hyperlink" Target="https://leetcode.com/submissions/detail/1134882352/" TargetMode="External" Id="rId2382" /><Relationship Type="http://schemas.openxmlformats.org/officeDocument/2006/relationships/hyperlink" Target="https://leetcode.com/problems/word-break-ii/" TargetMode="External" Id="rId2383" /><Relationship Type="http://schemas.openxmlformats.org/officeDocument/2006/relationships/hyperlink" Target="https://leetcode.com/submissions/detail/1134908980/" TargetMode="External" Id="rId2384" /><Relationship Type="http://schemas.openxmlformats.org/officeDocument/2006/relationships/hyperlink" Target="https://leetcode.com/problems/word-break-ii/" TargetMode="External" Id="rId2385" /><Relationship Type="http://schemas.openxmlformats.org/officeDocument/2006/relationships/hyperlink" Target="https://leetcode.com/submissions/detail/1134922385/" TargetMode="External" Id="rId2386" /><Relationship Type="http://schemas.openxmlformats.org/officeDocument/2006/relationships/hyperlink" Target="https://leetcode.com/problems/word-break-ii/" TargetMode="External" Id="rId2387" /><Relationship Type="http://schemas.openxmlformats.org/officeDocument/2006/relationships/hyperlink" Target="https://leetcode.com/submissions/detail/1134922448/" TargetMode="External" Id="rId2388" /><Relationship Type="http://schemas.openxmlformats.org/officeDocument/2006/relationships/hyperlink" Target="https://leetcode.com/problems/word-break-ii/" TargetMode="External" Id="rId2389" /><Relationship Type="http://schemas.openxmlformats.org/officeDocument/2006/relationships/hyperlink" Target="https://leetcode.com/submissions/detail/1134922708/" TargetMode="External" Id="rId2390" /><Relationship Type="http://schemas.openxmlformats.org/officeDocument/2006/relationships/hyperlink" Target="https://leetcode.com/problems/basic-calculator-ii/" TargetMode="External" Id="rId2391" /><Relationship Type="http://schemas.openxmlformats.org/officeDocument/2006/relationships/hyperlink" Target="https://leetcode.com/submissions/detail/1135009242/" TargetMode="External" Id="rId2392" /><Relationship Type="http://schemas.openxmlformats.org/officeDocument/2006/relationships/hyperlink" Target="https://leetcode.com/problems/stickers-to-spell-word/" TargetMode="External" Id="rId2393" /><Relationship Type="http://schemas.openxmlformats.org/officeDocument/2006/relationships/hyperlink" Target="https://leetcode.com/submissions/detail/1135829227/" TargetMode="External" Id="rId2394" /><Relationship Type="http://schemas.openxmlformats.org/officeDocument/2006/relationships/hyperlink" Target="https://leetcode.com/problems/exclusive-time-of-functions/" TargetMode="External" Id="rId2395" /><Relationship Type="http://schemas.openxmlformats.org/officeDocument/2006/relationships/hyperlink" Target="https://leetcode.com/submissions/detail/1135984677/" TargetMode="External" Id="rId2396" /><Relationship Type="http://schemas.openxmlformats.org/officeDocument/2006/relationships/hyperlink" Target="https://leetcode.com/problems/ransom-note/" TargetMode="External" Id="rId2397" /><Relationship Type="http://schemas.openxmlformats.org/officeDocument/2006/relationships/hyperlink" Target="https://leetcode.com/submissions/detail/1136046852/" TargetMode="External" Id="rId2398" /><Relationship Type="http://schemas.openxmlformats.org/officeDocument/2006/relationships/hyperlink" Target="https://leetcode.com/problems/number-of-islands/" TargetMode="External" Id="rId2399" /><Relationship Type="http://schemas.openxmlformats.org/officeDocument/2006/relationships/hyperlink" Target="https://leetcode.com/submissions/detail/1137248532/" TargetMode="External" Id="rId2400" /><Relationship Type="http://schemas.openxmlformats.org/officeDocument/2006/relationships/hyperlink" Target="https://leetcode.com/problems/number-of-islands/" TargetMode="External" Id="rId2401" /><Relationship Type="http://schemas.openxmlformats.org/officeDocument/2006/relationships/hyperlink" Target="https://leetcode.com/submissions/detail/1137252497/" TargetMode="External" Id="rId2402" /><Relationship Type="http://schemas.openxmlformats.org/officeDocument/2006/relationships/hyperlink" Target="https://leetcode.com/problems/number-of-islands/" TargetMode="External" Id="rId2403" /><Relationship Type="http://schemas.openxmlformats.org/officeDocument/2006/relationships/hyperlink" Target="https://leetcode.com/submissions/detail/1137252595/" TargetMode="External" Id="rId2404" /><Relationship Type="http://schemas.openxmlformats.org/officeDocument/2006/relationships/hyperlink" Target="https://leetcode.com/problems/max-area-of-island/" TargetMode="External" Id="rId2405" /><Relationship Type="http://schemas.openxmlformats.org/officeDocument/2006/relationships/hyperlink" Target="https://leetcode.com/submissions/detail/1137302813/" TargetMode="External" Id="rId2406" /><Relationship Type="http://schemas.openxmlformats.org/officeDocument/2006/relationships/hyperlink" Target="https://leetcode.com/problems/max-area-of-island/" TargetMode="External" Id="rId2407" /><Relationship Type="http://schemas.openxmlformats.org/officeDocument/2006/relationships/hyperlink" Target="https://leetcode.com/submissions/detail/1137306766/" TargetMode="External" Id="rId2408" /><Relationship Type="http://schemas.openxmlformats.org/officeDocument/2006/relationships/hyperlink" Target="https://leetcode.com/problems/making-a-large-island/" TargetMode="External" Id="rId2409" /><Relationship Type="http://schemas.openxmlformats.org/officeDocument/2006/relationships/hyperlink" Target="https://leetcode.com/submissions/detail/1137313177/" TargetMode="External" Id="rId2410" /><Relationship Type="http://schemas.openxmlformats.org/officeDocument/2006/relationships/hyperlink" Target="https://leetcode.com/problems/valid-palindrome-iii/" TargetMode="External" Id="rId2411" /><Relationship Type="http://schemas.openxmlformats.org/officeDocument/2006/relationships/hyperlink" Target="https://leetcode.com/submissions/detail/1137358441/" TargetMode="External" Id="rId2412" /><Relationship Type="http://schemas.openxmlformats.org/officeDocument/2006/relationships/hyperlink" Target="https://leetcode.com/problems/product-of-two-run-length-encoded-arrays/" TargetMode="External" Id="rId2413" /><Relationship Type="http://schemas.openxmlformats.org/officeDocument/2006/relationships/hyperlink" Target="https://leetcode.com/submissions/detail/1137834234/" TargetMode="External" Id="rId2414" /><Relationship Type="http://schemas.openxmlformats.org/officeDocument/2006/relationships/hyperlink" Target="https://leetcode.com/problems/course-schedule/" TargetMode="External" Id="rId2415" /><Relationship Type="http://schemas.openxmlformats.org/officeDocument/2006/relationships/hyperlink" Target="https://leetcode.com/submissions/detail/1137908034/" TargetMode="External" Id="rId2416" /><Relationship Type="http://schemas.openxmlformats.org/officeDocument/2006/relationships/hyperlink" Target="https://leetcode.com/problems/course-schedule/" TargetMode="External" Id="rId2417" /><Relationship Type="http://schemas.openxmlformats.org/officeDocument/2006/relationships/hyperlink" Target="https://leetcode.com/submissions/detail/1137908453/" TargetMode="External" Id="rId2418" /><Relationship Type="http://schemas.openxmlformats.org/officeDocument/2006/relationships/hyperlink" Target="https://leetcode.com/problems/kth-missing-positive-number/" TargetMode="External" Id="rId2419" /><Relationship Type="http://schemas.openxmlformats.org/officeDocument/2006/relationships/hyperlink" Target="https://leetcode.com/submissions/detail/1138854879/" TargetMode="External" Id="rId2420" /><Relationship Type="http://schemas.openxmlformats.org/officeDocument/2006/relationships/hyperlink" Target="https://leetcode.com/problems/kth-missing-positive-number/" TargetMode="External" Id="rId2421" /><Relationship Type="http://schemas.openxmlformats.org/officeDocument/2006/relationships/hyperlink" Target="https://leetcode.com/submissions/detail/1138894606/" TargetMode="External" Id="rId2422" /><Relationship Type="http://schemas.openxmlformats.org/officeDocument/2006/relationships/hyperlink" Target="https://leetcode.com/problems/missing-element-in-sorted-array/" TargetMode="External" Id="rId2423" /><Relationship Type="http://schemas.openxmlformats.org/officeDocument/2006/relationships/hyperlink" Target="https://leetcode.com/submissions/detail/1138908166/" TargetMode="External" Id="rId2424" /><Relationship Type="http://schemas.openxmlformats.org/officeDocument/2006/relationships/hyperlink" Target="https://leetcode.com/problems/find-first-and-last-position-of-element-in-sorted-array/" TargetMode="External" Id="rId2425" /><Relationship Type="http://schemas.openxmlformats.org/officeDocument/2006/relationships/hyperlink" Target="https://leetcode.com/submissions/detail/1138914018/" TargetMode="External" Id="rId2426" /><Relationship Type="http://schemas.openxmlformats.org/officeDocument/2006/relationships/hyperlink" Target="https://leetcode.com/problems/search-a-2d-matrix/" TargetMode="External" Id="rId2427" /><Relationship Type="http://schemas.openxmlformats.org/officeDocument/2006/relationships/hyperlink" Target="https://leetcode.com/submissions/detail/1138953190/" TargetMode="External" Id="rId2428" /><Relationship Type="http://schemas.openxmlformats.org/officeDocument/2006/relationships/hyperlink" Target="https://leetcode.com/problems/find-in-mountain-array/" TargetMode="External" Id="rId2429" /><Relationship Type="http://schemas.openxmlformats.org/officeDocument/2006/relationships/hyperlink" Target="https://leetcode.com/submissions/detail/1138956729/" TargetMode="External" Id="rId2430" /><Relationship Type="http://schemas.openxmlformats.org/officeDocument/2006/relationships/hyperlink" Target="https://leetcode.com/problems/search-in-rotated-sorted-array/" TargetMode="External" Id="rId2431" /><Relationship Type="http://schemas.openxmlformats.org/officeDocument/2006/relationships/hyperlink" Target="https://leetcode.com/submissions/detail/1138961252/" TargetMode="External" Id="rId2432" /><Relationship Type="http://schemas.openxmlformats.org/officeDocument/2006/relationships/hyperlink" Target="https://leetcode.com/problems/binary-tree-maximum-path-sum/" TargetMode="External" Id="rId2433" /><Relationship Type="http://schemas.openxmlformats.org/officeDocument/2006/relationships/hyperlink" Target="https://leetcode.com/submissions/detail/1143852014/" TargetMode="External" Id="rId2434" /><Relationship Type="http://schemas.openxmlformats.org/officeDocument/2006/relationships/hyperlink" Target="https://leetcode.com/problems/binary-tree-maximum-path-sum/" TargetMode="External" Id="rId2435" /><Relationship Type="http://schemas.openxmlformats.org/officeDocument/2006/relationships/hyperlink" Target="https://leetcode.com/submissions/detail/1143852237/" TargetMode="External" Id="rId2436" /><Relationship Type="http://schemas.openxmlformats.org/officeDocument/2006/relationships/hyperlink" Target="https://leetcode.com/problems/binary-tree-maximum-path-sum/" TargetMode="External" Id="rId2437" /><Relationship Type="http://schemas.openxmlformats.org/officeDocument/2006/relationships/hyperlink" Target="https://leetcode.com/submissions/detail/1143853210/" TargetMode="External" Id="rId2438" /><Relationship Type="http://schemas.openxmlformats.org/officeDocument/2006/relationships/hyperlink" Target="https://leetcode.com/problems/binary-tree-maximum-path-sum/" TargetMode="External" Id="rId2439" /><Relationship Type="http://schemas.openxmlformats.org/officeDocument/2006/relationships/hyperlink" Target="https://leetcode.com/submissions/detail/1143853742/" TargetMode="External" Id="rId2440" /><Relationship Type="http://schemas.openxmlformats.org/officeDocument/2006/relationships/hyperlink" Target="https://leetcode.com/problems/binary-tree-maximum-path-sum/" TargetMode="External" Id="rId2441" /><Relationship Type="http://schemas.openxmlformats.org/officeDocument/2006/relationships/hyperlink" Target="https://leetcode.com/submissions/detail/1143853815/" TargetMode="External" Id="rId2442" /><Relationship Type="http://schemas.openxmlformats.org/officeDocument/2006/relationships/hyperlink" Target="https://leetcode.com/problems/binary-tree-maximum-path-sum/" TargetMode="External" Id="rId2443" /><Relationship Type="http://schemas.openxmlformats.org/officeDocument/2006/relationships/hyperlink" Target="https://leetcode.com/submissions/detail/1143854609/" TargetMode="External" Id="rId2444" /><Relationship Type="http://schemas.openxmlformats.org/officeDocument/2006/relationships/hyperlink" Target="https://leetcode.com/problems/binary-tree-maximum-path-sum/" TargetMode="External" Id="rId2445" /><Relationship Type="http://schemas.openxmlformats.org/officeDocument/2006/relationships/hyperlink" Target="https://leetcode.com/submissions/detail/1143857588/" TargetMode="External" Id="rId2446" /><Relationship Type="http://schemas.openxmlformats.org/officeDocument/2006/relationships/hyperlink" Target="https://leetcode.com/problems/integer-to-english-words/" TargetMode="External" Id="rId2447" /><Relationship Type="http://schemas.openxmlformats.org/officeDocument/2006/relationships/hyperlink" Target="https://leetcode.com/submissions/detail/1144310777/" TargetMode="External" Id="rId2448" /><Relationship Type="http://schemas.openxmlformats.org/officeDocument/2006/relationships/hyperlink" Target="https://leetcode.com/problems/integer-to-english-words/" TargetMode="External" Id="rId2449" /><Relationship Type="http://schemas.openxmlformats.org/officeDocument/2006/relationships/hyperlink" Target="https://leetcode.com/submissions/detail/1144311146/" TargetMode="External" Id="rId2450" /><Relationship Type="http://schemas.openxmlformats.org/officeDocument/2006/relationships/hyperlink" Target="https://leetcode.com/problems/integer-to-english-words/" TargetMode="External" Id="rId2451" /><Relationship Type="http://schemas.openxmlformats.org/officeDocument/2006/relationships/hyperlink" Target="https://leetcode.com/submissions/detail/1144312194/" TargetMode="External" Id="rId2452" /><Relationship Type="http://schemas.openxmlformats.org/officeDocument/2006/relationships/hyperlink" Target="https://leetcode.com/problems/integer-to-english-words/" TargetMode="External" Id="rId2453" /><Relationship Type="http://schemas.openxmlformats.org/officeDocument/2006/relationships/hyperlink" Target="https://leetcode.com/submissions/detail/1144312872/" TargetMode="External" Id="rId2454" /><Relationship Type="http://schemas.openxmlformats.org/officeDocument/2006/relationships/hyperlink" Target="https://leetcode.com/problems/integer-to-english-words/" TargetMode="External" Id="rId2455" /><Relationship Type="http://schemas.openxmlformats.org/officeDocument/2006/relationships/hyperlink" Target="https://leetcode.com/submissions/detail/1144313027/" TargetMode="External" Id="rId2456" /><Relationship Type="http://schemas.openxmlformats.org/officeDocument/2006/relationships/hyperlink" Target="https://leetcode.com/problems/integer-to-english-words/" TargetMode="External" Id="rId2457" /><Relationship Type="http://schemas.openxmlformats.org/officeDocument/2006/relationships/hyperlink" Target="https://leetcode.com/submissions/detail/1144313140/" TargetMode="External" Id="rId2458" /><Relationship Type="http://schemas.openxmlformats.org/officeDocument/2006/relationships/hyperlink" Target="https://leetcode.com/problems/integer-to-english-words/" TargetMode="External" Id="rId2459" /><Relationship Type="http://schemas.openxmlformats.org/officeDocument/2006/relationships/hyperlink" Target="https://leetcode.com/submissions/detail/1144313417/" TargetMode="External" Id="rId2460" /><Relationship Type="http://schemas.openxmlformats.org/officeDocument/2006/relationships/hyperlink" Target="https://leetcode.com/problems/valid-word-abbreviation/" TargetMode="External" Id="rId2461" /><Relationship Type="http://schemas.openxmlformats.org/officeDocument/2006/relationships/hyperlink" Target="https://leetcode.com/submissions/detail/1144355158/" TargetMode="External" Id="rId2462" /><Relationship Type="http://schemas.openxmlformats.org/officeDocument/2006/relationships/hyperlink" Target="https://leetcode.com/problems/lowest-common-ancestor-of-a-binary-tree-iii/" TargetMode="External" Id="rId2463" /><Relationship Type="http://schemas.openxmlformats.org/officeDocument/2006/relationships/hyperlink" Target="https://leetcode.com/submissions/detail/1144374104/" TargetMode="External" Id="rId2464" /><Relationship Type="http://schemas.openxmlformats.org/officeDocument/2006/relationships/hyperlink" Target="https://leetcode.com/problems/convert-binary-search-tree-to-sorted-doubly-linked-list/" TargetMode="External" Id="rId2465" /><Relationship Type="http://schemas.openxmlformats.org/officeDocument/2006/relationships/hyperlink" Target="https://leetcode.com/submissions/detail/1144582273/" TargetMode="External" Id="rId2466" /><Relationship Type="http://schemas.openxmlformats.org/officeDocument/2006/relationships/hyperlink" Target="https://leetcode.com/problems/convert-binary-search-tree-to-sorted-doubly-linked-list/" TargetMode="External" Id="rId2467" /><Relationship Type="http://schemas.openxmlformats.org/officeDocument/2006/relationships/hyperlink" Target="https://leetcode.com/submissions/detail/1144582411/" TargetMode="External" Id="rId2468" /><Relationship Type="http://schemas.openxmlformats.org/officeDocument/2006/relationships/hyperlink" Target="https://leetcode.com/problems/making-a-large-island/" TargetMode="External" Id="rId2469" /><Relationship Type="http://schemas.openxmlformats.org/officeDocument/2006/relationships/hyperlink" Target="https://leetcode.com/submissions/detail/1145240930/" TargetMode="External" Id="rId2470" /><Relationship Type="http://schemas.openxmlformats.org/officeDocument/2006/relationships/hyperlink" Target="https://leetcode.com/problems/remove-invalid-parentheses/" TargetMode="External" Id="rId2471" /><Relationship Type="http://schemas.openxmlformats.org/officeDocument/2006/relationships/hyperlink" Target="https://leetcode.com/submissions/detail/1145309080/" TargetMode="External" Id="rId2472" /><Relationship Type="http://schemas.openxmlformats.org/officeDocument/2006/relationships/hyperlink" Target="https://leetcode.com/problems/remove-invalid-parentheses/" TargetMode="External" Id="rId2473" /><Relationship Type="http://schemas.openxmlformats.org/officeDocument/2006/relationships/hyperlink" Target="https://leetcode.com/submissions/detail/1145314605/" TargetMode="External" Id="rId2474" /><Relationship Type="http://schemas.openxmlformats.org/officeDocument/2006/relationships/hyperlink" Target="https://leetcode.com/problems/remove-invalid-parentheses/" TargetMode="External" Id="rId2475" /><Relationship Type="http://schemas.openxmlformats.org/officeDocument/2006/relationships/hyperlink" Target="https://leetcode.com/submissions/detail/1145318187/" TargetMode="External" Id="rId2476" /><Relationship Type="http://schemas.openxmlformats.org/officeDocument/2006/relationships/hyperlink" Target="https://leetcode.com/problems/sum-root-to-leaf-numbers/" TargetMode="External" Id="rId2477" /><Relationship Type="http://schemas.openxmlformats.org/officeDocument/2006/relationships/hyperlink" Target="https://leetcode.com/submissions/detail/1145425746/" TargetMode="External" Id="rId2478" /><Relationship Type="http://schemas.openxmlformats.org/officeDocument/2006/relationships/hyperlink" Target="https://leetcode.com/problems/range-sum-of-bst/" TargetMode="External" Id="rId2479" /><Relationship Type="http://schemas.openxmlformats.org/officeDocument/2006/relationships/hyperlink" Target="https://leetcode.com/submissions/detail/1146073032/" TargetMode="External" Id="rId2480" /><Relationship Type="http://schemas.openxmlformats.org/officeDocument/2006/relationships/hyperlink" Target="https://leetcode.com/problems/top-k-frequent-elements/" TargetMode="External" Id="rId2481" /><Relationship Type="http://schemas.openxmlformats.org/officeDocument/2006/relationships/hyperlink" Target="https://leetcode.com/submissions/detail/1146450475/" TargetMode="External" Id="rId2482" /><Relationship Type="http://schemas.openxmlformats.org/officeDocument/2006/relationships/hyperlink" Target="https://leetcode.com/problems/top-k-frequent-elements/" TargetMode="External" Id="rId2483" /><Relationship Type="http://schemas.openxmlformats.org/officeDocument/2006/relationships/hyperlink" Target="https://leetcode.com/submissions/detail/1146455215/" TargetMode="External" Id="rId2484" /><Relationship Type="http://schemas.openxmlformats.org/officeDocument/2006/relationships/hyperlink" Target="https://leetcode.com/problems/top-k-frequent-elements/" TargetMode="External" Id="rId2485" /><Relationship Type="http://schemas.openxmlformats.org/officeDocument/2006/relationships/hyperlink" Target="https://leetcode.com/submissions/detail/1146455372/" TargetMode="External" Id="rId2486" /><Relationship Type="http://schemas.openxmlformats.org/officeDocument/2006/relationships/hyperlink" Target="https://leetcode.com/problems/find-k-closest-elements/" TargetMode="External" Id="rId2487" /><Relationship Type="http://schemas.openxmlformats.org/officeDocument/2006/relationships/hyperlink" Target="https://leetcode.com/submissions/detail/1146647786/" TargetMode="External" Id="rId2488" /><Relationship Type="http://schemas.openxmlformats.org/officeDocument/2006/relationships/hyperlink" Target="https://leetcode.com/problems/find-k-closest-elements/" TargetMode="External" Id="rId2489" /><Relationship Type="http://schemas.openxmlformats.org/officeDocument/2006/relationships/hyperlink" Target="https://leetcode.com/submissions/detail/1147028310/" TargetMode="External" Id="rId2490" /><Relationship Type="http://schemas.openxmlformats.org/officeDocument/2006/relationships/hyperlink" Target="https://leetcode.com/problems/find-k-closest-elements/" TargetMode="External" Id="rId2491" /><Relationship Type="http://schemas.openxmlformats.org/officeDocument/2006/relationships/hyperlink" Target="https://leetcode.com/submissions/detail/1147029879/" TargetMode="External" Id="rId2492" /><Relationship Type="http://schemas.openxmlformats.org/officeDocument/2006/relationships/hyperlink" Target="https://leetcode.com/problems/find-k-closest-elements/" TargetMode="External" Id="rId2493" /><Relationship Type="http://schemas.openxmlformats.org/officeDocument/2006/relationships/hyperlink" Target="https://leetcode.com/submissions/detail/1147034486/" TargetMode="External" Id="rId2494" /><Relationship Type="http://schemas.openxmlformats.org/officeDocument/2006/relationships/hyperlink" Target="https://leetcode.com/problems/find-k-closest-elements/" TargetMode="External" Id="rId2495" /><Relationship Type="http://schemas.openxmlformats.org/officeDocument/2006/relationships/hyperlink" Target="https://leetcode.com/submissions/detail/1147037915/" TargetMode="External" Id="rId2496" /><Relationship Type="http://schemas.openxmlformats.org/officeDocument/2006/relationships/hyperlink" Target="https://leetcode.com/problems/longest-increasing-path-in-a-matrix/" TargetMode="External" Id="rId2497" /><Relationship Type="http://schemas.openxmlformats.org/officeDocument/2006/relationships/hyperlink" Target="https://leetcode.com/submissions/detail/1147068669/" TargetMode="External" Id="rId2498" /><Relationship Type="http://schemas.openxmlformats.org/officeDocument/2006/relationships/hyperlink" Target="https://leetcode.com/problems/path-with-minimum-effort/" TargetMode="External" Id="rId2499" /><Relationship Type="http://schemas.openxmlformats.org/officeDocument/2006/relationships/hyperlink" Target="https://leetcode.com/submissions/detail/1147122502/" TargetMode="External" Id="rId2500" /><Relationship Type="http://schemas.openxmlformats.org/officeDocument/2006/relationships/hyperlink" Target="https://leetcode.com/problems/path-with-minimum-effort/" TargetMode="External" Id="rId2501" /><Relationship Type="http://schemas.openxmlformats.org/officeDocument/2006/relationships/hyperlink" Target="https://leetcode.com/submissions/detail/1147122724/" TargetMode="External" Id="rId2502" /><Relationship Type="http://schemas.openxmlformats.org/officeDocument/2006/relationships/hyperlink" Target="https://leetcode.com/problems/max-consecutive-ones-iii/" TargetMode="External" Id="rId2503" /><Relationship Type="http://schemas.openxmlformats.org/officeDocument/2006/relationships/hyperlink" Target="https://leetcode.com/submissions/detail/1147176998/" TargetMode="External" Id="rId2504" /><Relationship Type="http://schemas.openxmlformats.org/officeDocument/2006/relationships/hyperlink" Target="https://leetcode.com/problems/number-of-substrings-containing-all-three-characters/" TargetMode="External" Id="rId2505" /><Relationship Type="http://schemas.openxmlformats.org/officeDocument/2006/relationships/hyperlink" Target="https://leetcode.com/submissions/detail/1147351380/" TargetMode="External" Id="rId2506" /><Relationship Type="http://schemas.openxmlformats.org/officeDocument/2006/relationships/hyperlink" Target="https://leetcode.com/problems/find-first-and-last-position-of-element-in-sorted-array/" TargetMode="External" Id="rId2507" /><Relationship Type="http://schemas.openxmlformats.org/officeDocument/2006/relationships/hyperlink" Target="https://leetcode.com/submissions/detail/1147430361/" TargetMode="External" Id="rId2508" /><Relationship Type="http://schemas.openxmlformats.org/officeDocument/2006/relationships/hyperlink" Target="https://leetcode.com/problems/word-search/" TargetMode="External" Id="rId2509" /><Relationship Type="http://schemas.openxmlformats.org/officeDocument/2006/relationships/hyperlink" Target="https://leetcode.com/submissions/detail/1147477040/" TargetMode="External" Id="rId2510" /><Relationship Type="http://schemas.openxmlformats.org/officeDocument/2006/relationships/hyperlink" Target="https://leetcode.com/problems/word-search/" TargetMode="External" Id="rId2511" /><Relationship Type="http://schemas.openxmlformats.org/officeDocument/2006/relationships/hyperlink" Target="https://leetcode.com/submissions/detail/1147483129/" TargetMode="External" Id="rId2512" /><Relationship Type="http://schemas.openxmlformats.org/officeDocument/2006/relationships/hyperlink" Target="https://leetcode.com/problems/word-search-ii/" TargetMode="External" Id="rId2513" /><Relationship Type="http://schemas.openxmlformats.org/officeDocument/2006/relationships/hyperlink" Target="https://leetcode.com/submissions/detail/1147501144/" TargetMode="External" Id="rId2514" /><Relationship Type="http://schemas.openxmlformats.org/officeDocument/2006/relationships/hyperlink" Target="https://leetcode.com/problems/word-search-ii/" TargetMode="External" Id="rId2515" /><Relationship Type="http://schemas.openxmlformats.org/officeDocument/2006/relationships/hyperlink" Target="https://leetcode.com/submissions/detail/1147501258/" TargetMode="External" Id="rId2516" /><Relationship Type="http://schemas.openxmlformats.org/officeDocument/2006/relationships/hyperlink" Target="https://leetcode.com/problems/word-search-ii/" TargetMode="External" Id="rId2517" /><Relationship Type="http://schemas.openxmlformats.org/officeDocument/2006/relationships/hyperlink" Target="https://leetcode.com/submissions/detail/1147502205/" TargetMode="External" Id="rId2518" /><Relationship Type="http://schemas.openxmlformats.org/officeDocument/2006/relationships/hyperlink" Target="https://leetcode.com/problems/word-search-ii/" TargetMode="External" Id="rId2519" /><Relationship Type="http://schemas.openxmlformats.org/officeDocument/2006/relationships/hyperlink" Target="https://leetcode.com/submissions/detail/1147502515/" TargetMode="External" Id="rId2520" /><Relationship Type="http://schemas.openxmlformats.org/officeDocument/2006/relationships/hyperlink" Target="https://leetcode.com/problems/merge-k-sorted-lists/" TargetMode="External" Id="rId2521" /><Relationship Type="http://schemas.openxmlformats.org/officeDocument/2006/relationships/hyperlink" Target="https://leetcode.com/submissions/detail/1151716207/" TargetMode="External" Id="rId2522" /><Relationship Type="http://schemas.openxmlformats.org/officeDocument/2006/relationships/hyperlink" Target="https://leetcode.com/problems/add-strings/" TargetMode="External" Id="rId2523" /><Relationship Type="http://schemas.openxmlformats.org/officeDocument/2006/relationships/hyperlink" Target="https://leetcode.com/submissions/detail/1152910148/" TargetMode="External" Id="rId2524" /><Relationship Type="http://schemas.openxmlformats.org/officeDocument/2006/relationships/hyperlink" Target="https://leetcode.com/problems/binary-tree-right-side-view/" TargetMode="External" Id="rId2525" /><Relationship Type="http://schemas.openxmlformats.org/officeDocument/2006/relationships/hyperlink" Target="https://leetcode.com/submissions/detail/1152935407/" TargetMode="External" Id="rId2526" /><Relationship Type="http://schemas.openxmlformats.org/officeDocument/2006/relationships/hyperlink" Target="https://leetcode.com/problems/find-peak-element/" TargetMode="External" Id="rId2527" /><Relationship Type="http://schemas.openxmlformats.org/officeDocument/2006/relationships/hyperlink" Target="https://leetcode.com/submissions/detail/1152981759/" TargetMode="External" Id="rId2528" /><Relationship Type="http://schemas.openxmlformats.org/officeDocument/2006/relationships/hyperlink" Target="https://leetcode.com/problems/remove-invalid-parentheses/" TargetMode="External" Id="rId2529" /><Relationship Type="http://schemas.openxmlformats.org/officeDocument/2006/relationships/hyperlink" Target="https://leetcode.com/submissions/detail/1153143209/" TargetMode="External" Id="rId2530" /><Relationship Type="http://schemas.openxmlformats.org/officeDocument/2006/relationships/hyperlink" Target="https://leetcode.com/problems/remove-invalid-parentheses/" TargetMode="External" Id="rId2531" /><Relationship Type="http://schemas.openxmlformats.org/officeDocument/2006/relationships/hyperlink" Target="https://leetcode.com/submissions/detail/1153143273/" TargetMode="External" Id="rId2532" /><Relationship Type="http://schemas.openxmlformats.org/officeDocument/2006/relationships/hyperlink" Target="https://leetcode.com/problems/remove-invalid-parentheses/" TargetMode="External" Id="rId2533" /><Relationship Type="http://schemas.openxmlformats.org/officeDocument/2006/relationships/hyperlink" Target="https://leetcode.com/submissions/detail/1153148447/" TargetMode="External" Id="rId2534" /><Relationship Type="http://schemas.openxmlformats.org/officeDocument/2006/relationships/hyperlink" Target="https://leetcode.com/problems/meeting-rooms-ii/" TargetMode="External" Id="rId2535" /><Relationship Type="http://schemas.openxmlformats.org/officeDocument/2006/relationships/hyperlink" Target="https://leetcode.com/submissions/detail/1154103319/" TargetMode="External" Id="rId2536" /><Relationship Type="http://schemas.openxmlformats.org/officeDocument/2006/relationships/hyperlink" Target="https://leetcode.com/problems/meeting-rooms-ii/" TargetMode="External" Id="rId2537" /><Relationship Type="http://schemas.openxmlformats.org/officeDocument/2006/relationships/hyperlink" Target="https://leetcode.com/submissions/detail/1154107750/" TargetMode="External" Id="rId2538" /><Relationship Type="http://schemas.openxmlformats.org/officeDocument/2006/relationships/hyperlink" Target="https://leetcode.com/problems/number-of-visible-people-in-a-queue/" TargetMode="External" Id="rId2539" /><Relationship Type="http://schemas.openxmlformats.org/officeDocument/2006/relationships/hyperlink" Target="https://leetcode.com/submissions/detail/1154268527/" TargetMode="External" Id="rId2540" /><Relationship Type="http://schemas.openxmlformats.org/officeDocument/2006/relationships/hyperlink" Target="https://leetcode.com/problems/number-of-visible-people-in-a-queue/" TargetMode="External" Id="rId2541" /><Relationship Type="http://schemas.openxmlformats.org/officeDocument/2006/relationships/hyperlink" Target="https://leetcode.com/submissions/detail/1154268618/" TargetMode="External" Id="rId2542" /><Relationship Type="http://schemas.openxmlformats.org/officeDocument/2006/relationships/hyperlink" Target="https://leetcode.com/problems/number-of-visible-people-in-a-queue/" TargetMode="External" Id="rId2543" /><Relationship Type="http://schemas.openxmlformats.org/officeDocument/2006/relationships/hyperlink" Target="https://leetcode.com/submissions/detail/1154269872/" TargetMode="External" Id="rId2544" /><Relationship Type="http://schemas.openxmlformats.org/officeDocument/2006/relationships/hyperlink" Target="https://leetcode.com/problems/maximum-subarray-sum-with-one-deletion/" TargetMode="External" Id="rId2545" /><Relationship Type="http://schemas.openxmlformats.org/officeDocument/2006/relationships/hyperlink" Target="https://leetcode.com/submissions/detail/1154882252/" TargetMode="External" Id="rId2546" /><Relationship Type="http://schemas.openxmlformats.org/officeDocument/2006/relationships/hyperlink" Target="https://leetcode.com/problems/maximum-subarray-sum-with-one-deletion/" TargetMode="External" Id="rId2547" /><Relationship Type="http://schemas.openxmlformats.org/officeDocument/2006/relationships/hyperlink" Target="https://leetcode.com/submissions/detail/1154883219/" TargetMode="External" Id="rId2548" /><Relationship Type="http://schemas.openxmlformats.org/officeDocument/2006/relationships/hyperlink" Target="https://leetcode.com/problems/maximum-subarray-sum-with-one-deletion/" TargetMode="External" Id="rId2549" /><Relationship Type="http://schemas.openxmlformats.org/officeDocument/2006/relationships/hyperlink" Target="https://leetcode.com/submissions/detail/1154883274/" TargetMode="External" Id="rId2550" /><Relationship Type="http://schemas.openxmlformats.org/officeDocument/2006/relationships/hyperlink" Target="https://leetcode.com/problems/word-search/" TargetMode="External" Id="rId2551" /><Relationship Type="http://schemas.openxmlformats.org/officeDocument/2006/relationships/hyperlink" Target="https://leetcode.com/submissions/detail/1154895301/" TargetMode="External" Id="rId2552" /><Relationship Type="http://schemas.openxmlformats.org/officeDocument/2006/relationships/hyperlink" Target="https://leetcode.com/problems/word-search/" TargetMode="External" Id="rId2553" /><Relationship Type="http://schemas.openxmlformats.org/officeDocument/2006/relationships/hyperlink" Target="https://leetcode.com/submissions/detail/1154896180/" TargetMode="External" Id="rId2554" /><Relationship Type="http://schemas.openxmlformats.org/officeDocument/2006/relationships/hyperlink" Target="https://leetcode.com/problems/word-search/" TargetMode="External" Id="rId2555" /><Relationship Type="http://schemas.openxmlformats.org/officeDocument/2006/relationships/hyperlink" Target="https://leetcode.com/submissions/detail/1154897535/" TargetMode="External" Id="rId2556" /><Relationship Type="http://schemas.openxmlformats.org/officeDocument/2006/relationships/hyperlink" Target="https://leetcode.com/problems/word-search/" TargetMode="External" Id="rId2557" /><Relationship Type="http://schemas.openxmlformats.org/officeDocument/2006/relationships/hyperlink" Target="https://leetcode.com/submissions/detail/1154897690/" TargetMode="External" Id="rId2558" /><Relationship Type="http://schemas.openxmlformats.org/officeDocument/2006/relationships/hyperlink" Target="https://leetcode.com/problems/stickers-to-spell-word/" TargetMode="External" Id="rId2559" /><Relationship Type="http://schemas.openxmlformats.org/officeDocument/2006/relationships/hyperlink" Target="https://leetcode.com/submissions/detail/1154965626/" TargetMode="External" Id="rId2560" /><Relationship Type="http://schemas.openxmlformats.org/officeDocument/2006/relationships/hyperlink" Target="https://leetcode.com/problems/stickers-to-spell-word/" TargetMode="External" Id="rId2561" /><Relationship Type="http://schemas.openxmlformats.org/officeDocument/2006/relationships/hyperlink" Target="https://leetcode.com/submissions/detail/1154972440/" TargetMode="External" Id="rId2562" /><Relationship Type="http://schemas.openxmlformats.org/officeDocument/2006/relationships/hyperlink" Target="https://leetcode.com/problems/stickers-to-spell-word/" TargetMode="External" Id="rId2563" /><Relationship Type="http://schemas.openxmlformats.org/officeDocument/2006/relationships/hyperlink" Target="https://leetcode.com/submissions/detail/1154972762/" TargetMode="External" Id="rId2564" /><Relationship Type="http://schemas.openxmlformats.org/officeDocument/2006/relationships/hyperlink" Target="https://leetcode.com/problems/stickers-to-spell-word/" TargetMode="External" Id="rId2565" /><Relationship Type="http://schemas.openxmlformats.org/officeDocument/2006/relationships/hyperlink" Target="https://leetcode.com/submissions/detail/1154974248/" TargetMode="External" Id="rId2566" /><Relationship Type="http://schemas.openxmlformats.org/officeDocument/2006/relationships/hyperlink" Target="https://leetcode.com/problems/stickers-to-spell-word/" TargetMode="External" Id="rId2567" /><Relationship Type="http://schemas.openxmlformats.org/officeDocument/2006/relationships/hyperlink" Target="https://leetcode.com/submissions/detail/1154977367/" TargetMode="External" Id="rId2568" /><Relationship Type="http://schemas.openxmlformats.org/officeDocument/2006/relationships/hyperlink" Target="https://leetcode.com/problems/missing-element-in-sorted-array/" TargetMode="External" Id="rId2569" /><Relationship Type="http://schemas.openxmlformats.org/officeDocument/2006/relationships/hyperlink" Target="https://leetcode.com/submissions/detail/1155179452/" TargetMode="External" Id="rId2570" /><Relationship Type="http://schemas.openxmlformats.org/officeDocument/2006/relationships/hyperlink" Target="https://leetcode.com/problems/palindromic-substrings/" TargetMode="External" Id="rId2571" /><Relationship Type="http://schemas.openxmlformats.org/officeDocument/2006/relationships/hyperlink" Target="https://leetcode.com/submissions/detail/1156665634/" TargetMode="External" Id="rId2572" /><Relationship Type="http://schemas.openxmlformats.org/officeDocument/2006/relationships/hyperlink" Target="https://leetcode.com/problems/palindromic-substrings/" TargetMode="External" Id="rId2573" /><Relationship Type="http://schemas.openxmlformats.org/officeDocument/2006/relationships/hyperlink" Target="https://leetcode.com/submissions/detail/1156665756/" TargetMode="External" Id="rId2574" /><Relationship Type="http://schemas.openxmlformats.org/officeDocument/2006/relationships/hyperlink" Target="https://leetcode.com/problems/palindromic-substrings/" TargetMode="External" Id="rId2575" /><Relationship Type="http://schemas.openxmlformats.org/officeDocument/2006/relationships/hyperlink" Target="https://leetcode.com/submissions/detail/1156688848/" TargetMode="External" Id="rId2576" /><Relationship Type="http://schemas.openxmlformats.org/officeDocument/2006/relationships/hyperlink" Target="https://leetcode.com/problems/friends-of-appropriate-ages/" TargetMode="External" Id="rId2577" /><Relationship Type="http://schemas.openxmlformats.org/officeDocument/2006/relationships/hyperlink" Target="https://leetcode.com/submissions/detail/1156696705/" TargetMode="External" Id="rId2578" /><Relationship Type="http://schemas.openxmlformats.org/officeDocument/2006/relationships/hyperlink" Target="https://leetcode.com/problems/word-break/" TargetMode="External" Id="rId2579" /><Relationship Type="http://schemas.openxmlformats.org/officeDocument/2006/relationships/hyperlink" Target="https://leetcode.com/submissions/detail/1156737925/" TargetMode="External" Id="rId2580" /><Relationship Type="http://schemas.openxmlformats.org/officeDocument/2006/relationships/hyperlink" Target="https://leetcode.com/problems/word-break/" TargetMode="External" Id="rId2581" /><Relationship Type="http://schemas.openxmlformats.org/officeDocument/2006/relationships/hyperlink" Target="https://leetcode.com/submissions/detail/1156737982/" TargetMode="External" Id="rId2582" /><Relationship Type="http://schemas.openxmlformats.org/officeDocument/2006/relationships/hyperlink" Target="https://leetcode.com/problems/word-break/" TargetMode="External" Id="rId2583" /><Relationship Type="http://schemas.openxmlformats.org/officeDocument/2006/relationships/hyperlink" Target="https://leetcode.com/submissions/detail/1156758926/" TargetMode="External" Id="rId2584" /><Relationship Type="http://schemas.openxmlformats.org/officeDocument/2006/relationships/hyperlink" Target="https://leetcode.com/problems/word-break-ii/" TargetMode="External" Id="rId2585" /><Relationship Type="http://schemas.openxmlformats.org/officeDocument/2006/relationships/hyperlink" Target="https://leetcode.com/submissions/detail/1156779065/" TargetMode="External" Id="rId2586" /><Relationship Type="http://schemas.openxmlformats.org/officeDocument/2006/relationships/hyperlink" Target="https://leetcode.com/problems/verifying-an-alien-dictionary/" TargetMode="External" Id="rId2587" /><Relationship Type="http://schemas.openxmlformats.org/officeDocument/2006/relationships/hyperlink" Target="https://leetcode.com/submissions/detail/1156830185/" TargetMode="External" Id="rId2588" /><Relationship Type="http://schemas.openxmlformats.org/officeDocument/2006/relationships/hyperlink" Target="https://leetcode.com/problems/task-scheduler-ii/" TargetMode="External" Id="rId2589" /><Relationship Type="http://schemas.openxmlformats.org/officeDocument/2006/relationships/hyperlink" Target="https://leetcode.com/submissions/detail/1156893619/" TargetMode="External" Id="rId2590" /><Relationship Type="http://schemas.openxmlformats.org/officeDocument/2006/relationships/hyperlink" Target="https://leetcode.com/problems/max-area-of-island/" TargetMode="External" Id="rId2591" /><Relationship Type="http://schemas.openxmlformats.org/officeDocument/2006/relationships/hyperlink" Target="https://leetcode.com/submissions/detail/1156900767/" TargetMode="External" Id="rId2592" /><Relationship Type="http://schemas.openxmlformats.org/officeDocument/2006/relationships/hyperlink" Target="https://leetcode.com/problems/max-area-of-island/" TargetMode="External" Id="rId2593" /><Relationship Type="http://schemas.openxmlformats.org/officeDocument/2006/relationships/hyperlink" Target="https://leetcode.com/submissions/detail/1156900936/" TargetMode="External" Id="rId2594" /><Relationship Type="http://schemas.openxmlformats.org/officeDocument/2006/relationships/hyperlink" Target="https://leetcode.com/problems/max-area-of-island/" TargetMode="External" Id="rId2595" /><Relationship Type="http://schemas.openxmlformats.org/officeDocument/2006/relationships/hyperlink" Target="https://leetcode.com/submissions/detail/1156902497/" TargetMode="External" Id="rId2596" /><Relationship Type="http://schemas.openxmlformats.org/officeDocument/2006/relationships/hyperlink" Target="https://leetcode.com/problems/kth-missing-positive-number/" TargetMode="External" Id="rId2597" /><Relationship Type="http://schemas.openxmlformats.org/officeDocument/2006/relationships/hyperlink" Target="https://leetcode.com/submissions/detail/1156988662/" TargetMode="External" Id="rId2598" /><Relationship Type="http://schemas.openxmlformats.org/officeDocument/2006/relationships/hyperlink" Target="https://leetcode.com/problems/kth-missing-positive-number/" TargetMode="External" Id="rId2599" /><Relationship Type="http://schemas.openxmlformats.org/officeDocument/2006/relationships/hyperlink" Target="https://leetcode.com/submissions/detail/1156989236/" TargetMode="External" Id="rId2600" /><Relationship Type="http://schemas.openxmlformats.org/officeDocument/2006/relationships/hyperlink" Target="https://leetcode.com/problems/sliding-window-median/" TargetMode="External" Id="rId2601" /><Relationship Type="http://schemas.openxmlformats.org/officeDocument/2006/relationships/hyperlink" Target="https://leetcode.com/submissions/detail/1157053663/" TargetMode="External" Id="rId2602" /><Relationship Type="http://schemas.openxmlformats.org/officeDocument/2006/relationships/hyperlink" Target="https://leetcode.com/problems/missing-ranges/" TargetMode="External" Id="rId2603" /><Relationship Type="http://schemas.openxmlformats.org/officeDocument/2006/relationships/hyperlink" Target="https://leetcode.com/submissions/detail/1157722737/" TargetMode="External" Id="rId2604" /><Relationship Type="http://schemas.openxmlformats.org/officeDocument/2006/relationships/hyperlink" Target="https://leetcode.com/problems/missing-ranges/" TargetMode="External" Id="rId2605" /><Relationship Type="http://schemas.openxmlformats.org/officeDocument/2006/relationships/hyperlink" Target="https://leetcode.com/submissions/detail/1157723377/" TargetMode="External" Id="rId2606" /><Relationship Type="http://schemas.openxmlformats.org/officeDocument/2006/relationships/hyperlink" Target="https://leetcode.com/problems/missing-ranges/" TargetMode="External" Id="rId2607" /><Relationship Type="http://schemas.openxmlformats.org/officeDocument/2006/relationships/hyperlink" Target="https://leetcode.com/submissions/detail/1157724802/" TargetMode="External" Id="rId2608" /><Relationship Type="http://schemas.openxmlformats.org/officeDocument/2006/relationships/hyperlink" Target="https://leetcode.com/problems/missing-ranges/" TargetMode="External" Id="rId2609" /><Relationship Type="http://schemas.openxmlformats.org/officeDocument/2006/relationships/hyperlink" Target="https://leetcode.com/submissions/detail/1157725597/" TargetMode="External" Id="rId2610" /><Relationship Type="http://schemas.openxmlformats.org/officeDocument/2006/relationships/hyperlink" Target="https://leetcode.com/problems/word-search-ii/" TargetMode="External" Id="rId2611" /><Relationship Type="http://schemas.openxmlformats.org/officeDocument/2006/relationships/hyperlink" Target="https://leetcode.com/submissions/detail/1157747996/" TargetMode="External" Id="rId2612" /><Relationship Type="http://schemas.openxmlformats.org/officeDocument/2006/relationships/hyperlink" Target="https://leetcode.com/problems/word-search-ii/" TargetMode="External" Id="rId2613" /><Relationship Type="http://schemas.openxmlformats.org/officeDocument/2006/relationships/hyperlink" Target="https://leetcode.com/submissions/detail/1157748687/" TargetMode="External" Id="rId2614" /><Relationship Type="http://schemas.openxmlformats.org/officeDocument/2006/relationships/hyperlink" Target="https://leetcode.com/problems/word-search-ii/" TargetMode="External" Id="rId2615" /><Relationship Type="http://schemas.openxmlformats.org/officeDocument/2006/relationships/hyperlink" Target="https://leetcode.com/submissions/detail/1157749014/" TargetMode="External" Id="rId2616" /><Relationship Type="http://schemas.openxmlformats.org/officeDocument/2006/relationships/hyperlink" Target="https://leetcode.com/problems/word-search-ii/" TargetMode="External" Id="rId2617" /><Relationship Type="http://schemas.openxmlformats.org/officeDocument/2006/relationships/hyperlink" Target="https://leetcode.com/submissions/detail/1157749411/" TargetMode="External" Id="rId2618" /><Relationship Type="http://schemas.openxmlformats.org/officeDocument/2006/relationships/hyperlink" Target="https://leetcode.com/problems/word-search-ii/" TargetMode="External" Id="rId2619" /><Relationship Type="http://schemas.openxmlformats.org/officeDocument/2006/relationships/hyperlink" Target="https://leetcode.com/submissions/detail/1157749556/" TargetMode="External" Id="rId2620" /><Relationship Type="http://schemas.openxmlformats.org/officeDocument/2006/relationships/hyperlink" Target="https://leetcode.com/problems/word-search-ii/" TargetMode="External" Id="rId2621" /><Relationship Type="http://schemas.openxmlformats.org/officeDocument/2006/relationships/hyperlink" Target="https://leetcode.com/submissions/detail/1157751358/" TargetMode="External" Id="rId2622" /><Relationship Type="http://schemas.openxmlformats.org/officeDocument/2006/relationships/hyperlink" Target="https://leetcode.com/problems/word-search-ii/" TargetMode="External" Id="rId2623" /><Relationship Type="http://schemas.openxmlformats.org/officeDocument/2006/relationships/hyperlink" Target="https://leetcode.com/submissions/detail/1157755766/" TargetMode="External" Id="rId2624" /><Relationship Type="http://schemas.openxmlformats.org/officeDocument/2006/relationships/hyperlink" Target="https://leetcode.com/problems/word-search-ii/" TargetMode="External" Id="rId2625" /><Relationship Type="http://schemas.openxmlformats.org/officeDocument/2006/relationships/hyperlink" Target="https://leetcode.com/submissions/detail/1157761029/" TargetMode="External" Id="rId2626" /><Relationship Type="http://schemas.openxmlformats.org/officeDocument/2006/relationships/hyperlink" Target="https://leetcode.com/problems/word-search-ii/" TargetMode="External" Id="rId2627" /><Relationship Type="http://schemas.openxmlformats.org/officeDocument/2006/relationships/hyperlink" Target="https://leetcode.com/submissions/detail/1157762230/" TargetMode="External" Id="rId2628" /><Relationship Type="http://schemas.openxmlformats.org/officeDocument/2006/relationships/hyperlink" Target="https://leetcode.com/problems/word-break-ii/" TargetMode="External" Id="rId2629" /><Relationship Type="http://schemas.openxmlformats.org/officeDocument/2006/relationships/hyperlink" Target="https://leetcode.com/submissions/detail/1157782018/" TargetMode="External" Id="rId2630" /><Relationship Type="http://schemas.openxmlformats.org/officeDocument/2006/relationships/hyperlink" Target="https://leetcode.com/problems/word-break-ii/" TargetMode="External" Id="rId2631" /><Relationship Type="http://schemas.openxmlformats.org/officeDocument/2006/relationships/hyperlink" Target="https://leetcode.com/submissions/detail/1157782336/" TargetMode="External" Id="rId2632" /><Relationship Type="http://schemas.openxmlformats.org/officeDocument/2006/relationships/hyperlink" Target="https://leetcode.com/problems/diagonal-traverse-ii/" TargetMode="External" Id="rId2633" /><Relationship Type="http://schemas.openxmlformats.org/officeDocument/2006/relationships/hyperlink" Target="https://leetcode.com/submissions/detail/1157919798/" TargetMode="External" Id="rId2634" /><Relationship Type="http://schemas.openxmlformats.org/officeDocument/2006/relationships/hyperlink" Target="https://leetcode.com/problems/swim-in-rising-water/" TargetMode="External" Id="rId2635" /><Relationship Type="http://schemas.openxmlformats.org/officeDocument/2006/relationships/hyperlink" Target="https://leetcode.com/submissions/detail/1157922059/" TargetMode="External" Id="rId2636" /><Relationship Type="http://schemas.openxmlformats.org/officeDocument/2006/relationships/hyperlink" Target="https://leetcode.com/problems/swim-in-rising-water/" TargetMode="External" Id="rId2637" /><Relationship Type="http://schemas.openxmlformats.org/officeDocument/2006/relationships/hyperlink" Target="https://leetcode.com/submissions/detail/1157922288/" TargetMode="External" Id="rId2638" /><Relationship Type="http://schemas.openxmlformats.org/officeDocument/2006/relationships/hyperlink" Target="https://leetcode.com/problems/letter-combinations-of-a-phone-number/" TargetMode="External" Id="rId2639" /><Relationship Type="http://schemas.openxmlformats.org/officeDocument/2006/relationships/hyperlink" Target="https://leetcode.com/submissions/detail/1157970096/" TargetMode="External" Id="rId2640" /><Relationship Type="http://schemas.openxmlformats.org/officeDocument/2006/relationships/hyperlink" Target="https://leetcode.com/problems/max-consecutive-ones-iii/" TargetMode="External" Id="rId2641" /><Relationship Type="http://schemas.openxmlformats.org/officeDocument/2006/relationships/hyperlink" Target="https://leetcode.com/submissions/detail/1158417154/" TargetMode="External" Id="rId2642" /><Relationship Type="http://schemas.openxmlformats.org/officeDocument/2006/relationships/hyperlink" Target="https://leetcode.com/problems/valid-parentheses/" TargetMode="External" Id="rId2643" /><Relationship Type="http://schemas.openxmlformats.org/officeDocument/2006/relationships/hyperlink" Target="https://leetcode.com/submissions/detail/1158444134/" TargetMode="External" Id="rId2644" /><Relationship Type="http://schemas.openxmlformats.org/officeDocument/2006/relationships/hyperlink" Target="https://leetcode.com/problems/find-k-closest-elements/" TargetMode="External" Id="rId2645" /><Relationship Type="http://schemas.openxmlformats.org/officeDocument/2006/relationships/hyperlink" Target="https://leetcode.com/submissions/detail/1158532712/" TargetMode="External" Id="rId2646" /><Relationship Type="http://schemas.openxmlformats.org/officeDocument/2006/relationships/hyperlink" Target="https://leetcode.com/problems/top-k-frequent-words/" TargetMode="External" Id="rId2647" /><Relationship Type="http://schemas.openxmlformats.org/officeDocument/2006/relationships/hyperlink" Target="https://leetcode.com/submissions/detail/1158610943/" TargetMode="External" Id="rId2648" /><Relationship Type="http://schemas.openxmlformats.org/officeDocument/2006/relationships/hyperlink" Target="https://leetcode.com/problems/continuous-subarray-sum/" TargetMode="External" Id="rId2649" /><Relationship Type="http://schemas.openxmlformats.org/officeDocument/2006/relationships/hyperlink" Target="https://leetcode.com/submissions/detail/1158719599/" TargetMode="External" Id="rId2650" /><Relationship Type="http://schemas.openxmlformats.org/officeDocument/2006/relationships/hyperlink" Target="https://leetcode.com/problems/continuous-subarray-sum/" TargetMode="External" Id="rId2651" /><Relationship Type="http://schemas.openxmlformats.org/officeDocument/2006/relationships/hyperlink" Target="https://leetcode.com/submissions/detail/1158719802/" TargetMode="External" Id="rId2652" /><Relationship Type="http://schemas.openxmlformats.org/officeDocument/2006/relationships/hyperlink" Target="https://leetcode.com/problems/continuous-subarray-sum/" TargetMode="External" Id="rId2653" /><Relationship Type="http://schemas.openxmlformats.org/officeDocument/2006/relationships/hyperlink" Target="https://leetcode.com/submissions/detail/1158719929/" TargetMode="External" Id="rId2654" /><Relationship Type="http://schemas.openxmlformats.org/officeDocument/2006/relationships/hyperlink" Target="https://leetcode.com/problems/continuous-subarray-sum/" TargetMode="External" Id="rId2655" /><Relationship Type="http://schemas.openxmlformats.org/officeDocument/2006/relationships/hyperlink" Target="https://leetcode.com/submissions/detail/1158721132/" TargetMode="External" Id="rId2656" /><Relationship Type="http://schemas.openxmlformats.org/officeDocument/2006/relationships/hyperlink" Target="https://leetcode.com/problems/continuous-subarray-sum/" TargetMode="External" Id="rId2657" /><Relationship Type="http://schemas.openxmlformats.org/officeDocument/2006/relationships/hyperlink" Target="https://leetcode.com/submissions/detail/1158721195/" TargetMode="External" Id="rId2658" /><Relationship Type="http://schemas.openxmlformats.org/officeDocument/2006/relationships/hyperlink" Target="https://leetcode.com/problems/one-edit-distance/" TargetMode="External" Id="rId2659" /><Relationship Type="http://schemas.openxmlformats.org/officeDocument/2006/relationships/hyperlink" Target="https://leetcode.com/submissions/detail/1159605169/" TargetMode="External" Id="rId2660" /><Relationship Type="http://schemas.openxmlformats.org/officeDocument/2006/relationships/hyperlink" Target="https://leetcode.com/problems/one-edit-distance/" TargetMode="External" Id="rId2661" /><Relationship Type="http://schemas.openxmlformats.org/officeDocument/2006/relationships/hyperlink" Target="https://leetcode.com/submissions/detail/1159608686/" TargetMode="External" Id="rId2662" /><Relationship Type="http://schemas.openxmlformats.org/officeDocument/2006/relationships/hyperlink" Target="https://leetcode.com/problems/one-edit-distance/" TargetMode="External" Id="rId2663" /><Relationship Type="http://schemas.openxmlformats.org/officeDocument/2006/relationships/hyperlink" Target="https://leetcode.com/submissions/detail/1159609608/" TargetMode="External" Id="rId2664" /><Relationship Type="http://schemas.openxmlformats.org/officeDocument/2006/relationships/hyperlink" Target="https://leetcode.com/problems/one-edit-distance/" TargetMode="External" Id="rId2665" /><Relationship Type="http://schemas.openxmlformats.org/officeDocument/2006/relationships/hyperlink" Target="https://leetcode.com/submissions/detail/1159609851/" TargetMode="External" Id="rId2666" /><Relationship Type="http://schemas.openxmlformats.org/officeDocument/2006/relationships/hyperlink" Target="https://leetcode.com/problems/meeting-rooms-ii/" TargetMode="External" Id="rId2667" /><Relationship Type="http://schemas.openxmlformats.org/officeDocument/2006/relationships/hyperlink" Target="https://leetcode.com/submissions/detail/1160366589/" TargetMode="External" Id="rId2668" /><Relationship Type="http://schemas.openxmlformats.org/officeDocument/2006/relationships/hyperlink" Target="https://leetcode.com/problems/construct-binary-tree-from-string/" TargetMode="External" Id="rId2669" /><Relationship Type="http://schemas.openxmlformats.org/officeDocument/2006/relationships/hyperlink" Target="https://leetcode.com/submissions/detail/1160500292/" TargetMode="External" Id="rId2670" /><Relationship Type="http://schemas.openxmlformats.org/officeDocument/2006/relationships/hyperlink" Target="https://leetcode.com/problems/construct-binary-tree-from-string/" TargetMode="External" Id="rId2671" /><Relationship Type="http://schemas.openxmlformats.org/officeDocument/2006/relationships/hyperlink" Target="https://leetcode.com/submissions/detail/1160501419/" TargetMode="External" Id="rId2672" /><Relationship Type="http://schemas.openxmlformats.org/officeDocument/2006/relationships/hyperlink" Target="https://leetcode.com/problems/custom-sort-string/" TargetMode="External" Id="rId2673" /><Relationship Type="http://schemas.openxmlformats.org/officeDocument/2006/relationships/hyperlink" Target="https://leetcode.com/submissions/detail/1163535743/" TargetMode="External" Id="rId2674" /><Relationship Type="http://schemas.openxmlformats.org/officeDocument/2006/relationships/hyperlink" Target="https://leetcode.com/problems/valid-number/" TargetMode="External" Id="rId2675" /><Relationship Type="http://schemas.openxmlformats.org/officeDocument/2006/relationships/hyperlink" Target="https://leetcode.com/submissions/detail/1163545671/" TargetMode="External" Id="rId2676" /><Relationship Type="http://schemas.openxmlformats.org/officeDocument/2006/relationships/hyperlink" Target="https://leetcode.com/problems/stickers-to-spell-word/" TargetMode="External" Id="rId2677" /><Relationship Type="http://schemas.openxmlformats.org/officeDocument/2006/relationships/hyperlink" Target="https://leetcode.com/submissions/detail/1164257844/" TargetMode="External" Id="rId2678" /><Relationship Type="http://schemas.openxmlformats.org/officeDocument/2006/relationships/hyperlink" Target="https://leetcode.com/problems/stickers-to-spell-word/" TargetMode="External" Id="rId2679" /><Relationship Type="http://schemas.openxmlformats.org/officeDocument/2006/relationships/hyperlink" Target="https://leetcode.com/submissions/detail/1164258554/" TargetMode="External" Id="rId2680" /><Relationship Type="http://schemas.openxmlformats.org/officeDocument/2006/relationships/hyperlink" Target="https://leetcode.com/problems/stickers-to-spell-word/" TargetMode="External" Id="rId2681" /><Relationship Type="http://schemas.openxmlformats.org/officeDocument/2006/relationships/hyperlink" Target="https://leetcode.com/submissions/detail/1164259387/" TargetMode="External" Id="rId2682" /><Relationship Type="http://schemas.openxmlformats.org/officeDocument/2006/relationships/hyperlink" Target="https://leetcode.com/problems/stickers-to-spell-word/" TargetMode="External" Id="rId2683" /><Relationship Type="http://schemas.openxmlformats.org/officeDocument/2006/relationships/hyperlink" Target="https://leetcode.com/submissions/detail/1164260405/" TargetMode="External" Id="rId2684" /><Relationship Type="http://schemas.openxmlformats.org/officeDocument/2006/relationships/hyperlink" Target="https://leetcode.com/problems/stickers-to-spell-word/" TargetMode="External" Id="rId2685" /><Relationship Type="http://schemas.openxmlformats.org/officeDocument/2006/relationships/hyperlink" Target="https://leetcode.com/submissions/detail/1164260825/" TargetMode="External" Id="rId2686" /><Relationship Type="http://schemas.openxmlformats.org/officeDocument/2006/relationships/hyperlink" Target="https://leetcode.com/problems/stickers-to-spell-word/" TargetMode="External" Id="rId2687" /><Relationship Type="http://schemas.openxmlformats.org/officeDocument/2006/relationships/hyperlink" Target="https://leetcode.com/submissions/detail/1164263323/" TargetMode="External" Id="rId2688" /><Relationship Type="http://schemas.openxmlformats.org/officeDocument/2006/relationships/hyperlink" Target="https://leetcode.com/problems/stickers-to-spell-word/" TargetMode="External" Id="rId2689" /><Relationship Type="http://schemas.openxmlformats.org/officeDocument/2006/relationships/hyperlink" Target="https://leetcode.com/submissions/detail/1164263373/" TargetMode="External" Id="rId2690" /><Relationship Type="http://schemas.openxmlformats.org/officeDocument/2006/relationships/hyperlink" Target="https://leetcode.com/problems/stickers-to-spell-word/" TargetMode="External" Id="rId2691" /><Relationship Type="http://schemas.openxmlformats.org/officeDocument/2006/relationships/hyperlink" Target="https://leetcode.com/submissions/detail/1164265403/" TargetMode="External" Id="rId2692" /><Relationship Type="http://schemas.openxmlformats.org/officeDocument/2006/relationships/hyperlink" Target="https://leetcode.com/problems/maximum-swap/" TargetMode="External" Id="rId2693" /><Relationship Type="http://schemas.openxmlformats.org/officeDocument/2006/relationships/hyperlink" Target="https://leetcode.com/submissions/detail/1164268995/" TargetMode="External" Id="rId2694" /><Relationship Type="http://schemas.openxmlformats.org/officeDocument/2006/relationships/hyperlink" Target="https://leetcode.com/problems/shortest-path-in-binary-matrix/" TargetMode="External" Id="rId2695" /><Relationship Type="http://schemas.openxmlformats.org/officeDocument/2006/relationships/hyperlink" Target="https://leetcode.com/submissions/detail/1164358567/" TargetMode="External" Id="rId2696" /><Relationship Type="http://schemas.openxmlformats.org/officeDocument/2006/relationships/hyperlink" Target="https://leetcode.com/problems/custom-sort-string/" TargetMode="External" Id="rId2697" /><Relationship Type="http://schemas.openxmlformats.org/officeDocument/2006/relationships/hyperlink" Target="https://leetcode.com/submissions/detail/1165061692/" TargetMode="External" Id="rId2698" /><Relationship Type="http://schemas.openxmlformats.org/officeDocument/2006/relationships/hyperlink" Target="https://leetcode.com/problems/custom-sort-string/" TargetMode="External" Id="rId2699" /><Relationship Type="http://schemas.openxmlformats.org/officeDocument/2006/relationships/hyperlink" Target="https://leetcode.com/submissions/detail/1165064991/" TargetMode="External" Id="rId2700" /><Relationship Type="http://schemas.openxmlformats.org/officeDocument/2006/relationships/hyperlink" Target="https://leetcode.com/problems/custom-sort-string/" TargetMode="External" Id="rId2701" /><Relationship Type="http://schemas.openxmlformats.org/officeDocument/2006/relationships/hyperlink" Target="https://leetcode.com/submissions/detail/1165073106/" TargetMode="External" Id="rId2702" /><Relationship Type="http://schemas.openxmlformats.org/officeDocument/2006/relationships/hyperlink" Target="https://leetcode.com/problems/closest-binary-search-tree-value/" TargetMode="External" Id="rId2703" /><Relationship Type="http://schemas.openxmlformats.org/officeDocument/2006/relationships/hyperlink" Target="https://leetcode.com/submissions/detail/1165155357/" TargetMode="External" Id="rId2704" /><Relationship Type="http://schemas.openxmlformats.org/officeDocument/2006/relationships/hyperlink" Target="https://leetcode.com/problems/closest-binary-search-tree-value/" TargetMode="External" Id="rId2705" /><Relationship Type="http://schemas.openxmlformats.org/officeDocument/2006/relationships/hyperlink" Target="https://leetcode.com/submissions/detail/1165170326/" TargetMode="External" Id="rId2706" /><Relationship Type="http://schemas.openxmlformats.org/officeDocument/2006/relationships/hyperlink" Target="https://leetcode.com/problems/closest-binary-search-tree-value/" TargetMode="External" Id="rId2707" /><Relationship Type="http://schemas.openxmlformats.org/officeDocument/2006/relationships/hyperlink" Target="https://leetcode.com/submissions/detail/1165170857/" TargetMode="External" Id="rId2708" /><Relationship Type="http://schemas.openxmlformats.org/officeDocument/2006/relationships/hyperlink" Target="https://leetcode.com/problems/closest-binary-search-tree-value/" TargetMode="External" Id="rId2709" /><Relationship Type="http://schemas.openxmlformats.org/officeDocument/2006/relationships/hyperlink" Target="https://leetcode.com/submissions/detail/1165171041/" TargetMode="External" Id="rId2710" /><Relationship Type="http://schemas.openxmlformats.org/officeDocument/2006/relationships/hyperlink" Target="https://leetcode.com/problems/diameter-of-binary-tree/" TargetMode="External" Id="rId2711" /><Relationship Type="http://schemas.openxmlformats.org/officeDocument/2006/relationships/hyperlink" Target="https://leetcode.com/submissions/detail/1165187633/" TargetMode="External" Id="rId2712" /><Relationship Type="http://schemas.openxmlformats.org/officeDocument/2006/relationships/hyperlink" Target="https://leetcode.com/problems/valid-palindrome/" TargetMode="External" Id="rId2713" /><Relationship Type="http://schemas.openxmlformats.org/officeDocument/2006/relationships/hyperlink" Target="https://leetcode.com/submissions/detail/1165501847/" TargetMode="External" Id="rId2714" /><Relationship Type="http://schemas.openxmlformats.org/officeDocument/2006/relationships/hyperlink" Target="https://leetcode.com/problems/number-of-islands/" TargetMode="External" Id="rId2715" /><Relationship Type="http://schemas.openxmlformats.org/officeDocument/2006/relationships/hyperlink" Target="https://leetcode.com/submissions/detail/1165506805/" TargetMode="External" Id="rId2716" /><Relationship Type="http://schemas.openxmlformats.org/officeDocument/2006/relationships/hyperlink" Target="https://leetcode.com/problems/continuous-subarray-sum/" TargetMode="External" Id="rId2717" /><Relationship Type="http://schemas.openxmlformats.org/officeDocument/2006/relationships/hyperlink" Target="https://leetcode.com/submissions/detail/1165514876/" TargetMode="External" Id="rId2718" /><Relationship Type="http://schemas.openxmlformats.org/officeDocument/2006/relationships/hyperlink" Target="https://leetcode.com/problems/continuous-subarray-sum/" TargetMode="External" Id="rId2719" /><Relationship Type="http://schemas.openxmlformats.org/officeDocument/2006/relationships/hyperlink" Target="https://leetcode.com/submissions/detail/1165515906/" TargetMode="External" Id="rId2720" /><Relationship Type="http://schemas.openxmlformats.org/officeDocument/2006/relationships/hyperlink" Target="https://leetcode.com/problems/continuous-subarray-sum/" TargetMode="External" Id="rId2721" /><Relationship Type="http://schemas.openxmlformats.org/officeDocument/2006/relationships/hyperlink" Target="https://leetcode.com/submissions/detail/1165516092/" TargetMode="External" Id="rId2722" /><Relationship Type="http://schemas.openxmlformats.org/officeDocument/2006/relationships/hyperlink" Target="https://leetcode.com/problems/continuous-subarray-sum/" TargetMode="External" Id="rId2723" /><Relationship Type="http://schemas.openxmlformats.org/officeDocument/2006/relationships/hyperlink" Target="https://leetcode.com/submissions/detail/1165516402/" TargetMode="External" Id="rId2724" /><Relationship Type="http://schemas.openxmlformats.org/officeDocument/2006/relationships/hyperlink" Target="https://leetcode.com/problems/continuous-subarray-sum/" TargetMode="External" Id="rId2725" /><Relationship Type="http://schemas.openxmlformats.org/officeDocument/2006/relationships/hyperlink" Target="https://leetcode.com/submissions/detail/1165517657/" TargetMode="External" Id="rId2726" /><Relationship Type="http://schemas.openxmlformats.org/officeDocument/2006/relationships/hyperlink" Target="https://leetcode.com/problems/maximum-sum-of-3-non-overlapping-subarrays/" TargetMode="External" Id="rId2727" /><Relationship Type="http://schemas.openxmlformats.org/officeDocument/2006/relationships/hyperlink" Target="https://leetcode.com/submissions/detail/1165575011/" TargetMode="External" Id="rId2728" /><Relationship Type="http://schemas.openxmlformats.org/officeDocument/2006/relationships/hyperlink" Target="https://leetcode.com/problems/making-a-large-island/" TargetMode="External" Id="rId2729" /><Relationship Type="http://schemas.openxmlformats.org/officeDocument/2006/relationships/hyperlink" Target="https://leetcode.com/submissions/detail/1166193482/" TargetMode="External" Id="rId2730" /><Relationship Type="http://schemas.openxmlformats.org/officeDocument/2006/relationships/hyperlink" Target="https://leetcode.com/problems/making-a-large-island/" TargetMode="External" Id="rId2731" /><Relationship Type="http://schemas.openxmlformats.org/officeDocument/2006/relationships/hyperlink" Target="https://leetcode.com/submissions/detail/1166193965/" TargetMode="External" Id="rId2732" /><Relationship Type="http://schemas.openxmlformats.org/officeDocument/2006/relationships/hyperlink" Target="https://leetcode.com/problems/making-a-large-island/" TargetMode="External" Id="rId2733" /><Relationship Type="http://schemas.openxmlformats.org/officeDocument/2006/relationships/hyperlink" Target="https://leetcode.com/submissions/detail/1166194969/" TargetMode="External" Id="rId2734" /><Relationship Type="http://schemas.openxmlformats.org/officeDocument/2006/relationships/hyperlink" Target="https://leetcode.com/problems/making-a-large-island/" TargetMode="External" Id="rId2735" /><Relationship Type="http://schemas.openxmlformats.org/officeDocument/2006/relationships/hyperlink" Target="https://leetcode.com/submissions/detail/1166195328/" TargetMode="External" Id="rId2736" /><Relationship Type="http://schemas.openxmlformats.org/officeDocument/2006/relationships/hyperlink" Target="https://leetcode.com/problems/making-a-large-island/" TargetMode="External" Id="rId2737" /><Relationship Type="http://schemas.openxmlformats.org/officeDocument/2006/relationships/hyperlink" Target="https://leetcode.com/submissions/detail/1166202010/" TargetMode="External" Id="rId2738" /><Relationship Type="http://schemas.openxmlformats.org/officeDocument/2006/relationships/hyperlink" Target="https://leetcode.com/problems/making-a-large-island/" TargetMode="External" Id="rId2739" /><Relationship Type="http://schemas.openxmlformats.org/officeDocument/2006/relationships/hyperlink" Target="https://leetcode.com/submissions/detail/1166264777/" TargetMode="External" Id="rId2740" /><Relationship Type="http://schemas.openxmlformats.org/officeDocument/2006/relationships/hyperlink" Target="https://leetcode.com/problems/best-meeting-point/" TargetMode="External" Id="rId2741" /><Relationship Type="http://schemas.openxmlformats.org/officeDocument/2006/relationships/hyperlink" Target="https://leetcode.com/submissions/detail/1166342304/" TargetMode="External" Id="rId2742" /><Relationship Type="http://schemas.openxmlformats.org/officeDocument/2006/relationships/hyperlink" Target="https://leetcode.com/problems/missing-ranges/" TargetMode="External" Id="rId2743" /><Relationship Type="http://schemas.openxmlformats.org/officeDocument/2006/relationships/hyperlink" Target="https://leetcode.com/submissions/detail/1166355998/" TargetMode="External" Id="rId2744" /><Relationship Type="http://schemas.openxmlformats.org/officeDocument/2006/relationships/hyperlink" Target="https://leetcode.com/problems/missing-ranges/" TargetMode="External" Id="rId2745" /><Relationship Type="http://schemas.openxmlformats.org/officeDocument/2006/relationships/hyperlink" Target="https://leetcode.com/submissions/detail/1166357219/" TargetMode="External" Id="rId2746" /><Relationship Type="http://schemas.openxmlformats.org/officeDocument/2006/relationships/hyperlink" Target="https://leetcode.com/problems/missing-ranges/" TargetMode="External" Id="rId2747" /><Relationship Type="http://schemas.openxmlformats.org/officeDocument/2006/relationships/hyperlink" Target="https://leetcode.com/submissions/detail/1166357276/" TargetMode="External" Id="rId2748" /><Relationship Type="http://schemas.openxmlformats.org/officeDocument/2006/relationships/hyperlink" Target="https://leetcode.com/problems/minimum-remove-to-make-valid-parentheses/" TargetMode="External" Id="rId2749" /><Relationship Type="http://schemas.openxmlformats.org/officeDocument/2006/relationships/hyperlink" Target="https://leetcode.com/submissions/detail/1166928511/" TargetMode="External" Id="rId2750" /><Relationship Type="http://schemas.openxmlformats.org/officeDocument/2006/relationships/hyperlink" Target="https://leetcode.com/problems/sum-root-to-leaf-numbers/" TargetMode="External" Id="rId2751" /><Relationship Type="http://schemas.openxmlformats.org/officeDocument/2006/relationships/hyperlink" Target="https://leetcode.com/submissions/detail/1167280079/" TargetMode="External" Id="rId2752" /><Relationship Type="http://schemas.openxmlformats.org/officeDocument/2006/relationships/hyperlink" Target="https://leetcode.com/problems/sum-root-to-leaf-numbers/" TargetMode="External" Id="rId2753" /><Relationship Type="http://schemas.openxmlformats.org/officeDocument/2006/relationships/hyperlink" Target="https://leetcode.com/submissions/detail/1167280195/" TargetMode="External" Id="rId2754" /><Relationship Type="http://schemas.openxmlformats.org/officeDocument/2006/relationships/hyperlink" Target="https://leetcode.com/problems/sum-root-to-leaf-numbers/" TargetMode="External" Id="rId2755" /><Relationship Type="http://schemas.openxmlformats.org/officeDocument/2006/relationships/hyperlink" Target="https://leetcode.com/submissions/detail/1167280238/" TargetMode="External" Id="rId2756" /><Relationship Type="http://schemas.openxmlformats.org/officeDocument/2006/relationships/hyperlink" Target="https://leetcode.com/problems/sum-root-to-leaf-numbers/" TargetMode="External" Id="rId2757" /><Relationship Type="http://schemas.openxmlformats.org/officeDocument/2006/relationships/hyperlink" Target="https://leetcode.com/submissions/detail/1167280282/" TargetMode="External" Id="rId2758" /><Relationship Type="http://schemas.openxmlformats.org/officeDocument/2006/relationships/hyperlink" Target="https://leetcode.com/problems/k-closest-points-to-origin/" TargetMode="External" Id="rId2759" /><Relationship Type="http://schemas.openxmlformats.org/officeDocument/2006/relationships/hyperlink" Target="https://leetcode.com/submissions/detail/1167283292/" TargetMode="External" Id="rId2760" /><Relationship Type="http://schemas.openxmlformats.org/officeDocument/2006/relationships/hyperlink" Target="https://leetcode.com/problems/find-peak-element/" TargetMode="External" Id="rId2761" /><Relationship Type="http://schemas.openxmlformats.org/officeDocument/2006/relationships/hyperlink" Target="https://leetcode.com/submissions/detail/1167286757/" TargetMode="External" Id="rId2762" /><Relationship Type="http://schemas.openxmlformats.org/officeDocument/2006/relationships/hyperlink" Target="https://leetcode.com/problems/4sum/" TargetMode="External" Id="rId2763" /><Relationship Type="http://schemas.openxmlformats.org/officeDocument/2006/relationships/hyperlink" Target="https://leetcode.com/submissions/detail/1167296963/" TargetMode="External" Id="rId2764" /><Relationship Type="http://schemas.openxmlformats.org/officeDocument/2006/relationships/hyperlink" Target="https://leetcode.com/problems/4sum/" TargetMode="External" Id="rId2765" /><Relationship Type="http://schemas.openxmlformats.org/officeDocument/2006/relationships/hyperlink" Target="https://leetcode.com/submissions/detail/1167297427/" TargetMode="External" Id="rId2766" /><Relationship Type="http://schemas.openxmlformats.org/officeDocument/2006/relationships/hyperlink" Target="https://leetcode.com/problems/4sum/" TargetMode="External" Id="rId2767" /><Relationship Type="http://schemas.openxmlformats.org/officeDocument/2006/relationships/hyperlink" Target="https://leetcode.com/submissions/detail/1167304301/" TargetMode="External" Id="rId2768" /><Relationship Type="http://schemas.openxmlformats.org/officeDocument/2006/relationships/hyperlink" Target="https://leetcode.com/problems/closest-binary-search-tree-value/" TargetMode="External" Id="rId2769" /><Relationship Type="http://schemas.openxmlformats.org/officeDocument/2006/relationships/hyperlink" Target="https://leetcode.com/submissions/detail/1167313367/" TargetMode="External" Id="rId2770" /><Relationship Type="http://schemas.openxmlformats.org/officeDocument/2006/relationships/hyperlink" Target="https://leetcode.com/problems/shortest-path-in-binary-matrix/" TargetMode="External" Id="rId2771" /><Relationship Type="http://schemas.openxmlformats.org/officeDocument/2006/relationships/hyperlink" Target="https://leetcode.com/submissions/detail/1167323415/" TargetMode="External" Id="rId2772" /><Relationship Type="http://schemas.openxmlformats.org/officeDocument/2006/relationships/hyperlink" Target="https://leetcode.com/problems/making-a-large-island/" TargetMode="External" Id="rId2773" /><Relationship Type="http://schemas.openxmlformats.org/officeDocument/2006/relationships/hyperlink" Target="https://leetcode.com/submissions/detail/1167335012/" TargetMode="External" Id="rId2774" /><Relationship Type="http://schemas.openxmlformats.org/officeDocument/2006/relationships/hyperlink" Target="https://leetcode.com/problems/balance-a-binary-search-tree/" TargetMode="External" Id="rId2775" /><Relationship Type="http://schemas.openxmlformats.org/officeDocument/2006/relationships/hyperlink" Target="https://leetcode.com/submissions/detail/1167477754/" TargetMode="External" Id="rId2776" /><Relationship Type="http://schemas.openxmlformats.org/officeDocument/2006/relationships/hyperlink" Target="https://leetcode.com/problems/count-nodes-equal-to-average-of-subtree/" TargetMode="External" Id="rId2777" /><Relationship Type="http://schemas.openxmlformats.org/officeDocument/2006/relationships/hyperlink" Target="https://leetcode.com/submissions/detail/1167489848/" TargetMode="External" Id="rId2778" /><Relationship Type="http://schemas.openxmlformats.org/officeDocument/2006/relationships/hyperlink" Target="https://leetcode.com/problems/word-break-ii/" TargetMode="External" Id="rId2779" /><Relationship Type="http://schemas.openxmlformats.org/officeDocument/2006/relationships/hyperlink" Target="https://leetcode.com/submissions/detail/1167521775/" TargetMode="External" Id="rId2780" /><Relationship Type="http://schemas.openxmlformats.org/officeDocument/2006/relationships/hyperlink" Target="https://leetcode.com/problems/word-break-ii/" TargetMode="External" Id="rId2781" /><Relationship Type="http://schemas.openxmlformats.org/officeDocument/2006/relationships/hyperlink" Target="https://leetcode.com/submissions/detail/1167527618/" TargetMode="External" Id="rId2782" /><Relationship Type="http://schemas.openxmlformats.org/officeDocument/2006/relationships/hyperlink" Target="https://leetcode.com/problems/kth-missing-positive-number/" TargetMode="External" Id="rId2783" /><Relationship Type="http://schemas.openxmlformats.org/officeDocument/2006/relationships/hyperlink" Target="https://leetcode.com/submissions/detail/1167548075/" TargetMode="External" Id="rId2784" /><Relationship Type="http://schemas.openxmlformats.org/officeDocument/2006/relationships/hyperlink" Target="https://leetcode.com/problems/maximum-level-sum-of-a-binary-tree/" TargetMode="External" Id="rId2785" /><Relationship Type="http://schemas.openxmlformats.org/officeDocument/2006/relationships/hyperlink" Target="https://leetcode.com/submissions/detail/1167571169/" TargetMode="External" Id="rId2786" /><Relationship Type="http://schemas.openxmlformats.org/officeDocument/2006/relationships/hyperlink" Target="https://leetcode.com/problems/maximum-level-sum-of-a-binary-tree/" TargetMode="External" Id="rId2787" /><Relationship Type="http://schemas.openxmlformats.org/officeDocument/2006/relationships/hyperlink" Target="https://leetcode.com/submissions/detail/1167571941/" TargetMode="External" Id="rId2788" /><Relationship Type="http://schemas.openxmlformats.org/officeDocument/2006/relationships/hyperlink" Target="https://leetcode.com/problems/lowest-common-ancestor-of-a-binary-tree-ii/" TargetMode="External" Id="rId2789" /><Relationship Type="http://schemas.openxmlformats.org/officeDocument/2006/relationships/hyperlink" Target="https://leetcode.com/submissions/detail/1167575616/" TargetMode="External" Id="rId2790" /><Relationship Type="http://schemas.openxmlformats.org/officeDocument/2006/relationships/hyperlink" Target="https://leetcode.com/problems/lowest-common-ancestor-of-a-binary-tree-ii/" TargetMode="External" Id="rId2791" /><Relationship Type="http://schemas.openxmlformats.org/officeDocument/2006/relationships/hyperlink" Target="https://leetcode.com/submissions/detail/1167580078/" TargetMode="External" Id="rId2792" /><Relationship Type="http://schemas.openxmlformats.org/officeDocument/2006/relationships/hyperlink" Target="https://leetcode.com/problems/minimum-depth-of-binary-tree/" TargetMode="External" Id="rId2793" /><Relationship Type="http://schemas.openxmlformats.org/officeDocument/2006/relationships/hyperlink" Target="https://leetcode.com/submissions/detail/1167590140/" TargetMode="External" Id="rId2794" /><Relationship Type="http://schemas.openxmlformats.org/officeDocument/2006/relationships/hyperlink" Target="https://leetcode.com/problems/minimum-depth-of-binary-tree/" TargetMode="External" Id="rId2795" /><Relationship Type="http://schemas.openxmlformats.org/officeDocument/2006/relationships/hyperlink" Target="https://leetcode.com/submissions/detail/1167590527/" TargetMode="External" Id="rId2796" /><Relationship Type="http://schemas.openxmlformats.org/officeDocument/2006/relationships/hyperlink" Target="https://leetcode.com/problems/minimum-depth-of-binary-tree/" TargetMode="External" Id="rId2797" /><Relationship Type="http://schemas.openxmlformats.org/officeDocument/2006/relationships/hyperlink" Target="https://leetcode.com/submissions/detail/1167590796/" TargetMode="External" Id="rId2798" /><Relationship Type="http://schemas.openxmlformats.org/officeDocument/2006/relationships/hyperlink" Target="https://leetcode.com/problems/all-nodes-distance-k-in-binary-tree/" TargetMode="External" Id="rId2799" /><Relationship Type="http://schemas.openxmlformats.org/officeDocument/2006/relationships/hyperlink" Target="https://leetcode.com/submissions/detail/1167903284/" TargetMode="External" Id="rId2800" /><Relationship Type="http://schemas.openxmlformats.org/officeDocument/2006/relationships/hyperlink" Target="https://leetcode.com/problems/smallest-subtree-with-all-the-deepest-nodes/" TargetMode="External" Id="rId2801" /><Relationship Type="http://schemas.openxmlformats.org/officeDocument/2006/relationships/hyperlink" Target="https://leetcode.com/submissions/detail/1167935171/" TargetMode="External" Id="rId2802" /><Relationship Type="http://schemas.openxmlformats.org/officeDocument/2006/relationships/hyperlink" Target="https://leetcode.com/problems/meeting-rooms-ii/" TargetMode="External" Id="rId2803" /><Relationship Type="http://schemas.openxmlformats.org/officeDocument/2006/relationships/hyperlink" Target="https://leetcode.com/submissions/detail/1168041195/" TargetMode="External" Id="rId2804" /><Relationship Type="http://schemas.openxmlformats.org/officeDocument/2006/relationships/hyperlink" Target="https://leetcode.com/problems/meeting-rooms-ii/" TargetMode="External" Id="rId2805" /><Relationship Type="http://schemas.openxmlformats.org/officeDocument/2006/relationships/hyperlink" Target="https://leetcode.com/submissions/detail/1168041343/" TargetMode="External" Id="rId2806" /><Relationship Type="http://schemas.openxmlformats.org/officeDocument/2006/relationships/hyperlink" Target="https://leetcode.com/problems/meeting-rooms-ii/" TargetMode="External" Id="rId2807" /><Relationship Type="http://schemas.openxmlformats.org/officeDocument/2006/relationships/hyperlink" Target="https://leetcode.com/submissions/detail/1168053663/" TargetMode="External" Id="rId2808" /><Relationship Type="http://schemas.openxmlformats.org/officeDocument/2006/relationships/hyperlink" Target="https://leetcode.com/problems/meeting-rooms-ii/" TargetMode="External" Id="rId2809" /><Relationship Type="http://schemas.openxmlformats.org/officeDocument/2006/relationships/hyperlink" Target="https://leetcode.com/submissions/detail/1168065445/" TargetMode="External" Id="rId2810" /><Relationship Type="http://schemas.openxmlformats.org/officeDocument/2006/relationships/hyperlink" Target="https://leetcode.com/problems/find-k-closest-elements/" TargetMode="External" Id="rId2811" /><Relationship Type="http://schemas.openxmlformats.org/officeDocument/2006/relationships/hyperlink" Target="https://leetcode.com/submissions/detail/1168118751/" TargetMode="External" Id="rId2812" /><Relationship Type="http://schemas.openxmlformats.org/officeDocument/2006/relationships/hyperlink" Target="https://leetcode.com/problems/find-k-closest-elements/" TargetMode="External" Id="rId2813" /><Relationship Type="http://schemas.openxmlformats.org/officeDocument/2006/relationships/hyperlink" Target="https://leetcode.com/submissions/detail/1168118838/" TargetMode="External" Id="rId2814" /><Relationship Type="http://schemas.openxmlformats.org/officeDocument/2006/relationships/hyperlink" Target="https://leetcode.com/problems/find-k-closest-elements/" TargetMode="External" Id="rId2815" /><Relationship Type="http://schemas.openxmlformats.org/officeDocument/2006/relationships/hyperlink" Target="https://leetcode.com/submissions/detail/1168119142/" TargetMode="External" Id="rId2816" /><Relationship Type="http://schemas.openxmlformats.org/officeDocument/2006/relationships/hyperlink" Target="https://leetcode.com/problems/find-k-closest-elements/" TargetMode="External" Id="rId2817" /><Relationship Type="http://schemas.openxmlformats.org/officeDocument/2006/relationships/hyperlink" Target="https://leetcode.com/submissions/detail/1168130995/" TargetMode="External" Id="rId2818" /><Relationship Type="http://schemas.openxmlformats.org/officeDocument/2006/relationships/hyperlink" Target="https://leetcode.com/problems/find-k-closest-elements/" TargetMode="External" Id="rId2819" /><Relationship Type="http://schemas.openxmlformats.org/officeDocument/2006/relationships/hyperlink" Target="https://leetcode.com/submissions/detail/1168131478/" TargetMode="External" Id="rId2820" /><Relationship Type="http://schemas.openxmlformats.org/officeDocument/2006/relationships/hyperlink" Target="https://leetcode.com/problems/find-k-closest-elements/" TargetMode="External" Id="rId2821" /><Relationship Type="http://schemas.openxmlformats.org/officeDocument/2006/relationships/hyperlink" Target="https://leetcode.com/submissions/detail/1168132889/" TargetMode="External" Id="rId2822" /><Relationship Type="http://schemas.openxmlformats.org/officeDocument/2006/relationships/hyperlink" Target="https://leetcode.com/problems/find-k-closest-elements/" TargetMode="External" Id="rId2823" /><Relationship Type="http://schemas.openxmlformats.org/officeDocument/2006/relationships/hyperlink" Target="https://leetcode.com/submissions/detail/1168133103/" TargetMode="External" Id="rId2824" /><Relationship Type="http://schemas.openxmlformats.org/officeDocument/2006/relationships/hyperlink" Target="https://leetcode.com/problems/find-k-closest-elements/" TargetMode="External" Id="rId2825" /><Relationship Type="http://schemas.openxmlformats.org/officeDocument/2006/relationships/hyperlink" Target="https://leetcode.com/submissions/detail/1168134202/" TargetMode="External" Id="rId2826" /><Relationship Type="http://schemas.openxmlformats.org/officeDocument/2006/relationships/hyperlink" Target="https://leetcode.com/problems/find-k-closest-elements/" TargetMode="External" Id="rId2827" /><Relationship Type="http://schemas.openxmlformats.org/officeDocument/2006/relationships/hyperlink" Target="https://leetcode.com/submissions/detail/1168135186/" TargetMode="External" Id="rId2828" /><Relationship Type="http://schemas.openxmlformats.org/officeDocument/2006/relationships/hyperlink" Target="https://leetcode.com/problems/find-k-closest-elements/" TargetMode="External" Id="rId2829" /><Relationship Type="http://schemas.openxmlformats.org/officeDocument/2006/relationships/hyperlink" Target="https://leetcode.com/submissions/detail/1168135240/" TargetMode="External" Id="rId2830" /><Relationship Type="http://schemas.openxmlformats.org/officeDocument/2006/relationships/hyperlink" Target="https://leetcode.com/problems/find-k-closest-elements/" TargetMode="External" Id="rId2831" /><Relationship Type="http://schemas.openxmlformats.org/officeDocument/2006/relationships/hyperlink" Target="https://leetcode.com/submissions/detail/1168149623/" TargetMode="External" Id="rId2832" /><Relationship Type="http://schemas.openxmlformats.org/officeDocument/2006/relationships/hyperlink" Target="https://leetcode.com/problems/find-k-closest-elements/" TargetMode="External" Id="rId2833" /><Relationship Type="http://schemas.openxmlformats.org/officeDocument/2006/relationships/hyperlink" Target="https://leetcode.com/submissions/detail/1168160380/" TargetMode="External" Id="rId2834" /><Relationship Type="http://schemas.openxmlformats.org/officeDocument/2006/relationships/hyperlink" Target="https://leetcode.com/problems/maximum-level-sum-of-a-binary-tree/" TargetMode="External" Id="rId2835" /><Relationship Type="http://schemas.openxmlformats.org/officeDocument/2006/relationships/hyperlink" Target="https://leetcode.com/submissions/detail/1168161300/" TargetMode="External" Id="rId2836" /><Relationship Type="http://schemas.openxmlformats.org/officeDocument/2006/relationships/hyperlink" Target="https://leetcode.com/problems/serialize-and-deserialize-n-ary-tree/" TargetMode="External" Id="rId2837" /><Relationship Type="http://schemas.openxmlformats.org/officeDocument/2006/relationships/hyperlink" Target="https://leetcode.com/submissions/detail/1168339130/" TargetMode="External" Id="rId2838" /><Relationship Type="http://schemas.openxmlformats.org/officeDocument/2006/relationships/hyperlink" Target="https://leetcode.com/problems/word-break/" TargetMode="External" Id="rId2839" /><Relationship Type="http://schemas.openxmlformats.org/officeDocument/2006/relationships/hyperlink" Target="https://leetcode.com/submissions/detail/1170645773/" TargetMode="External" Id="rId2840" /><Relationship Type="http://schemas.openxmlformats.org/officeDocument/2006/relationships/hyperlink" Target="https://leetcode.com/problems/basic-calculator-iii/" TargetMode="External" Id="rId2841" /><Relationship Type="http://schemas.openxmlformats.org/officeDocument/2006/relationships/hyperlink" Target="https://leetcode.com/submissions/detail/1170664443/" TargetMode="External" Id="rId2842" /><Relationship Type="http://schemas.openxmlformats.org/officeDocument/2006/relationships/hyperlink" Target="https://leetcode.com/problems/basic-calculator-iii/" TargetMode="External" Id="rId2843" /><Relationship Type="http://schemas.openxmlformats.org/officeDocument/2006/relationships/hyperlink" Target="https://leetcode.com/submissions/detail/1170716534/" TargetMode="External" Id="rId2844" /><Relationship Type="http://schemas.openxmlformats.org/officeDocument/2006/relationships/hyperlink" Target="https://leetcode.com/problems/basic-calculator/" TargetMode="External" Id="rId2845" /><Relationship Type="http://schemas.openxmlformats.org/officeDocument/2006/relationships/hyperlink" Target="https://leetcode.com/submissions/detail/1170724697/" TargetMode="External" Id="rId2846" /><Relationship Type="http://schemas.openxmlformats.org/officeDocument/2006/relationships/hyperlink" Target="https://leetcode.com/problems/basic-calculator/" TargetMode="External" Id="rId2847" /><Relationship Type="http://schemas.openxmlformats.org/officeDocument/2006/relationships/hyperlink" Target="https://leetcode.com/submissions/detail/1170726441/" TargetMode="External" Id="rId2848" /><Relationship Type="http://schemas.openxmlformats.org/officeDocument/2006/relationships/hyperlink" Target="https://leetcode.com/problems/integer-to-english-words/" TargetMode="External" Id="rId2849" /><Relationship Type="http://schemas.openxmlformats.org/officeDocument/2006/relationships/hyperlink" Target="https://leetcode.com/submissions/detail/1170730755/" TargetMode="External" Id="rId2850" /><Relationship Type="http://schemas.openxmlformats.org/officeDocument/2006/relationships/hyperlink" Target="https://leetcode.com/problems/find-k-closest-elements/" TargetMode="External" Id="rId2851" /><Relationship Type="http://schemas.openxmlformats.org/officeDocument/2006/relationships/hyperlink" Target="https://leetcode.com/submissions/detail/1170772336/" TargetMode="External" Id="rId2852" /><Relationship Type="http://schemas.openxmlformats.org/officeDocument/2006/relationships/hyperlink" Target="https://leetcode.com/problems/find-k-closest-elements/" TargetMode="External" Id="rId2853" /><Relationship Type="http://schemas.openxmlformats.org/officeDocument/2006/relationships/hyperlink" Target="https://leetcode.com/submissions/detail/1170777129/" TargetMode="External" Id="rId2854" /><Relationship Type="http://schemas.openxmlformats.org/officeDocument/2006/relationships/hyperlink" Target="https://leetcode.com/problems/find-k-closest-elements/" TargetMode="External" Id="rId2855" /><Relationship Type="http://schemas.openxmlformats.org/officeDocument/2006/relationships/hyperlink" Target="https://leetcode.com/submissions/detail/1170777298/" TargetMode="External" Id="rId2856" /><Relationship Type="http://schemas.openxmlformats.org/officeDocument/2006/relationships/hyperlink" Target="https://leetcode.com/problems/valid-number/" TargetMode="External" Id="rId2857" /><Relationship Type="http://schemas.openxmlformats.org/officeDocument/2006/relationships/hyperlink" Target="https://leetcode.com/submissions/detail/1170889769/" TargetMode="External" Id="rId2858" /><Relationship Type="http://schemas.openxmlformats.org/officeDocument/2006/relationships/hyperlink" Target="https://leetcode.com/problems/valid-number/" TargetMode="External" Id="rId2859" /><Relationship Type="http://schemas.openxmlformats.org/officeDocument/2006/relationships/hyperlink" Target="https://leetcode.com/submissions/detail/1170890107/" TargetMode="External" Id="rId2860" /><Relationship Type="http://schemas.openxmlformats.org/officeDocument/2006/relationships/hyperlink" Target="https://leetcode.com/problems/valid-number/" TargetMode="External" Id="rId2861" /><Relationship Type="http://schemas.openxmlformats.org/officeDocument/2006/relationships/hyperlink" Target="https://leetcode.com/submissions/detail/1170890636/" TargetMode="External" Id="rId2862" /><Relationship Type="http://schemas.openxmlformats.org/officeDocument/2006/relationships/hyperlink" Target="https://leetcode.com/problems/sum-root-to-leaf-numbers/" TargetMode="External" Id="rId2863" /><Relationship Type="http://schemas.openxmlformats.org/officeDocument/2006/relationships/hyperlink" Target="https://leetcode.com/submissions/detail/1170901525/" TargetMode="External" Id="rId2864" /><Relationship Type="http://schemas.openxmlformats.org/officeDocument/2006/relationships/hyperlink" Target="https://leetcode.com/problems/remove-invalid-parentheses/" TargetMode="External" Id="rId2865" /><Relationship Type="http://schemas.openxmlformats.org/officeDocument/2006/relationships/hyperlink" Target="https://leetcode.com/submissions/detail/1170928533/" TargetMode="External" Id="rId2866" /><Relationship Type="http://schemas.openxmlformats.org/officeDocument/2006/relationships/hyperlink" Target="https://leetcode.com/problems/remove-invalid-parentheses/" TargetMode="External" Id="rId2867" /><Relationship Type="http://schemas.openxmlformats.org/officeDocument/2006/relationships/hyperlink" Target="https://leetcode.com/submissions/detail/1170933737/" TargetMode="External" Id="rId2868" /><Relationship Type="http://schemas.openxmlformats.org/officeDocument/2006/relationships/hyperlink" Target="https://leetcode.com/problems/interval-list-intersections/" TargetMode="External" Id="rId2869" /><Relationship Type="http://schemas.openxmlformats.org/officeDocument/2006/relationships/hyperlink" Target="https://leetcode.com/submissions/detail/1170940559/" TargetMode="External" Id="rId2870" /><Relationship Type="http://schemas.openxmlformats.org/officeDocument/2006/relationships/hyperlink" Target="https://leetcode.com/problems/4sum/" TargetMode="External" Id="rId2871" /><Relationship Type="http://schemas.openxmlformats.org/officeDocument/2006/relationships/hyperlink" Target="https://leetcode.com/submissions/detail/1170988738/" TargetMode="External" Id="rId2872" /><Relationship Type="http://schemas.openxmlformats.org/officeDocument/2006/relationships/hyperlink" Target="https://leetcode.com/problems/fruit-into-baskets/" TargetMode="External" Id="rId2873" /><Relationship Type="http://schemas.openxmlformats.org/officeDocument/2006/relationships/hyperlink" Target="https://leetcode.com/submissions/detail/1171274364/" TargetMode="External" Id="rId2874" /><Relationship Type="http://schemas.openxmlformats.org/officeDocument/2006/relationships/hyperlink" Target="https://leetcode.com/problems/lowest-common-ancestor-of-a-binary-tree-ii/" TargetMode="External" Id="rId2875" /><Relationship Type="http://schemas.openxmlformats.org/officeDocument/2006/relationships/hyperlink" Target="https://leetcode.com/submissions/detail/1171287329/" TargetMode="External" Id="rId2876" /><Relationship Type="http://schemas.openxmlformats.org/officeDocument/2006/relationships/hyperlink" Target="https://leetcode.com/problems/number-of-increasing-paths-in-a-grid/" TargetMode="External" Id="rId2877" /><Relationship Type="http://schemas.openxmlformats.org/officeDocument/2006/relationships/hyperlink" Target="https://leetcode.com/submissions/detail/1171312145/" TargetMode="External" Id="rId2878" /><Relationship Type="http://schemas.openxmlformats.org/officeDocument/2006/relationships/hyperlink" Target="https://leetcode.com/problems/number-of-increasing-paths-in-a-grid/" TargetMode="External" Id="rId2879" /><Relationship Type="http://schemas.openxmlformats.org/officeDocument/2006/relationships/hyperlink" Target="https://leetcode.com/submissions/detail/1171314082/" TargetMode="External" Id="rId2880" /><Relationship Type="http://schemas.openxmlformats.org/officeDocument/2006/relationships/hyperlink" Target="https://leetcode.com/problems/kth-missing-positive-number/" TargetMode="External" Id="rId2881" /><Relationship Type="http://schemas.openxmlformats.org/officeDocument/2006/relationships/hyperlink" Target="https://leetcode.com/submissions/detail/1171383966/" TargetMode="External" Id="rId2882" /><Relationship Type="http://schemas.openxmlformats.org/officeDocument/2006/relationships/hyperlink" Target="https://leetcode.com/problems/serialize-and-deserialize-n-ary-tree/" TargetMode="External" Id="rId2883" /><Relationship Type="http://schemas.openxmlformats.org/officeDocument/2006/relationships/hyperlink" Target="https://leetcode.com/submissions/detail/1171450469/" TargetMode="External" Id="rId2884" /><Relationship Type="http://schemas.openxmlformats.org/officeDocument/2006/relationships/hyperlink" Target="https://leetcode.com/problems/minimum-window-substring/" TargetMode="External" Id="rId2885" /><Relationship Type="http://schemas.openxmlformats.org/officeDocument/2006/relationships/hyperlink" Target="https://leetcode.com/submissions/detail/1171473713/" TargetMode="External" Id="rId2886" /><Relationship Type="http://schemas.openxmlformats.org/officeDocument/2006/relationships/hyperlink" Target="https://leetcode.com/problems/minimum-window-substring/" TargetMode="External" Id="rId2887" /><Relationship Type="http://schemas.openxmlformats.org/officeDocument/2006/relationships/hyperlink" Target="https://leetcode.com/submissions/detail/1171474048/" TargetMode="External" Id="rId2888" /><Relationship Type="http://schemas.openxmlformats.org/officeDocument/2006/relationships/hyperlink" Target="https://leetcode.com/problems/basic-calculator/" TargetMode="External" Id="rId2889" /><Relationship Type="http://schemas.openxmlformats.org/officeDocument/2006/relationships/hyperlink" Target="https://leetcode.com/submissions/detail/1171494279/" TargetMode="External" Id="rId2890" /><Relationship Type="http://schemas.openxmlformats.org/officeDocument/2006/relationships/hyperlink" Target="https://leetcode.com/problems/basic-calculator/" TargetMode="External" Id="rId2891" /><Relationship Type="http://schemas.openxmlformats.org/officeDocument/2006/relationships/hyperlink" Target="https://leetcode.com/submissions/detail/1171495083/" TargetMode="External" Id="rId2892" /><Relationship Type="http://schemas.openxmlformats.org/officeDocument/2006/relationships/hyperlink" Target="https://leetcode.com/problems/basic-calculator/" TargetMode="External" Id="rId2893" /><Relationship Type="http://schemas.openxmlformats.org/officeDocument/2006/relationships/hyperlink" Target="https://leetcode.com/submissions/detail/1171495883/" TargetMode="External" Id="rId2894" /><Relationship Type="http://schemas.openxmlformats.org/officeDocument/2006/relationships/hyperlink" Target="https://leetcode.com/problems/basic-calculator/" TargetMode="External" Id="rId2895" /><Relationship Type="http://schemas.openxmlformats.org/officeDocument/2006/relationships/hyperlink" Target="https://leetcode.com/submissions/detail/1171495955/" TargetMode="External" Id="rId2896" /><Relationship Type="http://schemas.openxmlformats.org/officeDocument/2006/relationships/hyperlink" Target="https://leetcode.com/problems/basic-calculator/" TargetMode="External" Id="rId2897" /><Relationship Type="http://schemas.openxmlformats.org/officeDocument/2006/relationships/hyperlink" Target="https://leetcode.com/submissions/detail/1171498199/" TargetMode="External" Id="rId2898" /><Relationship Type="http://schemas.openxmlformats.org/officeDocument/2006/relationships/hyperlink" Target="https://leetcode.com/problems/basic-calculator-ii/" TargetMode="External" Id="rId2899" /><Relationship Type="http://schemas.openxmlformats.org/officeDocument/2006/relationships/hyperlink" Target="https://leetcode.com/submissions/detail/1171501061/" TargetMode="External" Id="rId2900" /><Relationship Type="http://schemas.openxmlformats.org/officeDocument/2006/relationships/hyperlink" Target="https://leetcode.com/problems/basic-calculator-ii/" TargetMode="External" Id="rId2901" /><Relationship Type="http://schemas.openxmlformats.org/officeDocument/2006/relationships/hyperlink" Target="https://leetcode.com/submissions/detail/1171501329/" TargetMode="External" Id="rId2902" /><Relationship Type="http://schemas.openxmlformats.org/officeDocument/2006/relationships/hyperlink" Target="https://leetcode.com/problems/basic-calculator-ii/" TargetMode="External" Id="rId2903" /><Relationship Type="http://schemas.openxmlformats.org/officeDocument/2006/relationships/hyperlink" Target="https://leetcode.com/submissions/detail/1171501514/" TargetMode="External" Id="rId2904" /><Relationship Type="http://schemas.openxmlformats.org/officeDocument/2006/relationships/hyperlink" Target="https://leetcode.com/problems/basic-calculator-ii/" TargetMode="External" Id="rId2905" /><Relationship Type="http://schemas.openxmlformats.org/officeDocument/2006/relationships/hyperlink" Target="https://leetcode.com/submissions/detail/1171501578/" TargetMode="External" Id="rId2906" /><Relationship Type="http://schemas.openxmlformats.org/officeDocument/2006/relationships/hyperlink" Target="https://leetcode.com/problems/binary-tree-zigzag-level-order-traversal/" TargetMode="External" Id="rId2907" /><Relationship Type="http://schemas.openxmlformats.org/officeDocument/2006/relationships/hyperlink" Target="https://leetcode.com/submissions/detail/1171517062/" TargetMode="External" Id="rId2908" /><Relationship Type="http://schemas.openxmlformats.org/officeDocument/2006/relationships/hyperlink" Target="https://leetcode.com/problems/check-completeness-of-a-binary-tree/" TargetMode="External" Id="rId2909" /><Relationship Type="http://schemas.openxmlformats.org/officeDocument/2006/relationships/hyperlink" Target="https://leetcode.com/submissions/detail/1171520216/" TargetMode="External" Id="rId2910" /><Relationship Type="http://schemas.openxmlformats.org/officeDocument/2006/relationships/hyperlink" Target="https://leetcode.com/problems/number-of-squareful-arrays/" TargetMode="External" Id="rId2911" /><Relationship Type="http://schemas.openxmlformats.org/officeDocument/2006/relationships/hyperlink" Target="https://leetcode.com/submissions/detail/1171531678/" TargetMode="External" Id="rId2912" /><Relationship Type="http://schemas.openxmlformats.org/officeDocument/2006/relationships/hyperlink" Target="https://leetcode.com/problems/number-of-squareful-arrays/" TargetMode="External" Id="rId2913" /><Relationship Type="http://schemas.openxmlformats.org/officeDocument/2006/relationships/hyperlink" Target="https://leetcode.com/submissions/detail/1171532446/" TargetMode="External" Id="rId2914" /><Relationship Type="http://schemas.openxmlformats.org/officeDocument/2006/relationships/hyperlink" Target="https://leetcode.com/problems/number-of-squareful-arrays/" TargetMode="External" Id="rId2915" /><Relationship Type="http://schemas.openxmlformats.org/officeDocument/2006/relationships/hyperlink" Target="https://leetcode.com/submissions/detail/1171534270/" TargetMode="External" Id="rId2916" /><Relationship Type="http://schemas.openxmlformats.org/officeDocument/2006/relationships/hyperlink" Target="https://leetcode.com/problems/number-of-squareful-arrays/" TargetMode="External" Id="rId2917" /><Relationship Type="http://schemas.openxmlformats.org/officeDocument/2006/relationships/hyperlink" Target="https://leetcode.com/submissions/detail/1171534805/" TargetMode="External" Id="rId2918" /><Relationship Type="http://schemas.openxmlformats.org/officeDocument/2006/relationships/hyperlink" Target="https://leetcode.com/problems/longest-continuous-increasing-subsequence/" TargetMode="External" Id="rId2919" /><Relationship Type="http://schemas.openxmlformats.org/officeDocument/2006/relationships/hyperlink" Target="https://leetcode.com/submissions/detail/1171546475/" TargetMode="External" Id="rId2920" /><Relationship Type="http://schemas.openxmlformats.org/officeDocument/2006/relationships/hyperlink" Target="https://leetcode.com/problems/maximum-subarray-sum-with-one-deletion/" TargetMode="External" Id="rId2921" /><Relationship Type="http://schemas.openxmlformats.org/officeDocument/2006/relationships/hyperlink" Target="https://leetcode.com/submissions/detail/1171581598/" TargetMode="External" Id="rId2922" /><Relationship Type="http://schemas.openxmlformats.org/officeDocument/2006/relationships/hyperlink" Target="https://leetcode.com/problems/lowest-common-ancestor-of-deepest-leaves/" TargetMode="External" Id="rId2923" /><Relationship Type="http://schemas.openxmlformats.org/officeDocument/2006/relationships/hyperlink" Target="https://leetcode.com/submissions/detail/1171587420/" TargetMode="External" Id="rId2924" /><Relationship Type="http://schemas.openxmlformats.org/officeDocument/2006/relationships/hyperlink" Target="https://leetcode.com/problems/lowest-common-ancestor-of-deepest-leaves/" TargetMode="External" Id="rId2925" /><Relationship Type="http://schemas.openxmlformats.org/officeDocument/2006/relationships/hyperlink" Target="https://leetcode.com/submissions/detail/1171587817/" TargetMode="External" Id="rId2926" /><Relationship Type="http://schemas.openxmlformats.org/officeDocument/2006/relationships/hyperlink" Target="https://leetcode.com/problems/cutting-ribbons/" TargetMode="External" Id="rId2927" /><Relationship Type="http://schemas.openxmlformats.org/officeDocument/2006/relationships/hyperlink" Target="https://leetcode.com/submissions/detail/1171597317/" TargetMode="External" Id="rId2928" /><Relationship Type="http://schemas.openxmlformats.org/officeDocument/2006/relationships/hyperlink" Target="https://leetcode.com/problems/cutting-ribbons/" TargetMode="External" Id="rId2929" /><Relationship Type="http://schemas.openxmlformats.org/officeDocument/2006/relationships/hyperlink" Target="https://leetcode.com/submissions/detail/1171597648/" TargetMode="External" Id="rId2930" /><Relationship Type="http://schemas.openxmlformats.org/officeDocument/2006/relationships/hyperlink" Target="https://leetcode.com/problems/koko-eating-bananas/" TargetMode="External" Id="rId2931" /><Relationship Type="http://schemas.openxmlformats.org/officeDocument/2006/relationships/hyperlink" Target="https://leetcode.com/submissions/detail/1171628615/" TargetMode="External" Id="rId2932" /><Relationship Type="http://schemas.openxmlformats.org/officeDocument/2006/relationships/hyperlink" Target="https://leetcode.com/problems/missing-ranges/" TargetMode="External" Id="rId2933" /><Relationship Type="http://schemas.openxmlformats.org/officeDocument/2006/relationships/hyperlink" Target="https://leetcode.com/submissions/detail/1171631028/" TargetMode="External" Id="rId2934" /><Relationship Type="http://schemas.openxmlformats.org/officeDocument/2006/relationships/hyperlink" Target="https://leetcode.com/problems/kth-missing-positive-number/" TargetMode="External" Id="rId2935" /><Relationship Type="http://schemas.openxmlformats.org/officeDocument/2006/relationships/hyperlink" Target="https://leetcode.com/submissions/detail/1171653463/" TargetMode="External" Id="rId2936" /><Relationship Type="http://schemas.openxmlformats.org/officeDocument/2006/relationships/hyperlink" Target="https://leetcode.com/problems/number-of-visible-people-in-a-queue/" TargetMode="External" Id="rId2937" /><Relationship Type="http://schemas.openxmlformats.org/officeDocument/2006/relationships/hyperlink" Target="https://leetcode.com/submissions/detail/1171657448/" TargetMode="External" Id="rId2938" /><Relationship Type="http://schemas.openxmlformats.org/officeDocument/2006/relationships/hyperlink" Target="https://leetcode.com/problems/add-two-numbers/" TargetMode="External" Id="rId2939" /><Relationship Type="http://schemas.openxmlformats.org/officeDocument/2006/relationships/hyperlink" Target="https://leetcode.com/submissions/detail/1171679926/" TargetMode="External" Id="rId2940" /><Relationship Type="http://schemas.openxmlformats.org/officeDocument/2006/relationships/hyperlink" Target="https://leetcode.com/problems/add-two-numbers/" TargetMode="External" Id="rId2941" /><Relationship Type="http://schemas.openxmlformats.org/officeDocument/2006/relationships/hyperlink" Target="https://leetcode.com/submissions/detail/1171685978/" TargetMode="External" Id="rId2942" /><Relationship Type="http://schemas.openxmlformats.org/officeDocument/2006/relationships/hyperlink" Target="https://leetcode.com/problems/sliding-window-maximum/" TargetMode="External" Id="rId2943" /><Relationship Type="http://schemas.openxmlformats.org/officeDocument/2006/relationships/hyperlink" Target="https://leetcode.com/submissions/detail/1171858464/" TargetMode="External" Id="rId2944" /><Relationship Type="http://schemas.openxmlformats.org/officeDocument/2006/relationships/hyperlink" Target="https://leetcode.com/problems/lru-cache/" TargetMode="External" Id="rId2945" /><Relationship Type="http://schemas.openxmlformats.org/officeDocument/2006/relationships/hyperlink" Target="https://leetcode.com/submissions/detail/1171863682/" TargetMode="External" Id="rId2946" /><Relationship Type="http://schemas.openxmlformats.org/officeDocument/2006/relationships/hyperlink" Target="https://leetcode.com/problems/find-median-from-data-stream/" TargetMode="External" Id="rId2947" /><Relationship Type="http://schemas.openxmlformats.org/officeDocument/2006/relationships/hyperlink" Target="https://leetcode.com/submissions/detail/1171865915/" TargetMode="External" Id="rId2948" /><Relationship Type="http://schemas.openxmlformats.org/officeDocument/2006/relationships/hyperlink" Target="https://leetcode.com/problems/find-median-from-data-stream/" TargetMode="External" Id="rId2949" /><Relationship Type="http://schemas.openxmlformats.org/officeDocument/2006/relationships/hyperlink" Target="https://leetcode.com/submissions/detail/1171872574/" TargetMode="External" Id="rId2950" /><Relationship Type="http://schemas.openxmlformats.org/officeDocument/2006/relationships/hyperlink" Target="https://leetcode.com/problems/word-search-ii/" TargetMode="External" Id="rId2951" /><Relationship Type="http://schemas.openxmlformats.org/officeDocument/2006/relationships/hyperlink" Target="https://leetcode.com/submissions/detail/1172054310/" TargetMode="External" Id="rId2952" /><Relationship Type="http://schemas.openxmlformats.org/officeDocument/2006/relationships/hyperlink" Target="https://leetcode.com/problems/word-search-ii/" TargetMode="External" Id="rId2953" /><Relationship Type="http://schemas.openxmlformats.org/officeDocument/2006/relationships/hyperlink" Target="https://leetcode.com/submissions/detail/1172054968/" TargetMode="External" Id="rId2954" /><Relationship Type="http://schemas.openxmlformats.org/officeDocument/2006/relationships/hyperlink" Target="https://leetcode.com/problems/basic-calculator/" TargetMode="External" Id="rId2955" /><Relationship Type="http://schemas.openxmlformats.org/officeDocument/2006/relationships/hyperlink" Target="https://leetcode.com/submissions/detail/1179746617/" TargetMode="External" Id="rId2956" /><Relationship Type="http://schemas.openxmlformats.org/officeDocument/2006/relationships/hyperlink" Target="https://leetcode.com/problems/best-time-to-buy-and-sell-stock/" TargetMode="External" Id="rId2957" /><Relationship Type="http://schemas.openxmlformats.org/officeDocument/2006/relationships/hyperlink" Target="https://leetcode.com/submissions/detail/1206590419/" TargetMode="External" Id="rId2958" /><Relationship Type="http://schemas.openxmlformats.org/officeDocument/2006/relationships/hyperlink" Target="https://leetcode.com/problems/best-time-to-buy-and-sell-stock/" TargetMode="External" Id="rId2959" /><Relationship Type="http://schemas.openxmlformats.org/officeDocument/2006/relationships/hyperlink" Target="https://leetcode.com/submissions/detail/1206590904/" TargetMode="External" Id="rId2960" /><Relationship Type="http://schemas.openxmlformats.org/officeDocument/2006/relationships/hyperlink" Target="https://leetcode.com/problems/nearest-exit-from-entrance-in-maze/" TargetMode="External" Id="rId2961" /><Relationship Type="http://schemas.openxmlformats.org/officeDocument/2006/relationships/hyperlink" Target="https://leetcode.com/submissions/detail/1207498449/" TargetMode="External" Id="rId2962" /><Relationship Type="http://schemas.openxmlformats.org/officeDocument/2006/relationships/hyperlink" Target="https://leetcode.com/problems/nearest-exit-from-entrance-in-maze/" TargetMode="External" Id="rId2963" /><Relationship Type="http://schemas.openxmlformats.org/officeDocument/2006/relationships/hyperlink" Target="https://leetcode.com/submissions/detail/1207510837/" TargetMode="External" Id="rId2964" /><Relationship Type="http://schemas.openxmlformats.org/officeDocument/2006/relationships/hyperlink" Target="https://leetcode.com/problems/merge-intervals/" TargetMode="External" Id="rId2965" /><Relationship Type="http://schemas.openxmlformats.org/officeDocument/2006/relationships/hyperlink" Target="https://leetcode.com/submissions/detail/1210567878/" TargetMode="External" Id="rId2966" /><Relationship Type="http://schemas.openxmlformats.org/officeDocument/2006/relationships/hyperlink" Target="https://leetcode.com/problems/merge-intervals/" TargetMode="External" Id="rId2967" /><Relationship Type="http://schemas.openxmlformats.org/officeDocument/2006/relationships/hyperlink" Target="https://leetcode.com/submissions/detail/1210568771/" TargetMode="External" Id="rId2968" /><Relationship Type="http://schemas.openxmlformats.org/officeDocument/2006/relationships/hyperlink" Target="https://leetcode.com/problems/insert-interval/" TargetMode="External" Id="rId2969" /><Relationship Type="http://schemas.openxmlformats.org/officeDocument/2006/relationships/hyperlink" Target="https://leetcode.com/submissions/detail/1210609059/" TargetMode="External" Id="rId2970" /><Relationship Type="http://schemas.openxmlformats.org/officeDocument/2006/relationships/hyperlink" Target="https://leetcode.com/problems/insert-interval/" TargetMode="External" Id="rId2971" /><Relationship Type="http://schemas.openxmlformats.org/officeDocument/2006/relationships/hyperlink" Target="https://leetcode.com/submissions/detail/1210609802/" TargetMode="External" Id="rId2972" /><Relationship Type="http://schemas.openxmlformats.org/officeDocument/2006/relationships/hyperlink" Target="https://leetcode.com/problems/insert-interval/" TargetMode="External" Id="rId2973" /><Relationship Type="http://schemas.openxmlformats.org/officeDocument/2006/relationships/hyperlink" Target="https://leetcode.com/submissions/detail/1210617518/" TargetMode="External" Id="rId2974" /><Relationship Type="http://schemas.openxmlformats.org/officeDocument/2006/relationships/hyperlink" Target="https://leetcode.com/problems/insert-interval/" TargetMode="External" Id="rId2975" /><Relationship Type="http://schemas.openxmlformats.org/officeDocument/2006/relationships/hyperlink" Target="https://leetcode.com/submissions/detail/1211347334/" TargetMode="External" Id="rId2976" /><Relationship Type="http://schemas.openxmlformats.org/officeDocument/2006/relationships/hyperlink" Target="https://leetcode.com/problems/minimum-number-of-arrows-to-burst-balloons/" TargetMode="External" Id="rId2977" /><Relationship Type="http://schemas.openxmlformats.org/officeDocument/2006/relationships/hyperlink" Target="https://leetcode.com/submissions/detail/1211394392/" TargetMode="External" Id="rId2978" /><Relationship Type="http://schemas.openxmlformats.org/officeDocument/2006/relationships/hyperlink" Target="https://leetcode.com/problems/minimum-number-of-arrows-to-burst-balloons/" TargetMode="External" Id="rId2979" /><Relationship Type="http://schemas.openxmlformats.org/officeDocument/2006/relationships/hyperlink" Target="https://leetcode.com/submissions/detail/1211394578/" TargetMode="External" Id="rId2980" /><Relationship Type="http://schemas.openxmlformats.org/officeDocument/2006/relationships/hyperlink" Target="https://leetcode.com/problems/minimum-number-of-arrows-to-burst-balloons/" TargetMode="External" Id="rId2981" /><Relationship Type="http://schemas.openxmlformats.org/officeDocument/2006/relationships/hyperlink" Target="https://leetcode.com/submissions/detail/1211394901/" TargetMode="External" Id="rId2982" /><Relationship Type="http://schemas.openxmlformats.org/officeDocument/2006/relationships/hyperlink" Target="https://leetcode.com/problems/non-overlapping-intervals/" TargetMode="External" Id="rId2983" /><Relationship Type="http://schemas.openxmlformats.org/officeDocument/2006/relationships/hyperlink" Target="https://leetcode.com/submissions/detail/1211408422/" TargetMode="External" Id="rId2984" /><Relationship Type="http://schemas.openxmlformats.org/officeDocument/2006/relationships/hyperlink" Target="https://leetcode.com/problems/teemo-attacking/" TargetMode="External" Id="rId2985" /><Relationship Type="http://schemas.openxmlformats.org/officeDocument/2006/relationships/hyperlink" Target="https://leetcode.com/submissions/detail/1211418907/" TargetMode="External" Id="rId2986" /><Relationship Type="http://schemas.openxmlformats.org/officeDocument/2006/relationships/hyperlink" Target="https://leetcode.com/problems/meeting-rooms-ii/" TargetMode="External" Id="rId2987" /><Relationship Type="http://schemas.openxmlformats.org/officeDocument/2006/relationships/hyperlink" Target="https://leetcode.com/submissions/detail/1211468058/" TargetMode="External" Id="rId2988" /><Relationship Type="http://schemas.openxmlformats.org/officeDocument/2006/relationships/hyperlink" Target="https://leetcode.com/problems/insert-interval/" TargetMode="External" Id="rId2989" /><Relationship Type="http://schemas.openxmlformats.org/officeDocument/2006/relationships/hyperlink" Target="https://leetcode.com/submissions/detail/1211476832/" TargetMode="External" Id="rId2990" /><Relationship Type="http://schemas.openxmlformats.org/officeDocument/2006/relationships/hyperlink" Target="https://leetcode.com/problems/find-right-interval/" TargetMode="External" Id="rId2991" /><Relationship Type="http://schemas.openxmlformats.org/officeDocument/2006/relationships/hyperlink" Target="https://leetcode.com/submissions/detail/1211492069/" TargetMode="External" Id="rId2992" /><Relationship Type="http://schemas.openxmlformats.org/officeDocument/2006/relationships/hyperlink" Target="https://leetcode.com/problems/employee-free-time/" TargetMode="External" Id="rId2993" /><Relationship Type="http://schemas.openxmlformats.org/officeDocument/2006/relationships/hyperlink" Target="https://leetcode.com/submissions/detail/1211504428/" TargetMode="External" Id="rId2994" /><Relationship Type="http://schemas.openxmlformats.org/officeDocument/2006/relationships/hyperlink" Target="https://leetcode.com/problems/my-calendar-i/" TargetMode="External" Id="rId2995" /><Relationship Type="http://schemas.openxmlformats.org/officeDocument/2006/relationships/hyperlink" Target="https://leetcode.com/submissions/detail/1212298002/" TargetMode="External" Id="rId2996" /><Relationship Type="http://schemas.openxmlformats.org/officeDocument/2006/relationships/hyperlink" Target="https://leetcode.com/problems/my-calendar-i/" TargetMode="External" Id="rId2997" /><Relationship Type="http://schemas.openxmlformats.org/officeDocument/2006/relationships/hyperlink" Target="https://leetcode.com/submissions/detail/1212298466/" TargetMode="External" Id="rId2998" /><Relationship Type="http://schemas.openxmlformats.org/officeDocument/2006/relationships/hyperlink" Target="https://leetcode.com/problems/my-calendar-i/" TargetMode="External" Id="rId2999" /><Relationship Type="http://schemas.openxmlformats.org/officeDocument/2006/relationships/hyperlink" Target="https://leetcode.com/submissions/detail/1212300930/" TargetMode="External" Id="rId3000" /><Relationship Type="http://schemas.openxmlformats.org/officeDocument/2006/relationships/hyperlink" Target="https://leetcode.com/problems/my-calendar-i/" TargetMode="External" Id="rId3001" /><Relationship Type="http://schemas.openxmlformats.org/officeDocument/2006/relationships/hyperlink" Target="https://leetcode.com/submissions/detail/1212313042/" TargetMode="External" Id="rId3002" /><Relationship Type="http://schemas.openxmlformats.org/officeDocument/2006/relationships/hyperlink" Target="https://leetcode.com/problems/my-calendar-i/" TargetMode="External" Id="rId3003" /><Relationship Type="http://schemas.openxmlformats.org/officeDocument/2006/relationships/hyperlink" Target="https://leetcode.com/submissions/detail/1212315380/" TargetMode="External" Id="rId3004" /><Relationship Type="http://schemas.openxmlformats.org/officeDocument/2006/relationships/hyperlink" Target="https://leetcode.com/problems/my-calendar-ii/" TargetMode="External" Id="rId3005" /><Relationship Type="http://schemas.openxmlformats.org/officeDocument/2006/relationships/hyperlink" Target="https://leetcode.com/submissions/detail/1212363104/" TargetMode="External" Id="rId3006" /><Relationship Type="http://schemas.openxmlformats.org/officeDocument/2006/relationships/hyperlink" Target="https://leetcode.com/problems/my-calendar-ii/" TargetMode="External" Id="rId3007" /><Relationship Type="http://schemas.openxmlformats.org/officeDocument/2006/relationships/hyperlink" Target="https://leetcode.com/submissions/detail/1212366671/" TargetMode="External" Id="rId3008" /><Relationship Type="http://schemas.openxmlformats.org/officeDocument/2006/relationships/hyperlink" Target="https://leetcode.com/problems/my-calendar-iii/" TargetMode="External" Id="rId3009" /><Relationship Type="http://schemas.openxmlformats.org/officeDocument/2006/relationships/hyperlink" Target="https://leetcode.com/submissions/detail/1212366736/" TargetMode="External" Id="rId3010" /><Relationship Type="http://schemas.openxmlformats.org/officeDocument/2006/relationships/hyperlink" Target="https://leetcode.com/problems/my-calendar-iii/" TargetMode="External" Id="rId3011" /><Relationship Type="http://schemas.openxmlformats.org/officeDocument/2006/relationships/hyperlink" Target="https://leetcode.com/submissions/detail/1212370935/" TargetMode="External" Id="rId3012" /><Relationship Type="http://schemas.openxmlformats.org/officeDocument/2006/relationships/hyperlink" Target="https://leetcode.com/problems/sqrtx/" TargetMode="External" Id="rId3013" /><Relationship Type="http://schemas.openxmlformats.org/officeDocument/2006/relationships/hyperlink" Target="https://leetcode.com/submissions/detail/1212377477/" TargetMode="External" Id="rId3014" /><Relationship Type="http://schemas.openxmlformats.org/officeDocument/2006/relationships/hyperlink" Target="https://leetcode.com/problems/sqrtx/" TargetMode="External" Id="rId3015" /><Relationship Type="http://schemas.openxmlformats.org/officeDocument/2006/relationships/hyperlink" Target="https://leetcode.com/submissions/detail/1212378377/" TargetMode="External" Id="rId3016" /><Relationship Type="http://schemas.openxmlformats.org/officeDocument/2006/relationships/hyperlink" Target="https://leetcode.com/problems/sqrtx/" TargetMode="External" Id="rId3017" /><Relationship Type="http://schemas.openxmlformats.org/officeDocument/2006/relationships/hyperlink" Target="https://leetcode.com/submissions/detail/1212380433/" TargetMode="External" Id="rId3018" /><Relationship Type="http://schemas.openxmlformats.org/officeDocument/2006/relationships/hyperlink" Target="https://leetcode.com/problems/sqrtx/" TargetMode="External" Id="rId3019" /><Relationship Type="http://schemas.openxmlformats.org/officeDocument/2006/relationships/hyperlink" Target="https://leetcode.com/submissions/detail/1212380641/" TargetMode="External" Id="rId3020" /><Relationship Type="http://schemas.openxmlformats.org/officeDocument/2006/relationships/hyperlink" Target="https://leetcode.com/problems/guess-number-higher-or-lower/" TargetMode="External" Id="rId3021" /><Relationship Type="http://schemas.openxmlformats.org/officeDocument/2006/relationships/hyperlink" Target="https://leetcode.com/submissions/detail/1212385330/" TargetMode="External" Id="rId3022" /><Relationship Type="http://schemas.openxmlformats.org/officeDocument/2006/relationships/hyperlink" Target="https://leetcode.com/problems/first-bad-version/" TargetMode="External" Id="rId3023" /><Relationship Type="http://schemas.openxmlformats.org/officeDocument/2006/relationships/hyperlink" Target="https://leetcode.com/submissions/detail/1212396090/" TargetMode="External" Id="rId3024" /><Relationship Type="http://schemas.openxmlformats.org/officeDocument/2006/relationships/hyperlink" Target="https://leetcode.com/problems/first-bad-version/" TargetMode="External" Id="rId3025" /><Relationship Type="http://schemas.openxmlformats.org/officeDocument/2006/relationships/hyperlink" Target="https://leetcode.com/submissions/detail/1212396995/" TargetMode="External" Id="rId3026" /><Relationship Type="http://schemas.openxmlformats.org/officeDocument/2006/relationships/hyperlink" Target="https://leetcode.com/problems/first-bad-version/" TargetMode="External" Id="rId3027" /><Relationship Type="http://schemas.openxmlformats.org/officeDocument/2006/relationships/hyperlink" Target="https://leetcode.com/submissions/detail/1212397199/" TargetMode="External" Id="rId3028" /><Relationship Type="http://schemas.openxmlformats.org/officeDocument/2006/relationships/hyperlink" Target="https://leetcode.com/problems/first-bad-version/" TargetMode="External" Id="rId3029" /><Relationship Type="http://schemas.openxmlformats.org/officeDocument/2006/relationships/hyperlink" Target="https://leetcode.com/submissions/detail/1212399382/" TargetMode="External" Id="rId3030" /><Relationship Type="http://schemas.openxmlformats.org/officeDocument/2006/relationships/hyperlink" Target="https://leetcode.com/problems/find-minimum-in-rotated-sorted-array/" TargetMode="External" Id="rId3031" /><Relationship Type="http://schemas.openxmlformats.org/officeDocument/2006/relationships/hyperlink" Target="https://leetcode.com/submissions/detail/1212405968/" TargetMode="External" Id="rId3032" /><Relationship Type="http://schemas.openxmlformats.org/officeDocument/2006/relationships/hyperlink" Target="https://leetcode.com/problems/find-minimum-in-rotated-sorted-array/" TargetMode="External" Id="rId3033" /><Relationship Type="http://schemas.openxmlformats.org/officeDocument/2006/relationships/hyperlink" Target="https://leetcode.com/submissions/detail/1212406170/" TargetMode="External" Id="rId3034" /><Relationship Type="http://schemas.openxmlformats.org/officeDocument/2006/relationships/hyperlink" Target="https://leetcode.com/problems/find-minimum-in-rotated-sorted-array/" TargetMode="External" Id="rId3035" /><Relationship Type="http://schemas.openxmlformats.org/officeDocument/2006/relationships/hyperlink" Target="https://leetcode.com/submissions/detail/1212406620/" TargetMode="External" Id="rId3036" /><Relationship Type="http://schemas.openxmlformats.org/officeDocument/2006/relationships/hyperlink" Target="https://leetcode.com/problems/closest-binary-search-tree-value/" TargetMode="External" Id="rId3037" /><Relationship Type="http://schemas.openxmlformats.org/officeDocument/2006/relationships/hyperlink" Target="https://leetcode.com/submissions/detail/1212424797/" TargetMode="External" Id="rId3038" /><Relationship Type="http://schemas.openxmlformats.org/officeDocument/2006/relationships/hyperlink" Target="https://leetcode.com/problems/closest-binary-search-tree-value/" TargetMode="External" Id="rId3039" /><Relationship Type="http://schemas.openxmlformats.org/officeDocument/2006/relationships/hyperlink" Target="https://leetcode.com/submissions/detail/1212429867/" TargetMode="External" Id="rId3040" /><Relationship Type="http://schemas.openxmlformats.org/officeDocument/2006/relationships/hyperlink" Target="https://leetcode.com/problems/closest-binary-search-tree-value/" TargetMode="External" Id="rId3041" /><Relationship Type="http://schemas.openxmlformats.org/officeDocument/2006/relationships/hyperlink" Target="https://leetcode.com/submissions/detail/1212430017/" TargetMode="External" Id="rId3042" /><Relationship Type="http://schemas.openxmlformats.org/officeDocument/2006/relationships/hyperlink" Target="https://leetcode.com/problems/find-k-pairs-with-smallest-sums/" TargetMode="External" Id="rId3043" /><Relationship Type="http://schemas.openxmlformats.org/officeDocument/2006/relationships/hyperlink" Target="https://leetcode.com/submissions/detail/1213449195/" TargetMode="External" Id="rId3044" /><Relationship Type="http://schemas.openxmlformats.org/officeDocument/2006/relationships/hyperlink" Target="https://leetcode.com/problems/find-k-pairs-with-smallest-sums/" TargetMode="External" Id="rId3045" /><Relationship Type="http://schemas.openxmlformats.org/officeDocument/2006/relationships/hyperlink" Target="https://leetcode.com/submissions/detail/1213454011/" TargetMode="External" Id="rId3046" /><Relationship Type="http://schemas.openxmlformats.org/officeDocument/2006/relationships/hyperlink" Target="https://leetcode.com/problems/two-sum-ii-input-array-is-sorted/" TargetMode="External" Id="rId3047" /><Relationship Type="http://schemas.openxmlformats.org/officeDocument/2006/relationships/hyperlink" Target="https://leetcode.com/submissions/detail/1213523765/" TargetMode="External" Id="rId3048" /><Relationship Type="http://schemas.openxmlformats.org/officeDocument/2006/relationships/hyperlink" Target="https://leetcode.com/problems/remove-duplicates-from-sorted-array/" TargetMode="External" Id="rId3049" /><Relationship Type="http://schemas.openxmlformats.org/officeDocument/2006/relationships/hyperlink" Target="https://leetcode.com/submissions/detail/1213537851/" TargetMode="External" Id="rId3050" /><Relationship Type="http://schemas.openxmlformats.org/officeDocument/2006/relationships/hyperlink" Target="https://leetcode.com/problems/next-permutation/" TargetMode="External" Id="rId3051" /><Relationship Type="http://schemas.openxmlformats.org/officeDocument/2006/relationships/hyperlink" Target="https://leetcode.com/submissions/detail/1213568405/" TargetMode="External" Id="rId3052" /><Relationship Type="http://schemas.openxmlformats.org/officeDocument/2006/relationships/hyperlink" Target="https://leetcode.com/problems/sliding-window-maximum/" TargetMode="External" Id="rId3053" /><Relationship Type="http://schemas.openxmlformats.org/officeDocument/2006/relationships/hyperlink" Target="https://leetcode.com/submissions/detail/1214099075/" TargetMode="External" Id="rId3054" /><Relationship Type="http://schemas.openxmlformats.org/officeDocument/2006/relationships/hyperlink" Target="https://leetcode.com/problems/sliding-window-maximum/" TargetMode="External" Id="rId3055" /><Relationship Type="http://schemas.openxmlformats.org/officeDocument/2006/relationships/hyperlink" Target="https://leetcode.com/submissions/detail/1214102989/" TargetMode="External" Id="rId3056" /><Relationship Type="http://schemas.openxmlformats.org/officeDocument/2006/relationships/hyperlink" Target="https://leetcode.com/problems/online-election/" TargetMode="External" Id="rId3057" /><Relationship Type="http://schemas.openxmlformats.org/officeDocument/2006/relationships/hyperlink" Target="https://leetcode.com/submissions/detail/1217404450/" TargetMode="External" Id="rId3058" /><Relationship Type="http://schemas.openxmlformats.org/officeDocument/2006/relationships/hyperlink" Target="https://leetcode.com/problems/frequency-tracker/" TargetMode="External" Id="rId3059" /><Relationship Type="http://schemas.openxmlformats.org/officeDocument/2006/relationships/hyperlink" Target="https://leetcode.com/submissions/detail/1237161463/" TargetMode="External" Id="rId3060" /><Relationship Type="http://schemas.openxmlformats.org/officeDocument/2006/relationships/hyperlink" Target="https://leetcode.com/problems/kth-largest-element-in-an-array/" TargetMode="External" Id="rId3061" /><Relationship Type="http://schemas.openxmlformats.org/officeDocument/2006/relationships/hyperlink" Target="https://leetcode.com/submissions/detail/1360851507/" TargetMode="External" Id="rId3062" /><Relationship Type="http://schemas.openxmlformats.org/officeDocument/2006/relationships/hyperlink" Target="https://leetcode.com/problems/combination-sum/" TargetMode="External" Id="rId3063" /><Relationship Type="http://schemas.openxmlformats.org/officeDocument/2006/relationships/hyperlink" Target="https://leetcode.com/submissions/detail/1431182072/" TargetMode="External" Id="rId3064" /><Relationship Type="http://schemas.openxmlformats.org/officeDocument/2006/relationships/hyperlink" Target="https://leetcode.com/problems/combination-sum-ii/" TargetMode="External" Id="rId3065" /><Relationship Type="http://schemas.openxmlformats.org/officeDocument/2006/relationships/hyperlink" Target="https://leetcode.com/submissions/detail/1431189911/" TargetMode="External" Id="rId3066" /><Relationship Type="http://schemas.openxmlformats.org/officeDocument/2006/relationships/hyperlink" Target="https://leetcode.com/problems/combination-sum-ii/" TargetMode="External" Id="rId3067" /><Relationship Type="http://schemas.openxmlformats.org/officeDocument/2006/relationships/hyperlink" Target="https://leetcode.com/submissions/detail/1431190430/" TargetMode="External" Id="rId3068" /><Relationship Type="http://schemas.openxmlformats.org/officeDocument/2006/relationships/hyperlink" Target="https://leetcode.com/problems/flower-planting-with-no-adjacent/" TargetMode="External" Id="rId3069" /><Relationship Type="http://schemas.openxmlformats.org/officeDocument/2006/relationships/hyperlink" Target="https://leetcode.com/submissions/detail/1436888279/" TargetMode="External" Id="rId3070" /><Relationship Type="http://schemas.openxmlformats.org/officeDocument/2006/relationships/hyperlink" Target="https://leetcode.com/problems/flower-planting-with-no-adjacent/" TargetMode="External" Id="rId3071" /><Relationship Type="http://schemas.openxmlformats.org/officeDocument/2006/relationships/hyperlink" Target="https://leetcode.com/submissions/detail/1436889483/" TargetMode="External" Id="rId3072" /><Relationship Type="http://schemas.openxmlformats.org/officeDocument/2006/relationships/hyperlink" Target="https://leetcode.com/problems/minimum-total-distance-traveled/" TargetMode="External" Id="rId3073" /><Relationship Type="http://schemas.openxmlformats.org/officeDocument/2006/relationships/hyperlink" Target="https://leetcode.com/submissions/detail/1439060005/" TargetMode="External" Id="rId3074" /><Relationship Type="http://schemas.openxmlformats.org/officeDocument/2006/relationships/hyperlink" Target="https://leetcode.com/problems/minimum-total-distance-traveled/" TargetMode="External" Id="rId3075" /><Relationship Type="http://schemas.openxmlformats.org/officeDocument/2006/relationships/hyperlink" Target="https://leetcode.com/submissions/detail/1439134519/" TargetMode="External" Id="rId3076" /><Relationship Type="http://schemas.openxmlformats.org/officeDocument/2006/relationships/hyperlink" Target="https://leetcode.com/problems/minimum-total-distance-traveled/" TargetMode="External" Id="rId3077" /><Relationship Type="http://schemas.openxmlformats.org/officeDocument/2006/relationships/hyperlink" Target="https://leetcode.com/submissions/detail/1439141610/" TargetMode="External" Id="rId3078" /><Relationship Type="http://schemas.openxmlformats.org/officeDocument/2006/relationships/hyperlink" Target="https://leetcode.com/problems/minimum-total-distance-traveled/" TargetMode="External" Id="rId3079" /><Relationship Type="http://schemas.openxmlformats.org/officeDocument/2006/relationships/hyperlink" Target="https://leetcode.com/submissions/detail/1439146279/" TargetMode="External" Id="rId3080" /><Relationship Type="http://schemas.openxmlformats.org/officeDocument/2006/relationships/hyperlink" Target="https://leetcode.com/problems/binary-tree-inorder-traversal/" TargetMode="External" Id="rId3081" /><Relationship Type="http://schemas.openxmlformats.org/officeDocument/2006/relationships/hyperlink" Target="https://leetcode.com/submissions/detail/1445450809/" TargetMode="External" Id="rId3082" /><Relationship Type="http://schemas.openxmlformats.org/officeDocument/2006/relationships/hyperlink" Target="https://leetcode.com/problems/house-robber/" TargetMode="External" Id="rId3083" /><Relationship Type="http://schemas.openxmlformats.org/officeDocument/2006/relationships/hyperlink" Target="https://leetcode.com/submissions/detail/1518840008/" TargetMode="External" Id="rId3084" /><Relationship Type="http://schemas.openxmlformats.org/officeDocument/2006/relationships/hyperlink" Target="https://leetcode.com/problems/house-robber/" TargetMode="External" Id="rId3085" /><Relationship Type="http://schemas.openxmlformats.org/officeDocument/2006/relationships/hyperlink" Target="https://leetcode.com/submissions/detail/1518842548/" TargetMode="External" Id="rId3086" /><Relationship Type="http://schemas.openxmlformats.org/officeDocument/2006/relationships/hyperlink" Target="https://leetcode.com/problems/min-cost-climbing-stairs/" TargetMode="External" Id="rId3087" /><Relationship Type="http://schemas.openxmlformats.org/officeDocument/2006/relationships/hyperlink" Target="https://leetcode.com/submissions/detail/1518876174/" TargetMode="External" Id="rId3088" /><Relationship Type="http://schemas.openxmlformats.org/officeDocument/2006/relationships/hyperlink" Target="https://leetcode.com/problems/min-cost-climbing-stairs/" TargetMode="External" Id="rId3089" /><Relationship Type="http://schemas.openxmlformats.org/officeDocument/2006/relationships/hyperlink" Target="https://leetcode.com/submissions/detail/1518880175/" TargetMode="External" Id="rId3090" /><Relationship Type="http://schemas.openxmlformats.org/officeDocument/2006/relationships/hyperlink" Target="https://leetcode.com/problems/majority-element/" TargetMode="External" Id="rId3091" /><Relationship Type="http://schemas.openxmlformats.org/officeDocument/2006/relationships/hyperlink" Target="https://leetcode.com/submissions/detail/1519712914/" TargetMode="External" Id="rId3092" /><Relationship Type="http://schemas.openxmlformats.org/officeDocument/2006/relationships/hyperlink" Target="https://leetcode.com/problems/maximum-subarray/" TargetMode="External" Id="rId3093" /><Relationship Type="http://schemas.openxmlformats.org/officeDocument/2006/relationships/hyperlink" Target="https://leetcode.com/submissions/detail/1581828977/" TargetMode="External" Id="rId3094" /><Relationship Type="http://schemas.openxmlformats.org/officeDocument/2006/relationships/hyperlink" Target="https://leetcode.com/problems/best-time-to-buy-and-sell-stock/" TargetMode="External" Id="rId3095" /><Relationship Type="http://schemas.openxmlformats.org/officeDocument/2006/relationships/hyperlink" Target="https://leetcode.com/submissions/detail/1581831075/" TargetMode="External" Id="rId3096" /><Relationship Type="http://schemas.openxmlformats.org/officeDocument/2006/relationships/hyperlink" Target="https://leetcode.com/problems/search-in-rotated-sorted-array/" TargetMode="External" Id="rId3097" /><Relationship Type="http://schemas.openxmlformats.org/officeDocument/2006/relationships/hyperlink" Target="https://leetcode.com/submissions/detail/1582134200/" TargetMode="External" Id="rId3098" /><Relationship Type="http://schemas.openxmlformats.org/officeDocument/2006/relationships/hyperlink" Target="https://leetcode.com/problems/find-minimum-in-rotated-sorted-array/" TargetMode="External" Id="rId3099" /><Relationship Type="http://schemas.openxmlformats.org/officeDocument/2006/relationships/hyperlink" Target="https://leetcode.com/submissions/detail/1582142227/" TargetMode="External" Id="rId3100" /><Relationship Type="http://schemas.openxmlformats.org/officeDocument/2006/relationships/hyperlink" Target="https://leetcode.com/problems/lowest-common-ancestor-of-a-binary-tree/" TargetMode="External" Id="rId3101" /><Relationship Type="http://schemas.openxmlformats.org/officeDocument/2006/relationships/hyperlink" Target="https://leetcode.com/submissions/detail/1582194949/" TargetMode="External" Id="rId3102" /><Relationship Type="http://schemas.openxmlformats.org/officeDocument/2006/relationships/hyperlink" Target="https://leetcode.com/problems/koko-eating-bananas/" TargetMode="External" Id="rId3103" /><Relationship Type="http://schemas.openxmlformats.org/officeDocument/2006/relationships/hyperlink" Target="https://leetcode.com/submissions/detail/1582305528/" TargetMode="External" Id="rId3104" /><Relationship Type="http://schemas.openxmlformats.org/officeDocument/2006/relationships/hyperlink" Target="https://leetcode.com/problems/koko-eating-bananas/" TargetMode="External" Id="rId3105" /><Relationship Type="http://schemas.openxmlformats.org/officeDocument/2006/relationships/hyperlink" Target="https://leetcode.com/submissions/detail/1582420275/" TargetMode="External" Id="rId3106" /><Relationship Type="http://schemas.openxmlformats.org/officeDocument/2006/relationships/hyperlink" Target="https://leetcode.com/problems/longest-consecutive-sequence/" TargetMode="External" Id="rId3107" /><Relationship Type="http://schemas.openxmlformats.org/officeDocument/2006/relationships/hyperlink" Target="https://leetcode.com/submissions/detail/1582444889/" TargetMode="External" Id="rId3108" /><Relationship Type="http://schemas.openxmlformats.org/officeDocument/2006/relationships/hyperlink" Target="https://leetcode.com/problems/longest-consecutive-sequence/" TargetMode="External" Id="rId3109" /><Relationship Type="http://schemas.openxmlformats.org/officeDocument/2006/relationships/hyperlink" Target="https://leetcode.com/submissions/detail/1582453958/" TargetMode="External" Id="rId3110" /><Relationship Type="http://schemas.openxmlformats.org/officeDocument/2006/relationships/hyperlink" Target="https://leetcode.com/problems/permutation-in-string/" TargetMode="External" Id="rId3111" /><Relationship Type="http://schemas.openxmlformats.org/officeDocument/2006/relationships/hyperlink" Target="https://leetcode.com/submissions/detail/1582490159/" TargetMode="External" Id="rId3112" /><Relationship Type="http://schemas.openxmlformats.org/officeDocument/2006/relationships/hyperlink" Target="https://leetcode.com/problems/longest-repeating-character-replacement/" TargetMode="External" Id="rId3113" /><Relationship Type="http://schemas.openxmlformats.org/officeDocument/2006/relationships/hyperlink" Target="https://leetcode.com/submissions/detail/1582535874/" TargetMode="External" Id="rId3114" /><Relationship Type="http://schemas.openxmlformats.org/officeDocument/2006/relationships/hyperlink" Target="https://leetcode.com/problems/longest-repeating-character-replacement/" TargetMode="External" Id="rId3115" /><Relationship Type="http://schemas.openxmlformats.org/officeDocument/2006/relationships/hyperlink" Target="https://leetcode.com/submissions/detail/1582540804/" TargetMode="External" Id="rId3116" /><Relationship Type="http://schemas.openxmlformats.org/officeDocument/2006/relationships/hyperlink" Target="https://leetcode.com/problems/daily-temperatures/" TargetMode="External" Id="rId3117" /><Relationship Type="http://schemas.openxmlformats.org/officeDocument/2006/relationships/hyperlink" Target="https://leetcode.com/submissions/detail/1582551479/" TargetMode="External" Id="rId3118" /><Relationship Type="http://schemas.openxmlformats.org/officeDocument/2006/relationships/hyperlink" Target="https://leetcode.com/problems/car-fleet/" TargetMode="External" Id="rId3119" /><Relationship Type="http://schemas.openxmlformats.org/officeDocument/2006/relationships/hyperlink" Target="https://leetcode.com/submissions/detail/1582569036/" TargetMode="External" Id="rId3120" /><Relationship Type="http://schemas.openxmlformats.org/officeDocument/2006/relationships/hyperlink" Target="https://leetcode.com/problems/car-fleet/" TargetMode="External" Id="rId3121" /><Relationship Type="http://schemas.openxmlformats.org/officeDocument/2006/relationships/hyperlink" Target="https://leetcode.com/submissions/detail/1582572955/" TargetMode="External" Id="rId3122" /><Relationship Type="http://schemas.openxmlformats.org/officeDocument/2006/relationships/hyperlink" Target="https://leetcode.com/problems/car-fleet/" TargetMode="External" Id="rId3123" /><Relationship Type="http://schemas.openxmlformats.org/officeDocument/2006/relationships/hyperlink" Target="https://leetcode.com/submissions/detail/1582577529/" TargetMode="External" Id="rId3124" /><Relationship Type="http://schemas.openxmlformats.org/officeDocument/2006/relationships/hyperlink" Target="https://leetcode.com/problems/evaluate-reverse-polish-notation/" TargetMode="External" Id="rId3125" /><Relationship Type="http://schemas.openxmlformats.org/officeDocument/2006/relationships/hyperlink" Target="https://leetcode.com/submissions/detail/1582588929/" TargetMode="External" Id="rId3126" /><Relationship Type="http://schemas.openxmlformats.org/officeDocument/2006/relationships/hyperlink" Target="https://leetcode.com/problems/evaluate-reverse-polish-notation/" TargetMode="External" Id="rId3127" /><Relationship Type="http://schemas.openxmlformats.org/officeDocument/2006/relationships/hyperlink" Target="https://leetcode.com/submissions/detail/1582591241/" TargetMode="External" Id="rId3128" /><Relationship Type="http://schemas.openxmlformats.org/officeDocument/2006/relationships/hyperlink" Target="https://leetcode.com/problems/time-based-key-value-store/" TargetMode="External" Id="rId3129" /><Relationship Type="http://schemas.openxmlformats.org/officeDocument/2006/relationships/hyperlink" Target="https://leetcode.com/submissions/detail/1582616066/" TargetMode="External" Id="rId3130" /><Relationship Type="http://schemas.openxmlformats.org/officeDocument/2006/relationships/hyperlink" Target="https://leetcode.com/problems/time-based-key-value-store/" TargetMode="External" Id="rId3131" /><Relationship Type="http://schemas.openxmlformats.org/officeDocument/2006/relationships/hyperlink" Target="https://leetcode.com/submissions/detail/1582616736/" TargetMode="External" Id="rId3132" /><Relationship Type="http://schemas.openxmlformats.org/officeDocument/2006/relationships/hyperlink" Target="https://leetcode.com/problems/min-stack/" TargetMode="External" Id="rId3133" /><Relationship Type="http://schemas.openxmlformats.org/officeDocument/2006/relationships/hyperlink" Target="https://leetcode.com/submissions/detail/1582619549/" TargetMode="External" Id="rId3134" /><Relationship Type="http://schemas.openxmlformats.org/officeDocument/2006/relationships/hyperlink" Target="https://leetcode.com/problems/median-of-two-sorted-arrays/" TargetMode="External" Id="rId3135" /><Relationship Type="http://schemas.openxmlformats.org/officeDocument/2006/relationships/hyperlink" Target="https://leetcode.com/submissions/detail/1583197806/" TargetMode="External" Id="rId3136" /><Relationship Type="http://schemas.openxmlformats.org/officeDocument/2006/relationships/hyperlink" Target="https://leetcode.com/problems/merge-two-sorted-lists/" TargetMode="External" Id="rId3137" /><Relationship Type="http://schemas.openxmlformats.org/officeDocument/2006/relationships/hyperlink" Target="https://leetcode.com/submissions/detail/1583232564/" TargetMode="External" Id="rId3138" /><Relationship Type="http://schemas.openxmlformats.org/officeDocument/2006/relationships/hyperlink" Target="https://leetcode.com/problems/reorder-list/" TargetMode="External" Id="rId3139" /><Relationship Type="http://schemas.openxmlformats.org/officeDocument/2006/relationships/hyperlink" Target="https://leetcode.com/submissions/detail/1583254762/" TargetMode="External" Id="rId3140" /><Relationship Type="http://schemas.openxmlformats.org/officeDocument/2006/relationships/hyperlink" Target="https://leetcode.com/problems/reorder-list/" TargetMode="External" Id="rId3141" /><Relationship Type="http://schemas.openxmlformats.org/officeDocument/2006/relationships/hyperlink" Target="https://leetcode.com/submissions/detail/1583256839/" TargetMode="External" Id="rId3142" /><Relationship Type="http://schemas.openxmlformats.org/officeDocument/2006/relationships/hyperlink" Target="https://leetcode.com/problems/reorder-list/" TargetMode="External" Id="rId3143" /><Relationship Type="http://schemas.openxmlformats.org/officeDocument/2006/relationships/hyperlink" Target="https://leetcode.com/submissions/detail/1583273041/" TargetMode="External" Id="rId3144" /><Relationship Type="http://schemas.openxmlformats.org/officeDocument/2006/relationships/hyperlink" Target="https://leetcode.com/problems/reorder-list/" TargetMode="External" Id="rId3145" /><Relationship Type="http://schemas.openxmlformats.org/officeDocument/2006/relationships/hyperlink" Target="https://leetcode.com/submissions/detail/1583283239/" TargetMode="External" Id="rId3146" /><Relationship Type="http://schemas.openxmlformats.org/officeDocument/2006/relationships/hyperlink" Target="https://leetcode.com/problems/reorder-list/" TargetMode="External" Id="rId3147" /><Relationship Type="http://schemas.openxmlformats.org/officeDocument/2006/relationships/hyperlink" Target="https://leetcode.com/submissions/detail/1583284814/" TargetMode="External" Id="rId3148" /><Relationship Type="http://schemas.openxmlformats.org/officeDocument/2006/relationships/hyperlink" Target="https://leetcode.com/problems/remove-nth-node-from-end-of-list/" TargetMode="External" Id="rId3149" /><Relationship Type="http://schemas.openxmlformats.org/officeDocument/2006/relationships/hyperlink" Target="https://leetcode.com/submissions/detail/1583297279/" TargetMode="External" Id="rId3150" /><Relationship Type="http://schemas.openxmlformats.org/officeDocument/2006/relationships/hyperlink" Target="https://leetcode.com/problems/reorder-list/" TargetMode="External" Id="rId3151" /><Relationship Type="http://schemas.openxmlformats.org/officeDocument/2006/relationships/hyperlink" Target="https://leetcode.com/submissions/detail/1583304906/" TargetMode="External" Id="rId3152" /><Relationship Type="http://schemas.openxmlformats.org/officeDocument/2006/relationships/hyperlink" Target="https://leetcode.com/problems/reverse-nodes-in-k-group/" TargetMode="External" Id="rId3153" /><Relationship Type="http://schemas.openxmlformats.org/officeDocument/2006/relationships/hyperlink" Target="https://leetcode.com/submissions/detail/1583325959/" TargetMode="External" Id="rId3154" /><Relationship Type="http://schemas.openxmlformats.org/officeDocument/2006/relationships/hyperlink" Target="https://leetcode.com/problems/merge-k-sorted-lists/" TargetMode="External" Id="rId3155" /><Relationship Type="http://schemas.openxmlformats.org/officeDocument/2006/relationships/hyperlink" Target="https://leetcode.com/submissions/detail/1586434062/" TargetMode="External" Id="rId3156" /><Relationship Type="http://schemas.openxmlformats.org/officeDocument/2006/relationships/hyperlink" Target="https://leetcode.com/problems/car-pooling/" TargetMode="External" Id="rId3157" /><Relationship Type="http://schemas.openxmlformats.org/officeDocument/2006/relationships/hyperlink" Target="https://leetcode.com/submissions/detail/1608472430/" TargetMode="External" Id="rId3158" /><Relationship Type="http://schemas.openxmlformats.org/officeDocument/2006/relationships/hyperlink" Target="https://leetcode.com/problems/my-calendar-iii/" TargetMode="External" Id="rId3159" /><Relationship Type="http://schemas.openxmlformats.org/officeDocument/2006/relationships/hyperlink" Target="https://leetcode.com/submissions/detail/1608480201/" TargetMode="External" Id="rId3160" /><Relationship Type="http://schemas.openxmlformats.org/officeDocument/2006/relationships/hyperlink" Target="https://leetcode.com/problems/my-calendar-i/" TargetMode="External" Id="rId3161" /><Relationship Type="http://schemas.openxmlformats.org/officeDocument/2006/relationships/hyperlink" Target="https://leetcode.com/submissions/detail/1608484538/" TargetMode="External" Id="rId3162" /><Relationship Type="http://schemas.openxmlformats.org/officeDocument/2006/relationships/hyperlink" Target="https://leetcode.com/problems/my-calendar-ii/" TargetMode="External" Id="rId3163" /><Relationship Type="http://schemas.openxmlformats.org/officeDocument/2006/relationships/hyperlink" Target="https://leetcode.com/submissions/detail/1608485018/" TargetMode="External" Id="rId3164" /><Relationship Type="http://schemas.openxmlformats.org/officeDocument/2006/relationships/hyperlink" Target="https://leetcode.com/problems/shifting-letters-ii/" TargetMode="External" Id="rId3165" /><Relationship Type="http://schemas.openxmlformats.org/officeDocument/2006/relationships/hyperlink" Target="https://leetcode.com/submissions/detail/1608687673/" TargetMode="External" Id="rId3166" /><Relationship Type="http://schemas.openxmlformats.org/officeDocument/2006/relationships/hyperlink" Target="https://leetcode.com/problems/shifting-letters-ii/" TargetMode="External" Id="rId3167" /><Relationship Type="http://schemas.openxmlformats.org/officeDocument/2006/relationships/hyperlink" Target="https://leetcode.com/submissions/detail/1608691058/" TargetMode="External" Id="rId3168" /><Relationship Type="http://schemas.openxmlformats.org/officeDocument/2006/relationships/hyperlink" Target="https://leetcode.com/problems/shifting-letters-ii/" TargetMode="External" Id="rId3169" /><Relationship Type="http://schemas.openxmlformats.org/officeDocument/2006/relationships/hyperlink" Target="https://leetcode.com/submissions/detail/1608696090/" TargetMode="External" Id="rId3170" /><Relationship Type="http://schemas.openxmlformats.org/officeDocument/2006/relationships/hyperlink" Target="https://leetcode.com/problems/number-of-flowers-in-full-bloom/" TargetMode="External" Id="rId3171" /><Relationship Type="http://schemas.openxmlformats.org/officeDocument/2006/relationships/hyperlink" Target="https://leetcode.com/submissions/detail/1608729211/" TargetMode="External" Id="rId3172" /><Relationship Type="http://schemas.openxmlformats.org/officeDocument/2006/relationships/hyperlink" Target="https://leetcode.com/problems/number-of-flowers-in-full-bloom/" TargetMode="External" Id="rId3173" /><Relationship Type="http://schemas.openxmlformats.org/officeDocument/2006/relationships/hyperlink" Target="https://leetcode.com/submissions/detail/1608755716/" TargetMode="External" Id="rId3174" /><Relationship Type="http://schemas.openxmlformats.org/officeDocument/2006/relationships/hyperlink" Target="https://leetcode.com/problems/maximum-length-of-pair-chain/" TargetMode="External" Id="rId3175" /><Relationship Type="http://schemas.openxmlformats.org/officeDocument/2006/relationships/hyperlink" Target="https://leetcode.com/submissions/detail/1608807314/" TargetMode="External" Id="rId3176" /><Relationship Type="http://schemas.openxmlformats.org/officeDocument/2006/relationships/hyperlink" Target="https://leetcode.com/problems/binary-tree-maximum-path-sum/" TargetMode="External" Id="rId3177" /><Relationship Type="http://schemas.openxmlformats.org/officeDocument/2006/relationships/hyperlink" Target="https://leetcode.com/submissions/detail/1621808779/" TargetMode="External" Id="rId3178" /><Relationship Type="http://schemas.openxmlformats.org/officeDocument/2006/relationships/hyperlink" Target="https://leetcode.com/problems/binary-tree-maximum-path-sum/" TargetMode="External" Id="rId3179" /><Relationship Type="http://schemas.openxmlformats.org/officeDocument/2006/relationships/hyperlink" Target="https://leetcode.com/submissions/detail/1621809992/" TargetMode="External" Id="rId3180" /><Relationship Type="http://schemas.openxmlformats.org/officeDocument/2006/relationships/hyperlink" Target="https://leetcode.com/problems/path-sum-iii/" TargetMode="External" Id="rId3181" /><Relationship Type="http://schemas.openxmlformats.org/officeDocument/2006/relationships/hyperlink" Target="https://leetcode.com/submissions/detail/1622443744/" TargetMode="External" Id="rId3182" /><Relationship Type="http://schemas.openxmlformats.org/officeDocument/2006/relationships/hyperlink" Target="https://leetcode.com/problems/path-sum-iii/" TargetMode="External" Id="rId3183" /><Relationship Type="http://schemas.openxmlformats.org/officeDocument/2006/relationships/hyperlink" Target="https://leetcode.com/submissions/detail/1622444693/" TargetMode="External" Id="rId3184" /><Relationship Type="http://schemas.openxmlformats.org/officeDocument/2006/relationships/hyperlink" Target="https://leetcode.com/problems/number-of-provinces/" TargetMode="External" Id="rId3185" /><Relationship Type="http://schemas.openxmlformats.org/officeDocument/2006/relationships/hyperlink" Target="https://leetcode.com/submissions/detail/1622466737/" TargetMode="External" Id="rId3186" /><Relationship Type="http://schemas.openxmlformats.org/officeDocument/2006/relationships/hyperlink" Target="https://leetcode.com/problems/rotting-oranges/" TargetMode="External" Id="rId3187" /><Relationship Type="http://schemas.openxmlformats.org/officeDocument/2006/relationships/hyperlink" Target="https://leetcode.com/submissions/detail/1622478711/" TargetMode="External" Id="rId3188" /><Relationship Type="http://schemas.openxmlformats.org/officeDocument/2006/relationships/hyperlink" Target="https://leetcode.com/problems/flood-fill/" TargetMode="External" Id="rId3189" /><Relationship Type="http://schemas.openxmlformats.org/officeDocument/2006/relationships/hyperlink" Target="https://leetcode.com/submissions/detail/1622484431/" TargetMode="External" Id="rId3190" /><Relationship Type="http://schemas.openxmlformats.org/officeDocument/2006/relationships/hyperlink" Target="https://leetcode.com/problems/random-pick-with-weight/" TargetMode="External" Id="rId3191" /><Relationship Type="http://schemas.openxmlformats.org/officeDocument/2006/relationships/hyperlink" Target="https://leetcode.com/submissions/detail/1663543314/" TargetMode="External" Id="rId3192" /><Relationship Type="http://schemas.openxmlformats.org/officeDocument/2006/relationships/hyperlink" Target="https://leetcode.com/problems/random-pick-with-weight/" TargetMode="External" Id="rId3193" /><Relationship Type="http://schemas.openxmlformats.org/officeDocument/2006/relationships/hyperlink" Target="https://leetcode.com/submissions/detail/1663551792/" TargetMode="External" Id="rId3194" /><Relationship Type="http://schemas.openxmlformats.org/officeDocument/2006/relationships/hyperlink" Target="https://leetcode.com/problems/valid-palindrome-ii/" TargetMode="External" Id="rId3195" /><Relationship Type="http://schemas.openxmlformats.org/officeDocument/2006/relationships/hyperlink" Target="https://leetcode.com/submissions/detail/1663580515/" TargetMode="External" Id="rId3196" /><Relationship Type="http://schemas.openxmlformats.org/officeDocument/2006/relationships/hyperlink" Target="https://leetcode.com/problems/k-closest-points-to-origin/" TargetMode="External" Id="rId3197" /><Relationship Type="http://schemas.openxmlformats.org/officeDocument/2006/relationships/hyperlink" Target="https://leetcode.com/submissions/detail/1664025842/" TargetMode="External" Id="rId3198" /><Relationship Type="http://schemas.openxmlformats.org/officeDocument/2006/relationships/hyperlink" Target="https://leetcode.com/problems/k-closest-points-to-origin/" TargetMode="External" Id="rId3199" /><Relationship Type="http://schemas.openxmlformats.org/officeDocument/2006/relationships/hyperlink" Target="https://leetcode.com/submissions/detail/1664026000/" TargetMode="External" Id="rId3200" /><Relationship Type="http://schemas.openxmlformats.org/officeDocument/2006/relationships/hyperlink" Target="https://leetcode.com/problems/sum-root-to-leaf-numbers/" TargetMode="External" Id="rId3201" /><Relationship Type="http://schemas.openxmlformats.org/officeDocument/2006/relationships/hyperlink" Target="https://leetcode.com/submissions/detail/1664032755/" TargetMode="External" Id="rId3202" /><Relationship Type="http://schemas.openxmlformats.org/officeDocument/2006/relationships/hyperlink" Target="https://leetcode.com/problems/clone-graph/" TargetMode="External" Id="rId3203" /><Relationship Type="http://schemas.openxmlformats.org/officeDocument/2006/relationships/hyperlink" Target="https://leetcode.com/submissions/detail/1664071397/" TargetMode="External" Id="rId3204" /><Relationship Type="http://schemas.openxmlformats.org/officeDocument/2006/relationships/hyperlink" Target="https://leetcode.com/problems/clone-graph/" TargetMode="External" Id="rId3205" /><Relationship Type="http://schemas.openxmlformats.org/officeDocument/2006/relationships/hyperlink" Target="https://leetcode.com/submissions/detail/1664076025/" TargetMode="External" Id="rId3206" /><Relationship Type="http://schemas.openxmlformats.org/officeDocument/2006/relationships/hyperlink" Target="https://leetcode.com/problems/powx-n/" TargetMode="External" Id="rId3207" /><Relationship Type="http://schemas.openxmlformats.org/officeDocument/2006/relationships/hyperlink" Target="https://leetcode.com/submissions/detail/1664150999/" TargetMode="External" Id="rId3208" /><Relationship Type="http://schemas.openxmlformats.org/officeDocument/2006/relationships/hyperlink" Target="https://leetcode.com/problems/powx-n/" TargetMode="External" Id="rId3209" /><Relationship Type="http://schemas.openxmlformats.org/officeDocument/2006/relationships/hyperlink" Target="https://leetcode.com/submissions/detail/1664151958/" TargetMode="External" Id="rId3210" /><Relationship Type="http://schemas.openxmlformats.org/officeDocument/2006/relationships/hyperlink" Target="https://leetcode.com/problems/powx-n/" TargetMode="External" Id="rId3211" /><Relationship Type="http://schemas.openxmlformats.org/officeDocument/2006/relationships/hyperlink" Target="https://leetcode.com/submissions/detail/1664155816/" TargetMode="External" Id="rId3212" /><Relationship Type="http://schemas.openxmlformats.org/officeDocument/2006/relationships/hyperlink" Target="https://leetcode.com/problems/powx-n/" TargetMode="External" Id="rId3213" /><Relationship Type="http://schemas.openxmlformats.org/officeDocument/2006/relationships/hyperlink" Target="https://leetcode.com/submissions/detail/1664157190/" TargetMode="External" Id="rId3214" /><Relationship Type="http://schemas.openxmlformats.org/officeDocument/2006/relationships/hyperlink" Target="https://leetcode.com/problems/powx-n/" TargetMode="External" Id="rId3215" /><Relationship Type="http://schemas.openxmlformats.org/officeDocument/2006/relationships/hyperlink" Target="https://leetcode.com/submissions/detail/1664181690/" TargetMode="External" Id="rId3216" /><Relationship Type="http://schemas.openxmlformats.org/officeDocument/2006/relationships/hyperlink" Target="https://leetcode.com/problems/exclusive-time-of-functions/" TargetMode="External" Id="rId3217" /><Relationship Type="http://schemas.openxmlformats.org/officeDocument/2006/relationships/hyperlink" Target="https://leetcode.com/submissions/detail/1688323984/" TargetMode="External" Id="rId3218" /><Relationship Type="http://schemas.openxmlformats.org/officeDocument/2006/relationships/hyperlink" Target="https://leetcode.com/problems/best-time-to-buy-and-sell-stock/" TargetMode="External" Id="rId3219" /><Relationship Type="http://schemas.openxmlformats.org/officeDocument/2006/relationships/hyperlink" Target="https://leetcode.com/submissions/detail/1689835363/" TargetMode="External" Id="rId3220" /><Relationship Type="http://schemas.openxmlformats.org/officeDocument/2006/relationships/hyperlink" Target="https://leetcode.com/problems/merge-intervals/" TargetMode="External" Id="rId3221" /><Relationship Type="http://schemas.openxmlformats.org/officeDocument/2006/relationships/hyperlink" Target="https://leetcode.com/submissions/detail/1689875947/" TargetMode="External" Id="rId3222" /><Relationship Type="http://schemas.openxmlformats.org/officeDocument/2006/relationships/hyperlink" Target="https://leetcode.com/problems/subarray-sum-equals-k/" TargetMode="External" Id="rId3223" /><Relationship Type="http://schemas.openxmlformats.org/officeDocument/2006/relationships/hyperlink" Target="https://leetcode.com/submissions/detail/1689878099/" TargetMode="External" Id="rId3224" /><Relationship Type="http://schemas.openxmlformats.org/officeDocument/2006/relationships/hyperlink" Target="https://leetcode.com/problems/best-time-to-buy-and-sell-stock/" TargetMode="External" Id="rId3225" /><Relationship Type="http://schemas.openxmlformats.org/officeDocument/2006/relationships/hyperlink" Target="https://leetcode.com/submissions/detail/1689878369/" TargetMode="External" Id="rId3226" /><Relationship Type="http://schemas.openxmlformats.org/officeDocument/2006/relationships/hyperlink" Target="https://leetcode.com/problems/kth-missing-positive-number/" TargetMode="External" Id="rId3227" /><Relationship Type="http://schemas.openxmlformats.org/officeDocument/2006/relationships/hyperlink" Target="https://leetcode.com/submissions/detail/1690679643/" TargetMode="External" Id="rId3228" /><Relationship Type="http://schemas.openxmlformats.org/officeDocument/2006/relationships/hyperlink" Target="https://leetcode.com/problems/range-sum-of-bst/" TargetMode="External" Id="rId3229" /><Relationship Type="http://schemas.openxmlformats.org/officeDocument/2006/relationships/hyperlink" Target="https://leetcode.com/submissions/detail/1699707053/" TargetMode="External" Id="rId3230" /><Relationship Type="http://schemas.openxmlformats.org/officeDocument/2006/relationships/hyperlink" Target="https://leetcode.com/problems/minimum-remove-to-make-valid-parentheses/" TargetMode="External" Id="rId3231" /><Relationship Type="http://schemas.openxmlformats.org/officeDocument/2006/relationships/hyperlink" Target="https://leetcode.com/submissions/detail/1699730806/" TargetMode="External" Id="rId3232" /><Relationship Type="http://schemas.openxmlformats.org/officeDocument/2006/relationships/hyperlink" Target="https://leetcode.com/problems/minimum-remove-to-make-valid-parentheses/" TargetMode="External" Id="rId3233" /><Relationship Type="http://schemas.openxmlformats.org/officeDocument/2006/relationships/hyperlink" Target="https://leetcode.com/submissions/detail/1699732158/" TargetMode="External" Id="rId3234" /><Relationship Type="http://schemas.openxmlformats.org/officeDocument/2006/relationships/hyperlink" Target="https://leetcode.com/problems/binary-search-tree-iterator/" TargetMode="External" Id="rId3235" /><Relationship Type="http://schemas.openxmlformats.org/officeDocument/2006/relationships/hyperlink" Target="https://leetcode.com/submissions/detail/1703293806/" TargetMode="External" Id="rId3236" /><Relationship Type="http://schemas.openxmlformats.org/officeDocument/2006/relationships/hyperlink" Target="https://leetcode.com/problems/recover-binary-search-tree/" TargetMode="External" Id="rId3237" /><Relationship Type="http://schemas.openxmlformats.org/officeDocument/2006/relationships/hyperlink" Target="https://leetcode.com/submissions/detail/2037054274/" TargetMode="External" Id="rId3238" /><Relationship Type="http://schemas.openxmlformats.org/officeDocument/2006/relationships/hyperlink" Target="https://leetcode.com/problems/palindrome-linked-list/" TargetMode="External" Id="rId3239" /><Relationship Type="http://schemas.openxmlformats.org/officeDocument/2006/relationships/hyperlink" Target="https://leetcode.com/submissions/detail/2161729892/" TargetMode="External" Id="rId3240" /><Relationship Type="http://schemas.openxmlformats.org/officeDocument/2006/relationships/table" Target="/xl/tables/table3.xml" Id="rId32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70" customWidth="1" min="3" max="3"/>
  </cols>
  <sheetData>
    <row r="1">
      <c r="A1" s="1" t="inlineStr">
        <is>
          <t>LeetCode history: list "Anuj Mar-23 to present"</t>
        </is>
      </c>
    </row>
    <row r="2">
      <c r="A2" s="2" t="inlineStr">
        <is>
          <t>Pulled from LeetCode on 2026-10-24 12:43 IST. Times are IST.</t>
        </is>
      </c>
    </row>
    <row r="4">
      <c r="A4" s="3" t="inlineStr">
        <is>
          <t>Your list</t>
        </is>
      </c>
    </row>
    <row r="5">
      <c r="A5" s="4" t="inlineStr">
        <is>
          <t>Problems in the list</t>
        </is>
      </c>
      <c r="B5" s="4">
        <f>COUNTA('Solved Problems'!$C$2:$C$278)</f>
        <v/>
      </c>
    </row>
    <row r="6">
      <c r="A6" s="4" t="inlineStr">
        <is>
          <t>Solved (LeetCode status)</t>
        </is>
      </c>
      <c r="B6" s="4">
        <f>COUNTIF('Solved Problems'!$I$2:$I$278,"Solved")</f>
        <v/>
      </c>
    </row>
    <row r="7">
      <c r="A7" s="4" t="inlineStr">
        <is>
          <t>Attempted, not solved</t>
        </is>
      </c>
      <c r="B7" s="4">
        <f>COUNTIF('Solved Problems'!$I$2:$I$278,"Attempted")</f>
        <v/>
      </c>
    </row>
    <row r="8">
      <c r="A8" s="4" t="inlineStr">
        <is>
          <t>Easy</t>
        </is>
      </c>
      <c r="B8" s="4">
        <f>COUNTIF('Solved Problems'!$D$2:$D$278,"Easy")</f>
        <v/>
      </c>
    </row>
    <row r="9">
      <c r="A9" s="4" t="inlineStr">
        <is>
          <t>Medium</t>
        </is>
      </c>
      <c r="B9" s="4">
        <f>COUNTIF('Solved Problems'!$D$2:$D$278,"Medium")</f>
        <v/>
      </c>
    </row>
    <row r="10">
      <c r="A10" s="4" t="inlineStr">
        <is>
          <t>Hard</t>
        </is>
      </c>
      <c r="B10" s="4">
        <f>COUNTIF('Solved Problems'!$D$2:$D$278,"Hard")</f>
        <v/>
      </c>
    </row>
    <row r="11">
      <c r="A11" s="4" t="inlineStr">
        <is>
          <t>Solved on the first submission</t>
        </is>
      </c>
      <c r="B11" s="4">
        <f>COUNTIF('Solved Problems'!$P$2:$P$278,"Yes")</f>
        <v/>
      </c>
    </row>
    <row r="12">
      <c r="A12" s="4" t="inlineStr">
        <is>
          <t>First-try AC rate</t>
        </is>
      </c>
      <c r="B12" s="5">
        <f>B11/B5</f>
        <v/>
      </c>
    </row>
    <row r="13">
      <c r="A13" s="4" t="inlineStr">
        <is>
          <t>Patterns covered</t>
        </is>
      </c>
      <c r="B13" s="4">
        <f>COUNTIF('Pattern Summary'!$F$2:$F$36,"&gt;0")</f>
        <v/>
      </c>
      <c r="C13" s="6" t="inlineStr">
        <is>
          <t>out of 35 patterns in this workbook</t>
        </is>
      </c>
    </row>
    <row r="14">
      <c r="A14" s="3" t="inlineStr">
        <is>
          <t>Submissions</t>
        </is>
      </c>
    </row>
    <row r="15">
      <c r="A15" s="4" t="inlineStr">
        <is>
          <t>Submissions since Mar 2023 (list + other)</t>
        </is>
      </c>
      <c r="B15" s="4">
        <f>COUNTA(Submissions!$A$2:$A$1621)</f>
        <v/>
      </c>
    </row>
    <row r="16">
      <c r="A16" s="4" t="inlineStr">
        <is>
          <t xml:space="preserve">  of which on your list</t>
        </is>
      </c>
      <c r="B16" s="4">
        <f>COUNTIF(Submissions!$N$2:$N$1621,"Yes")</f>
        <v/>
      </c>
    </row>
    <row r="17">
      <c r="A17" s="4" t="inlineStr">
        <is>
          <t>Accepted</t>
        </is>
      </c>
      <c r="B17" s="4">
        <f>COUNTIF(Submissions!$G$2:$G$1621,"Accepted")</f>
        <v/>
      </c>
    </row>
    <row r="18">
      <c r="A18" s="4" t="inlineStr">
        <is>
          <t>Acceptance rate</t>
        </is>
      </c>
      <c r="B18" s="5">
        <f>B17/B15</f>
        <v/>
      </c>
    </row>
    <row r="19">
      <c r="A19" s="4" t="inlineStr">
        <is>
          <t>Wrong Answer</t>
        </is>
      </c>
      <c r="B19" s="4">
        <f>COUNTIF(Submissions!$G$2:$G$1621,"Wrong Answer")</f>
        <v/>
      </c>
    </row>
    <row r="20">
      <c r="A20" s="4" t="inlineStr">
        <is>
          <t>Time Limit Exceeded</t>
        </is>
      </c>
      <c r="B20" s="4">
        <f>COUNTIF(Submissions!$G$2:$G$1621,"Time Limit Exceeded")</f>
        <v/>
      </c>
    </row>
    <row r="21">
      <c r="A21" s="4" t="inlineStr">
        <is>
          <t>Runtime Error</t>
        </is>
      </c>
      <c r="B21" s="4">
        <f>COUNTIF(Submissions!$G$2:$G$1621,"Runtime Error")</f>
        <v/>
      </c>
    </row>
    <row r="22">
      <c r="A22" s="4" t="inlineStr">
        <is>
          <t>C++ submissions</t>
        </is>
      </c>
      <c r="B22" s="4">
        <f>COUNTIF(Submissions!$H$2:$H$1621,"C++")</f>
        <v/>
      </c>
    </row>
    <row r="23">
      <c r="A23" s="4" t="inlineStr">
        <is>
          <t>Python submissions</t>
        </is>
      </c>
      <c r="B23" s="4">
        <f>COUNTIF(Submissions!$H$2:$H$1621,"Python3")+COUNTIF(Submissions!$H$2:$H$1621,"Python")</f>
        <v/>
      </c>
    </row>
    <row r="24">
      <c r="A24" s="4" t="inlineStr">
        <is>
          <t>First submission</t>
        </is>
      </c>
      <c r="B24" s="7">
        <f>MIN(Submissions!$A$2:$A$1621)</f>
        <v/>
      </c>
    </row>
    <row r="25">
      <c r="A25" s="4" t="inlineStr">
        <is>
          <t>Latest submission</t>
        </is>
      </c>
      <c r="B25" s="7">
        <f>MAX(Submissions!$A$2:$A$1621)</f>
        <v/>
      </c>
    </row>
    <row r="26">
      <c r="A26" s="4" t="inlineStr">
        <is>
          <t>Other problems (account, not in list)</t>
        </is>
      </c>
      <c r="B26" s="4">
        <f>COUNTA('Other Problems'!$C$2:$C$119)</f>
        <v/>
      </c>
      <c r="C26" s="6" t="inlineStr">
        <is>
          <t>Solved on this account since Mar 2023 but not in your list. Mark them Y/N on that sheet.</t>
        </is>
      </c>
    </row>
    <row r="27">
      <c r="A27" s="3" t="inlineStr">
        <is>
          <t>Notes</t>
        </is>
      </c>
    </row>
    <row r="28">
      <c r="A28" s="4" t="inlineStr">
        <is>
          <t>Whose work counts</t>
        </is>
      </c>
      <c r="C28" s="6" t="inlineStr">
        <is>
          <t>Only submissions from 1 Mar 2023 onward are counted (the list is named "Mar-23 to present"). Older submissions on these problems are counted in the 'Pre-Mar-2023 subs (excluded)' column.</t>
        </is>
      </c>
    </row>
    <row r="29">
      <c r="A29" s="4" t="inlineStr">
        <is>
          <t>Submission links</t>
        </is>
      </c>
      <c r="C29" s="6" t="inlineStr">
        <is>
          <t>Submission links open only when you are signed in to the LeetCode account that made them.</t>
        </is>
      </c>
    </row>
    <row r="30">
      <c r="A30" s="4" t="inlineStr">
        <is>
          <t>Code</t>
        </is>
      </c>
      <c r="C30" s="6" t="inlineStr">
        <is>
          <t>Every attempt's code, oldest first, is in the code/ folder next to this file, one Markdown file per problem.</t>
        </is>
      </c>
    </row>
    <row r="31">
      <c r="A31" s="4" t="inlineStr">
        <is>
          <t>Patterns</t>
        </is>
      </c>
      <c r="C31" s="6" t="inlineStr">
        <is>
          <t>Pattern and sub-pattern are assigned by hand from how the problem is usually solved, not taken from LeetCode tags.</t>
        </is>
      </c>
    </row>
    <row r="32">
      <c r="A32" s="4" t="inlineStr">
        <is>
          <t>Runtime beats %</t>
        </is>
      </c>
      <c r="C32" s="6" t="inlineStr">
        <is>
          <t>LeetCode recomputes this against today's runtimes, so 2023-era submissions often show near 0%. Compare within a problem, not across years.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7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44" customWidth="1" min="3" max="3"/>
    <col width="10" customWidth="1" min="4" max="4"/>
    <col width="30" customWidth="1" min="5" max="5"/>
    <col width="30" customWidth="1" min="6" max="6"/>
    <col width="22" customWidth="1" min="7" max="7"/>
    <col width="40" customWidth="1" min="8" max="8"/>
    <col width="11" customWidth="1" min="9" max="9"/>
    <col width="17" customWidth="1" min="10" max="10"/>
    <col width="17" customWidth="1" min="11" max="11"/>
    <col width="17" customWidth="1" min="12" max="12"/>
    <col width="12" customWidth="1" min="13" max="13"/>
    <col width="10" customWidth="1" min="14" max="14"/>
    <col width="12" customWidth="1" min="15" max="15"/>
    <col width="11" customWidth="1" min="16" max="16"/>
    <col width="12" customWidth="1" min="17" max="17"/>
    <col width="10" customWidth="1" min="18" max="18"/>
    <col width="12" customWidth="1" min="19" max="19"/>
    <col width="16" customWidth="1" min="20" max="20"/>
    <col width="12" customWidth="1" min="21" max="21"/>
    <col width="18" customWidth="1" min="22" max="22"/>
    <col width="16" customWidth="1" min="23" max="23"/>
    <col width="13" customWidth="1" min="24" max="24"/>
    <col hidden="1" width="10" customWidth="1" min="25" max="25"/>
  </cols>
  <sheetData>
    <row r="1" ht="32" customHeight="1">
      <c r="A1" s="8" t="inlineStr">
        <is>
          <t>#</t>
        </is>
      </c>
      <c r="B1" s="8" t="inlineStr">
        <is>
          <t>LC #</t>
        </is>
      </c>
      <c r="C1" s="8" t="inlineStr">
        <is>
          <t>Problem</t>
        </is>
      </c>
      <c r="D1" s="8" t="inlineStr">
        <is>
          <t>Difficulty</t>
        </is>
      </c>
      <c r="E1" s="8" t="inlineStr">
        <is>
          <t>Pattern</t>
        </is>
      </c>
      <c r="F1" s="8" t="inlineStr">
        <is>
          <t>Sub-pattern</t>
        </is>
      </c>
      <c r="G1" s="8" t="inlineStr">
        <is>
          <t>Topic group</t>
        </is>
      </c>
      <c r="H1" s="8" t="inlineStr">
        <is>
          <t>LeetCode tags</t>
        </is>
      </c>
      <c r="I1" s="8" t="inlineStr">
        <is>
          <t>LC status</t>
        </is>
      </c>
      <c r="J1" s="8" t="inlineStr">
        <is>
          <t>First attempt</t>
        </is>
      </c>
      <c r="K1" s="8" t="inlineStr">
        <is>
          <t>First accepted</t>
        </is>
      </c>
      <c r="L1" s="8" t="inlineStr">
        <is>
          <t>Last submission</t>
        </is>
      </c>
      <c r="M1" s="8" t="inlineStr">
        <is>
          <t>Submissions</t>
        </is>
      </c>
      <c r="N1" s="8" t="inlineStr">
        <is>
          <t>Accepted</t>
        </is>
      </c>
      <c r="O1" s="8" t="inlineStr">
        <is>
          <t>Failed before first AC</t>
        </is>
      </c>
      <c r="P1" s="8" t="inlineStr">
        <is>
          <t>First-try AC?</t>
        </is>
      </c>
      <c r="Q1" s="8" t="inlineStr">
        <is>
          <t>Wrong Answer (before AC)</t>
        </is>
      </c>
      <c r="R1" s="8" t="inlineStr">
        <is>
          <t>TLE (before AC)</t>
        </is>
      </c>
      <c r="S1" s="8" t="inlineStr">
        <is>
          <t>Other errors (before AC)</t>
        </is>
      </c>
      <c r="T1" s="8" t="inlineStr">
        <is>
          <t>Languages</t>
        </is>
      </c>
      <c r="U1" s="8" t="inlineStr">
        <is>
          <t>Best runtime beats %</t>
        </is>
      </c>
      <c r="V1" s="8" t="inlineStr">
        <is>
          <t>Latest accepted submission</t>
        </is>
      </c>
      <c r="W1" s="8" t="inlineStr">
        <is>
          <t>Code &amp; attempts file</t>
        </is>
      </c>
      <c r="X1" s="8" t="inlineStr">
        <is>
          <t>Pre-Mar-2023 subs (excluded)</t>
        </is>
      </c>
      <c r="Y1" s="8" t="inlineStr">
        <is>
          <t>First AC month</t>
        </is>
      </c>
    </row>
    <row r="2">
      <c r="A2" s="4" t="n">
        <v>1</v>
      </c>
      <c r="B2" s="4" t="n">
        <v>1</v>
      </c>
      <c r="C2" s="9" t="inlineStr">
        <is>
          <t>Two Sum</t>
        </is>
      </c>
      <c r="D2" s="10" t="inlineStr">
        <is>
          <t>Easy</t>
        </is>
      </c>
      <c r="E2" s="4" t="inlineStr">
        <is>
          <t>Arrays, Hashing &amp; Sorting</t>
        </is>
      </c>
      <c r="F2" s="4" t="inlineStr">
        <is>
          <t>Complement map</t>
        </is>
      </c>
      <c r="G2" s="4" t="inlineStr">
        <is>
          <t>Arrays &amp; Strings</t>
        </is>
      </c>
      <c r="H2" s="4" t="inlineStr">
        <is>
          <t>array, hash-table</t>
        </is>
      </c>
      <c r="I2" s="4" t="inlineStr">
        <is>
          <t>Solved</t>
        </is>
      </c>
      <c r="J2" s="11" t="n">
        <v>44991.9116087963</v>
      </c>
      <c r="K2" s="11" t="n">
        <v>44991.9116087963</v>
      </c>
      <c r="L2" s="11" t="n">
        <v>45218.85868055555</v>
      </c>
      <c r="M2" s="4" t="n">
        <v>7</v>
      </c>
      <c r="N2" s="4" t="n">
        <v>7</v>
      </c>
      <c r="O2" s="4" t="n">
        <v>0</v>
      </c>
      <c r="P2" s="4">
        <f>IF(AND(N2&gt;0,O2=0),"Yes","No")</f>
        <v/>
      </c>
      <c r="Q2" s="4" t="n">
        <v>0</v>
      </c>
      <c r="R2" s="4" t="n">
        <v>0</v>
      </c>
      <c r="S2" s="4" t="n">
        <v>0</v>
      </c>
      <c r="T2" s="4" t="inlineStr">
        <is>
          <t>C++</t>
        </is>
      </c>
      <c r="U2" s="4" t="n">
        <v>40.6</v>
      </c>
      <c r="V2" s="9" t="inlineStr">
        <is>
          <t>Submission 1079247546</t>
        </is>
      </c>
      <c r="W2" s="9" t="inlineStr">
        <is>
          <t>Open code</t>
        </is>
      </c>
      <c r="X2" s="4" t="n">
        <v>2</v>
      </c>
      <c r="Y2" s="4" t="inlineStr">
        <is>
          <t>2023-03</t>
        </is>
      </c>
    </row>
    <row r="3">
      <c r="A3" s="4" t="n">
        <v>2</v>
      </c>
      <c r="B3" s="4" t="n">
        <v>13</v>
      </c>
      <c r="C3" s="9" t="inlineStr">
        <is>
          <t>Roman to Integer</t>
        </is>
      </c>
      <c r="D3" s="10" t="inlineStr">
        <is>
          <t>Easy</t>
        </is>
      </c>
      <c r="E3" s="4" t="inlineStr">
        <is>
          <t>Strings &amp; Simulation</t>
        </is>
      </c>
      <c r="F3" s="4" t="inlineStr">
        <is>
          <t>Parsing</t>
        </is>
      </c>
      <c r="G3" s="4" t="inlineStr">
        <is>
          <t>Arrays &amp; Strings</t>
        </is>
      </c>
      <c r="H3" s="4" t="inlineStr">
        <is>
          <t>hash-table, math, string</t>
        </is>
      </c>
      <c r="I3" s="4" t="inlineStr">
        <is>
          <t>Solved</t>
        </is>
      </c>
      <c r="J3" s="11" t="n">
        <v>44991.93890046296</v>
      </c>
      <c r="K3" s="11" t="n">
        <v>44991.93890046296</v>
      </c>
      <c r="L3" s="11" t="n">
        <v>44992.0265625</v>
      </c>
      <c r="M3" s="4" t="n">
        <v>2</v>
      </c>
      <c r="N3" s="4" t="n">
        <v>2</v>
      </c>
      <c r="O3" s="4" t="n">
        <v>0</v>
      </c>
      <c r="P3" s="4">
        <f>IF(AND(N3&gt;0,O3=0),"Yes","No")</f>
        <v/>
      </c>
      <c r="Q3" s="4" t="n">
        <v>0</v>
      </c>
      <c r="R3" s="4" t="n">
        <v>0</v>
      </c>
      <c r="S3" s="4" t="n">
        <v>0</v>
      </c>
      <c r="T3" s="4" t="inlineStr">
        <is>
          <t>C++</t>
        </is>
      </c>
      <c r="U3" s="4" t="n">
        <v>26.4</v>
      </c>
      <c r="V3" s="9" t="inlineStr">
        <is>
          <t>Submission 910366895</t>
        </is>
      </c>
      <c r="W3" s="9" t="inlineStr">
        <is>
          <t>Open code</t>
        </is>
      </c>
      <c r="X3" s="4" t="n">
        <v>0</v>
      </c>
      <c r="Y3" s="4" t="inlineStr">
        <is>
          <t>2023-03</t>
        </is>
      </c>
    </row>
    <row r="4">
      <c r="A4" s="4" t="n">
        <v>3</v>
      </c>
      <c r="B4" s="4" t="n">
        <v>14</v>
      </c>
      <c r="C4" s="9" t="inlineStr">
        <is>
          <t>Longest Common Prefix</t>
        </is>
      </c>
      <c r="D4" s="10" t="inlineStr">
        <is>
          <t>Easy</t>
        </is>
      </c>
      <c r="E4" s="4" t="inlineStr">
        <is>
          <t>Strings &amp; Simulation</t>
        </is>
      </c>
      <c r="F4" s="4" t="inlineStr">
        <is>
          <t>Column scan</t>
        </is>
      </c>
      <c r="G4" s="4" t="inlineStr">
        <is>
          <t>Arrays &amp; Strings</t>
        </is>
      </c>
      <c r="H4" s="4" t="inlineStr">
        <is>
          <t>array, string, trie</t>
        </is>
      </c>
      <c r="I4" s="4" t="inlineStr">
        <is>
          <t>Solved</t>
        </is>
      </c>
      <c r="J4" s="11" t="n">
        <v>44991.94439814815</v>
      </c>
      <c r="K4" s="11" t="n">
        <v>44991.94516203704</v>
      </c>
      <c r="L4" s="11" t="n">
        <v>44992.02667824074</v>
      </c>
      <c r="M4" s="4" t="n">
        <v>3</v>
      </c>
      <c r="N4" s="4" t="n">
        <v>2</v>
      </c>
      <c r="O4" s="4" t="n">
        <v>1</v>
      </c>
      <c r="P4" s="4">
        <f>IF(AND(N4&gt;0,O4=0),"Yes","No")</f>
        <v/>
      </c>
      <c r="Q4" s="4" t="n">
        <v>1</v>
      </c>
      <c r="R4" s="4" t="n">
        <v>0</v>
      </c>
      <c r="S4" s="4" t="n">
        <v>0</v>
      </c>
      <c r="T4" s="4" t="inlineStr">
        <is>
          <t>C++</t>
        </is>
      </c>
      <c r="U4" s="4" t="n">
        <v>100</v>
      </c>
      <c r="V4" s="9" t="inlineStr">
        <is>
          <t>Submission 910366984</t>
        </is>
      </c>
      <c r="W4" s="9" t="inlineStr">
        <is>
          <t>Open code</t>
        </is>
      </c>
      <c r="X4" s="4" t="n">
        <v>0</v>
      </c>
      <c r="Y4" s="4" t="inlineStr">
        <is>
          <t>2023-03</t>
        </is>
      </c>
    </row>
    <row r="5">
      <c r="A5" s="4" t="n">
        <v>4</v>
      </c>
      <c r="B5" s="4" t="n">
        <v>20</v>
      </c>
      <c r="C5" s="9" t="inlineStr">
        <is>
          <t>Valid Parentheses</t>
        </is>
      </c>
      <c r="D5" s="10" t="inlineStr">
        <is>
          <t>Easy</t>
        </is>
      </c>
      <c r="E5" s="4" t="inlineStr">
        <is>
          <t>Stack</t>
        </is>
      </c>
      <c r="F5" s="4" t="inlineStr">
        <is>
          <t>Bracket matching</t>
        </is>
      </c>
      <c r="G5" s="4" t="inlineStr">
        <is>
          <t>Stacks &amp; Queues</t>
        </is>
      </c>
      <c r="H5" s="4" t="inlineStr">
        <is>
          <t>string, stack, bracket-sequences</t>
        </is>
      </c>
      <c r="I5" s="4" t="inlineStr">
        <is>
          <t>Solved</t>
        </is>
      </c>
      <c r="J5" s="11" t="n">
        <v>44991.95396990741</v>
      </c>
      <c r="K5" s="11" t="n">
        <v>44991.95756944444</v>
      </c>
      <c r="L5" s="11" t="n">
        <v>45318.95361111111</v>
      </c>
      <c r="M5" s="4" t="n">
        <v>5</v>
      </c>
      <c r="N5" s="4" t="n">
        <v>3</v>
      </c>
      <c r="O5" s="4" t="n">
        <v>2</v>
      </c>
      <c r="P5" s="4">
        <f>IF(AND(N5&gt;0,O5=0),"Yes","No")</f>
        <v/>
      </c>
      <c r="Q5" s="4" t="n">
        <v>1</v>
      </c>
      <c r="R5" s="4" t="n">
        <v>0</v>
      </c>
      <c r="S5" s="4" t="n">
        <v>1</v>
      </c>
      <c r="T5" s="4" t="inlineStr">
        <is>
          <t>C++, Python3</t>
        </is>
      </c>
      <c r="U5" s="4" t="n">
        <v>3.7</v>
      </c>
      <c r="V5" s="9" t="inlineStr">
        <is>
          <t>Submission 1158444134</t>
        </is>
      </c>
      <c r="W5" s="9" t="inlineStr">
        <is>
          <t>Open code</t>
        </is>
      </c>
      <c r="X5" s="4" t="n">
        <v>3</v>
      </c>
      <c r="Y5" s="4" t="inlineStr">
        <is>
          <t>2023-03</t>
        </is>
      </c>
    </row>
    <row r="6">
      <c r="A6" s="4" t="n">
        <v>5</v>
      </c>
      <c r="B6" s="4" t="n">
        <v>359</v>
      </c>
      <c r="C6" s="9" t="inlineStr">
        <is>
          <t>Logger Rate Limiter</t>
        </is>
      </c>
      <c r="D6" s="10" t="inlineStr">
        <is>
          <t>Easy</t>
        </is>
      </c>
      <c r="E6" s="4" t="inlineStr">
        <is>
          <t>Design</t>
        </is>
      </c>
      <c r="F6" s="4" t="inlineStr">
        <is>
          <t>Map of last timestamps</t>
        </is>
      </c>
      <c r="G6" s="4" t="inlineStr">
        <is>
          <t>Design</t>
        </is>
      </c>
      <c r="H6" s="4" t="inlineStr">
        <is>
          <t>hash-table, design, data-stream</t>
        </is>
      </c>
      <c r="I6" s="4" t="inlineStr">
        <is>
          <t>Solved</t>
        </is>
      </c>
      <c r="J6" s="11" t="n">
        <v>44991.99043981481</v>
      </c>
      <c r="K6" s="11" t="n">
        <v>44991.99043981481</v>
      </c>
      <c r="L6" s="11" t="n">
        <v>45042.68</v>
      </c>
      <c r="M6" s="4" t="n">
        <v>5</v>
      </c>
      <c r="N6" s="4" t="n">
        <v>5</v>
      </c>
      <c r="O6" s="4" t="n">
        <v>0</v>
      </c>
      <c r="P6" s="4">
        <f>IF(AND(N6&gt;0,O6=0),"Yes","No")</f>
        <v/>
      </c>
      <c r="Q6" s="4" t="n">
        <v>0</v>
      </c>
      <c r="R6" s="4" t="n">
        <v>0</v>
      </c>
      <c r="S6" s="4" t="n">
        <v>0</v>
      </c>
      <c r="T6" s="4" t="inlineStr">
        <is>
          <t>C++</t>
        </is>
      </c>
      <c r="U6" s="4" t="n">
        <v>5.2</v>
      </c>
      <c r="V6" s="9" t="inlineStr">
        <is>
          <t>Submission 940009478</t>
        </is>
      </c>
      <c r="W6" s="9" t="inlineStr">
        <is>
          <t>Open code</t>
        </is>
      </c>
      <c r="X6" s="4" t="n">
        <v>0</v>
      </c>
      <c r="Y6" s="4" t="inlineStr">
        <is>
          <t>2023-03</t>
        </is>
      </c>
    </row>
    <row r="7">
      <c r="A7" s="4" t="n">
        <v>6</v>
      </c>
      <c r="B7" s="4" t="n">
        <v>704</v>
      </c>
      <c r="C7" s="9" t="inlineStr">
        <is>
          <t>Binary Search</t>
        </is>
      </c>
      <c r="D7" s="10" t="inlineStr">
        <is>
          <t>Easy</t>
        </is>
      </c>
      <c r="E7" s="4" t="inlineStr">
        <is>
          <t>Binary Search</t>
        </is>
      </c>
      <c r="F7" s="4" t="inlineStr">
        <is>
          <t>Classic search</t>
        </is>
      </c>
      <c r="G7" s="4" t="inlineStr">
        <is>
          <t>Searching</t>
        </is>
      </c>
      <c r="H7" s="4" t="inlineStr">
        <is>
          <t>array, binary-search</t>
        </is>
      </c>
      <c r="I7" s="4" t="inlineStr">
        <is>
          <t>Solved</t>
        </is>
      </c>
      <c r="J7" s="11" t="n">
        <v>44992.00366898148</v>
      </c>
      <c r="K7" s="11" t="n">
        <v>44992.00366898148</v>
      </c>
      <c r="L7" s="11" t="n">
        <v>45243.97445601852</v>
      </c>
      <c r="M7" s="4" t="n">
        <v>7</v>
      </c>
      <c r="N7" s="4" t="n">
        <v>5</v>
      </c>
      <c r="O7" s="4" t="n">
        <v>0</v>
      </c>
      <c r="P7" s="4">
        <f>IF(AND(N7&gt;0,O7=0),"Yes","No")</f>
        <v/>
      </c>
      <c r="Q7" s="4" t="n">
        <v>0</v>
      </c>
      <c r="R7" s="4" t="n">
        <v>0</v>
      </c>
      <c r="S7" s="4" t="n">
        <v>0</v>
      </c>
      <c r="T7" s="4" t="inlineStr">
        <is>
          <t>C++, Python3</t>
        </is>
      </c>
      <c r="U7" s="4" t="n">
        <v>0.2</v>
      </c>
      <c r="V7" s="9" t="inlineStr">
        <is>
          <t>Submission 1098074392</t>
        </is>
      </c>
      <c r="W7" s="9" t="inlineStr">
        <is>
          <t>Open code</t>
        </is>
      </c>
      <c r="X7" s="4" t="n">
        <v>3</v>
      </c>
      <c r="Y7" s="4" t="inlineStr">
        <is>
          <t>2023-03</t>
        </is>
      </c>
    </row>
    <row r="8">
      <c r="A8" s="4" t="n">
        <v>7</v>
      </c>
      <c r="B8" s="4" t="n">
        <v>938</v>
      </c>
      <c r="C8" s="9" t="inlineStr">
        <is>
          <t>Range Sum of BST</t>
        </is>
      </c>
      <c r="D8" s="10" t="inlineStr">
        <is>
          <t>Easy</t>
        </is>
      </c>
      <c r="E8" s="4" t="inlineStr">
        <is>
          <t>Binary Search Tree</t>
        </is>
      </c>
      <c r="F8" s="4" t="inlineStr">
        <is>
          <t>Range-pruned DFS</t>
        </is>
      </c>
      <c r="G8" s="4" t="inlineStr">
        <is>
          <t>Trees</t>
        </is>
      </c>
      <c r="H8" s="4" t="inlineStr">
        <is>
          <t>tree, depth-first-search, binary-search-tree, binary-tree</t>
        </is>
      </c>
      <c r="I8" s="4" t="inlineStr">
        <is>
          <t>Solved</t>
        </is>
      </c>
      <c r="J8" s="11" t="n">
        <v>44992.025625</v>
      </c>
      <c r="K8" s="11" t="n">
        <v>44992.025625</v>
      </c>
      <c r="L8" s="11" t="n">
        <v>45854.50297453703</v>
      </c>
      <c r="M8" s="4" t="n">
        <v>13</v>
      </c>
      <c r="N8" s="4" t="n">
        <v>13</v>
      </c>
      <c r="O8" s="4" t="n">
        <v>0</v>
      </c>
      <c r="P8" s="4">
        <f>IF(AND(N8&gt;0,O8=0),"Yes","No")</f>
        <v/>
      </c>
      <c r="Q8" s="4" t="n">
        <v>0</v>
      </c>
      <c r="R8" s="4" t="n">
        <v>0</v>
      </c>
      <c r="S8" s="4" t="n">
        <v>0</v>
      </c>
      <c r="T8" s="4" t="inlineStr">
        <is>
          <t>C++, Python3</t>
        </is>
      </c>
      <c r="U8" s="4" t="n">
        <v>100</v>
      </c>
      <c r="V8" s="9" t="inlineStr">
        <is>
          <t>Submission 1699707053</t>
        </is>
      </c>
      <c r="W8" s="9" t="inlineStr">
        <is>
          <t>Open code</t>
        </is>
      </c>
      <c r="X8" s="4" t="n">
        <v>0</v>
      </c>
      <c r="Y8" s="4" t="inlineStr">
        <is>
          <t>2023-03</t>
        </is>
      </c>
    </row>
    <row r="9">
      <c r="A9" s="4" t="n">
        <v>8</v>
      </c>
      <c r="B9" s="4" t="n">
        <v>56</v>
      </c>
      <c r="C9" s="9" t="inlineStr">
        <is>
          <t>Merge Intervals</t>
        </is>
      </c>
      <c r="D9" s="12" t="inlineStr">
        <is>
          <t>Medium</t>
        </is>
      </c>
      <c r="E9" s="4" t="inlineStr">
        <is>
          <t>Intervals &amp; Sweep Line</t>
        </is>
      </c>
      <c r="F9" s="4" t="inlineStr">
        <is>
          <t>Sort and merge</t>
        </is>
      </c>
      <c r="G9" s="4" t="inlineStr">
        <is>
          <t>Heaps &amp; Intervals</t>
        </is>
      </c>
      <c r="H9" s="4" t="inlineStr">
        <is>
          <t>array, sorting, quicksort</t>
        </is>
      </c>
      <c r="I9" s="4" t="inlineStr">
        <is>
          <t>Solved</t>
        </is>
      </c>
      <c r="J9" s="11" t="n">
        <v>44992.0705787037</v>
      </c>
      <c r="K9" s="11" t="n">
        <v>44992.0705787037</v>
      </c>
      <c r="L9" s="11" t="n">
        <v>45845.96271990741</v>
      </c>
      <c r="M9" s="4" t="n">
        <v>16</v>
      </c>
      <c r="N9" s="4" t="n">
        <v>12</v>
      </c>
      <c r="O9" s="4" t="n">
        <v>0</v>
      </c>
      <c r="P9" s="4">
        <f>IF(AND(N9&gt;0,O9=0),"Yes","No")</f>
        <v/>
      </c>
      <c r="Q9" s="4" t="n">
        <v>0</v>
      </c>
      <c r="R9" s="4" t="n">
        <v>0</v>
      </c>
      <c r="S9" s="4" t="n">
        <v>0</v>
      </c>
      <c r="T9" s="4" t="inlineStr">
        <is>
          <t>C++, Python, Python3</t>
        </is>
      </c>
      <c r="U9" s="4" t="n">
        <v>90.8</v>
      </c>
      <c r="V9" s="9" t="inlineStr">
        <is>
          <t>Submission 1689875947</t>
        </is>
      </c>
      <c r="W9" s="9" t="inlineStr">
        <is>
          <t>Open code</t>
        </is>
      </c>
      <c r="X9" s="4" t="n">
        <v>2</v>
      </c>
      <c r="Y9" s="4" t="inlineStr">
        <is>
          <t>2023-03</t>
        </is>
      </c>
    </row>
    <row r="10">
      <c r="A10" s="4" t="n">
        <v>9</v>
      </c>
      <c r="B10" s="4" t="n">
        <v>70</v>
      </c>
      <c r="C10" s="9" t="inlineStr">
        <is>
          <t>Climbing Stairs</t>
        </is>
      </c>
      <c r="D10" s="10" t="inlineStr">
        <is>
          <t>Easy</t>
        </is>
      </c>
      <c r="E10" s="4" t="inlineStr">
        <is>
          <t>DP: 1D / Linear</t>
        </is>
      </c>
      <c r="F10" s="4" t="inlineStr">
        <is>
          <t>Fibonacci</t>
        </is>
      </c>
      <c r="G10" s="4" t="inlineStr">
        <is>
          <t>Dynamic Programming</t>
        </is>
      </c>
      <c r="H10" s="4" t="inlineStr">
        <is>
          <t>math, dynamic-programming, memoization</t>
        </is>
      </c>
      <c r="I10" s="4" t="inlineStr">
        <is>
          <t>Solved</t>
        </is>
      </c>
      <c r="J10" s="11" t="n">
        <v>44996.41097222222</v>
      </c>
      <c r="K10" s="11" t="n">
        <v>44996.41142361111</v>
      </c>
      <c r="L10" s="11" t="n">
        <v>44996.41142361111</v>
      </c>
      <c r="M10" s="4" t="n">
        <v>2</v>
      </c>
      <c r="N10" s="4" t="n">
        <v>1</v>
      </c>
      <c r="O10" s="4" t="n">
        <v>1</v>
      </c>
      <c r="P10" s="4">
        <f>IF(AND(N10&gt;0,O10=0),"Yes","No")</f>
        <v/>
      </c>
      <c r="Q10" s="4" t="n">
        <v>1</v>
      </c>
      <c r="R10" s="4" t="n">
        <v>0</v>
      </c>
      <c r="S10" s="4" t="n">
        <v>0</v>
      </c>
      <c r="T10" s="4" t="inlineStr">
        <is>
          <t>C++</t>
        </is>
      </c>
      <c r="U10" s="4" t="n">
        <v>100</v>
      </c>
      <c r="V10" s="9" t="inlineStr">
        <is>
          <t>Submission 913014080</t>
        </is>
      </c>
      <c r="W10" s="9" t="inlineStr">
        <is>
          <t>Open code</t>
        </is>
      </c>
      <c r="X10" s="4" t="n">
        <v>2</v>
      </c>
      <c r="Y10" s="4" t="inlineStr">
        <is>
          <t>2023-03</t>
        </is>
      </c>
    </row>
    <row r="11">
      <c r="A11" s="4" t="n">
        <v>10</v>
      </c>
      <c r="B11" s="4" t="n">
        <v>1377</v>
      </c>
      <c r="C11" s="9" t="inlineStr">
        <is>
          <t>Frog Position After T Seconds</t>
        </is>
      </c>
      <c r="D11" s="13" t="inlineStr">
        <is>
          <t>Hard</t>
        </is>
      </c>
      <c r="E11" s="4" t="inlineStr">
        <is>
          <t>Graph: General BFS/DFS</t>
        </is>
      </c>
      <c r="F11" s="4" t="inlineStr">
        <is>
          <t>BFS with probability</t>
        </is>
      </c>
      <c r="G11" s="4" t="inlineStr">
        <is>
          <t>Graphs</t>
        </is>
      </c>
      <c r="H11" s="4" t="inlineStr">
        <is>
          <t>tree, depth-first-search, breadth-first-search, graph</t>
        </is>
      </c>
      <c r="I11" s="4" t="inlineStr">
        <is>
          <t>Solved</t>
        </is>
      </c>
      <c r="J11" s="11" t="n">
        <v>44996.60071759259</v>
      </c>
      <c r="K11" s="11" t="n">
        <v>44996.60071759259</v>
      </c>
      <c r="L11" s="11" t="n">
        <v>44996.64197916666</v>
      </c>
      <c r="M11" s="4" t="n">
        <v>2</v>
      </c>
      <c r="N11" s="4" t="n">
        <v>2</v>
      </c>
      <c r="O11" s="4" t="n">
        <v>0</v>
      </c>
      <c r="P11" s="4">
        <f>IF(AND(N11&gt;0,O11=0),"Yes","No")</f>
        <v/>
      </c>
      <c r="Q11" s="4" t="n">
        <v>0</v>
      </c>
      <c r="R11" s="4" t="n">
        <v>0</v>
      </c>
      <c r="S11" s="4" t="n">
        <v>0</v>
      </c>
      <c r="T11" s="4" t="inlineStr">
        <is>
          <t>C++</t>
        </is>
      </c>
      <c r="U11" s="4" t="n">
        <v>11</v>
      </c>
      <c r="V11" s="9" t="inlineStr">
        <is>
          <t>Submission 913148665</t>
        </is>
      </c>
      <c r="W11" s="9" t="inlineStr">
        <is>
          <t>Open code</t>
        </is>
      </c>
      <c r="X11" s="4" t="n">
        <v>0</v>
      </c>
      <c r="Y11" s="4" t="inlineStr">
        <is>
          <t>2023-03</t>
        </is>
      </c>
    </row>
    <row r="12">
      <c r="A12" s="4" t="n">
        <v>11</v>
      </c>
      <c r="B12" s="4" t="n">
        <v>213</v>
      </c>
      <c r="C12" s="9" t="inlineStr">
        <is>
          <t>House Robber II</t>
        </is>
      </c>
      <c r="D12" s="12" t="inlineStr">
        <is>
          <t>Medium</t>
        </is>
      </c>
      <c r="E12" s="4" t="inlineStr">
        <is>
          <t>DP: 1D / Linear</t>
        </is>
      </c>
      <c r="F12" s="4" t="inlineStr">
        <is>
          <t>Take/skip, circular</t>
        </is>
      </c>
      <c r="G12" s="4" t="inlineStr">
        <is>
          <t>Dynamic Programming</t>
        </is>
      </c>
      <c r="H12" s="4" t="inlineStr">
        <is>
          <t>array, dynamic-programming</t>
        </is>
      </c>
      <c r="I12" s="4" t="inlineStr">
        <is>
          <t>Solved</t>
        </is>
      </c>
      <c r="J12" s="11" t="n">
        <v>44996.71001157408</v>
      </c>
      <c r="K12" s="11" t="n">
        <v>44996.71212962963</v>
      </c>
      <c r="L12" s="11" t="n">
        <v>44996.71212962963</v>
      </c>
      <c r="M12" s="4" t="n">
        <v>3</v>
      </c>
      <c r="N12" s="4" t="n">
        <v>1</v>
      </c>
      <c r="O12" s="4" t="n">
        <v>2</v>
      </c>
      <c r="P12" s="4">
        <f>IF(AND(N12&gt;0,O12=0),"Yes","No")</f>
        <v/>
      </c>
      <c r="Q12" s="4" t="n">
        <v>2</v>
      </c>
      <c r="R12" s="4" t="n">
        <v>0</v>
      </c>
      <c r="S12" s="4" t="n">
        <v>0</v>
      </c>
      <c r="T12" s="4" t="inlineStr">
        <is>
          <t>C++</t>
        </is>
      </c>
      <c r="U12" s="4" t="n">
        <v>6.5</v>
      </c>
      <c r="V12" s="9" t="inlineStr">
        <is>
          <t>Submission 913185817</t>
        </is>
      </c>
      <c r="W12" s="9" t="inlineStr">
        <is>
          <t>Open code</t>
        </is>
      </c>
      <c r="X12" s="4" t="n">
        <v>0</v>
      </c>
      <c r="Y12" s="4" t="inlineStr">
        <is>
          <t>2023-03</t>
        </is>
      </c>
    </row>
    <row r="13">
      <c r="A13" s="4" t="n">
        <v>12</v>
      </c>
      <c r="B13" s="4" t="n">
        <v>64</v>
      </c>
      <c r="C13" s="9" t="inlineStr">
        <is>
          <t>Minimum Path Sum</t>
        </is>
      </c>
      <c r="D13" s="12" t="inlineStr">
        <is>
          <t>Medium</t>
        </is>
      </c>
      <c r="E13" s="4" t="inlineStr">
        <is>
          <t>DP: Grid / 2D</t>
        </is>
      </c>
      <c r="F13" s="4" t="inlineStr">
        <is>
          <t>Min-cost path</t>
        </is>
      </c>
      <c r="G13" s="4" t="inlineStr">
        <is>
          <t>Dynamic Programming</t>
        </is>
      </c>
      <c r="H13" s="4" t="inlineStr">
        <is>
          <t>array, dynamic-programming, matrix</t>
        </is>
      </c>
      <c r="I13" s="4" t="inlineStr">
        <is>
          <t>Solved</t>
        </is>
      </c>
      <c r="J13" s="11" t="n">
        <v>44997.46768518518</v>
      </c>
      <c r="K13" s="11" t="n">
        <v>44997.47017361111</v>
      </c>
      <c r="L13" s="11" t="n">
        <v>44997.47017361111</v>
      </c>
      <c r="M13" s="4" t="n">
        <v>2</v>
      </c>
      <c r="N13" s="4" t="n">
        <v>1</v>
      </c>
      <c r="O13" s="4" t="n">
        <v>1</v>
      </c>
      <c r="P13" s="4">
        <f>IF(AND(N13&gt;0,O13=0),"Yes","No")</f>
        <v/>
      </c>
      <c r="Q13" s="4" t="n">
        <v>1</v>
      </c>
      <c r="R13" s="4" t="n">
        <v>0</v>
      </c>
      <c r="S13" s="4" t="n">
        <v>0</v>
      </c>
      <c r="T13" s="4" t="inlineStr">
        <is>
          <t>C++</t>
        </is>
      </c>
      <c r="U13" s="4" t="n">
        <v>5.9</v>
      </c>
      <c r="V13" s="9" t="inlineStr">
        <is>
          <t>Submission 913635348</t>
        </is>
      </c>
      <c r="W13" s="9" t="inlineStr">
        <is>
          <t>Open code</t>
        </is>
      </c>
      <c r="X13" s="4" t="n">
        <v>1</v>
      </c>
      <c r="Y13" s="4" t="inlineStr">
        <is>
          <t>2023-03</t>
        </is>
      </c>
    </row>
    <row r="14">
      <c r="A14" s="4" t="n">
        <v>13</v>
      </c>
      <c r="B14" s="4" t="n">
        <v>741</v>
      </c>
      <c r="C14" s="9" t="inlineStr">
        <is>
          <t>Cherry Pickup</t>
        </is>
      </c>
      <c r="D14" s="13" t="inlineStr">
        <is>
          <t>Hard</t>
        </is>
      </c>
      <c r="E14" s="4" t="inlineStr">
        <is>
          <t>DP: Grid / 2D</t>
        </is>
      </c>
      <c r="F14" s="4" t="inlineStr">
        <is>
          <t>Two walkers (3D state)</t>
        </is>
      </c>
      <c r="G14" s="4" t="inlineStr">
        <is>
          <t>Dynamic Programming</t>
        </is>
      </c>
      <c r="H14" s="4" t="inlineStr">
        <is>
          <t>array, dynamic-programming, matrix</t>
        </is>
      </c>
      <c r="I14" s="4" t="inlineStr">
        <is>
          <t>Solved</t>
        </is>
      </c>
      <c r="J14" s="11" t="n">
        <v>44997.49578703703</v>
      </c>
      <c r="K14" s="11" t="n">
        <v>44997.60451388889</v>
      </c>
      <c r="L14" s="11" t="n">
        <v>45048.35333333333</v>
      </c>
      <c r="M14" s="4" t="n">
        <v>13</v>
      </c>
      <c r="N14" s="4" t="n">
        <v>4</v>
      </c>
      <c r="O14" s="4" t="n">
        <v>2</v>
      </c>
      <c r="P14" s="4">
        <f>IF(AND(N14&gt;0,O14=0),"Yes","No")</f>
        <v/>
      </c>
      <c r="Q14" s="4" t="n">
        <v>2</v>
      </c>
      <c r="R14" s="4" t="n">
        <v>0</v>
      </c>
      <c r="S14" s="4" t="n">
        <v>0</v>
      </c>
      <c r="T14" s="4" t="inlineStr">
        <is>
          <t>C++, Java</t>
        </is>
      </c>
      <c r="U14" s="4" t="n">
        <v>23</v>
      </c>
      <c r="V14" s="9" t="inlineStr">
        <is>
          <t>Submission 942963304</t>
        </is>
      </c>
      <c r="W14" s="9" t="inlineStr">
        <is>
          <t>Open code</t>
        </is>
      </c>
      <c r="X14" s="4" t="n">
        <v>0</v>
      </c>
      <c r="Y14" s="4" t="inlineStr">
        <is>
          <t>2023-03</t>
        </is>
      </c>
    </row>
    <row r="15">
      <c r="A15" s="4" t="n">
        <v>14</v>
      </c>
      <c r="B15" s="4" t="n">
        <v>1463</v>
      </c>
      <c r="C15" s="9" t="inlineStr">
        <is>
          <t>Cherry Pickup II</t>
        </is>
      </c>
      <c r="D15" s="13" t="inlineStr">
        <is>
          <t>Hard</t>
        </is>
      </c>
      <c r="E15" s="4" t="inlineStr">
        <is>
          <t>DP: Grid / 2D</t>
        </is>
      </c>
      <c r="F15" s="4" t="inlineStr">
        <is>
          <t>Two robots (3D state)</t>
        </is>
      </c>
      <c r="G15" s="4" t="inlineStr">
        <is>
          <t>Dynamic Programming</t>
        </is>
      </c>
      <c r="H15" s="4" t="inlineStr">
        <is>
          <t>array, dynamic-programming, matrix</t>
        </is>
      </c>
      <c r="I15" s="4" t="inlineStr">
        <is>
          <t>Solved</t>
        </is>
      </c>
      <c r="J15" s="11" t="n">
        <v>44997.65571759259</v>
      </c>
      <c r="K15" s="11" t="n">
        <v>44997.65571759259</v>
      </c>
      <c r="L15" s="11" t="n">
        <v>45048.32835648148</v>
      </c>
      <c r="M15" s="4" t="n">
        <v>7</v>
      </c>
      <c r="N15" s="4" t="n">
        <v>6</v>
      </c>
      <c r="O15" s="4" t="n">
        <v>0</v>
      </c>
      <c r="P15" s="4">
        <f>IF(AND(N15&gt;0,O15=0),"Yes","No")</f>
        <v/>
      </c>
      <c r="Q15" s="4" t="n">
        <v>0</v>
      </c>
      <c r="R15" s="4" t="n">
        <v>0</v>
      </c>
      <c r="S15" s="4" t="n">
        <v>0</v>
      </c>
      <c r="T15" s="4" t="inlineStr">
        <is>
          <t>C++</t>
        </is>
      </c>
      <c r="U15" s="4" t="n">
        <v>5</v>
      </c>
      <c r="V15" s="9" t="inlineStr">
        <is>
          <t>Submission 942950556</t>
        </is>
      </c>
      <c r="W15" s="9" t="inlineStr">
        <is>
          <t>Open code</t>
        </is>
      </c>
      <c r="X15" s="4" t="n">
        <v>0</v>
      </c>
      <c r="Y15" s="4" t="inlineStr">
        <is>
          <t>2023-03</t>
        </is>
      </c>
    </row>
    <row r="16">
      <c r="A16" s="4" t="n">
        <v>15</v>
      </c>
      <c r="B16" s="4" t="n">
        <v>62</v>
      </c>
      <c r="C16" s="9" t="inlineStr">
        <is>
          <t>Unique Paths</t>
        </is>
      </c>
      <c r="D16" s="12" t="inlineStr">
        <is>
          <t>Medium</t>
        </is>
      </c>
      <c r="E16" s="4" t="inlineStr">
        <is>
          <t>DP: Grid / 2D</t>
        </is>
      </c>
      <c r="F16" s="4" t="inlineStr">
        <is>
          <t>Count paths</t>
        </is>
      </c>
      <c r="G16" s="4" t="inlineStr">
        <is>
          <t>Dynamic Programming</t>
        </is>
      </c>
      <c r="H16" s="4" t="inlineStr">
        <is>
          <t>math, dynamic-programming, combinatorics</t>
        </is>
      </c>
      <c r="I16" s="4" t="inlineStr">
        <is>
          <t>Solved</t>
        </is>
      </c>
      <c r="J16" s="11" t="n">
        <v>44997.71510416667</v>
      </c>
      <c r="K16" s="11" t="n">
        <v>44997.71510416667</v>
      </c>
      <c r="L16" s="11" t="n">
        <v>44997.71510416667</v>
      </c>
      <c r="M16" s="4" t="n">
        <v>1</v>
      </c>
      <c r="N16" s="4" t="n">
        <v>1</v>
      </c>
      <c r="O16" s="4" t="n">
        <v>0</v>
      </c>
      <c r="P16" s="4">
        <f>IF(AND(N16&gt;0,O16=0),"Yes","No")</f>
        <v/>
      </c>
      <c r="Q16" s="4" t="n">
        <v>0</v>
      </c>
      <c r="R16" s="4" t="n">
        <v>0</v>
      </c>
      <c r="S16" s="4" t="n">
        <v>0</v>
      </c>
      <c r="T16" s="4" t="inlineStr">
        <is>
          <t>C++</t>
        </is>
      </c>
      <c r="U16" s="4" t="n">
        <v>100</v>
      </c>
      <c r="V16" s="9" t="inlineStr">
        <is>
          <t>Submission 913779888</t>
        </is>
      </c>
      <c r="W16" s="9" t="inlineStr">
        <is>
          <t>Open code</t>
        </is>
      </c>
      <c r="X16" s="4" t="n">
        <v>2</v>
      </c>
      <c r="Y16" s="4" t="inlineStr">
        <is>
          <t>2023-03</t>
        </is>
      </c>
    </row>
    <row r="17">
      <c r="A17" s="4" t="n">
        <v>16</v>
      </c>
      <c r="B17" s="4" t="n">
        <v>63</v>
      </c>
      <c r="C17" s="9" t="inlineStr">
        <is>
          <t>Unique Paths II</t>
        </is>
      </c>
      <c r="D17" s="12" t="inlineStr">
        <is>
          <t>Medium</t>
        </is>
      </c>
      <c r="E17" s="4" t="inlineStr">
        <is>
          <t>DP: Grid / 2D</t>
        </is>
      </c>
      <c r="F17" s="4" t="inlineStr">
        <is>
          <t>Count paths with obstacles</t>
        </is>
      </c>
      <c r="G17" s="4" t="inlineStr">
        <is>
          <t>Dynamic Programming</t>
        </is>
      </c>
      <c r="H17" s="4" t="inlineStr">
        <is>
          <t>array, dynamic-programming, matrix</t>
        </is>
      </c>
      <c r="I17" s="4" t="inlineStr">
        <is>
          <t>Solved</t>
        </is>
      </c>
      <c r="J17" s="11" t="n">
        <v>44997.72631944445</v>
      </c>
      <c r="K17" s="11" t="n">
        <v>44997.72760416667</v>
      </c>
      <c r="L17" s="11" t="n">
        <v>44997.72760416667</v>
      </c>
      <c r="M17" s="4" t="n">
        <v>2</v>
      </c>
      <c r="N17" s="4" t="n">
        <v>1</v>
      </c>
      <c r="O17" s="4" t="n">
        <v>1</v>
      </c>
      <c r="P17" s="4">
        <f>IF(AND(N17&gt;0,O17=0),"Yes","No")</f>
        <v/>
      </c>
      <c r="Q17" s="4" t="n">
        <v>1</v>
      </c>
      <c r="R17" s="4" t="n">
        <v>0</v>
      </c>
      <c r="S17" s="4" t="n">
        <v>0</v>
      </c>
      <c r="T17" s="4" t="inlineStr">
        <is>
          <t>C++</t>
        </is>
      </c>
      <c r="U17" s="4" t="n">
        <v>100</v>
      </c>
      <c r="V17" s="9" t="inlineStr">
        <is>
          <t>Submission 913786813</t>
        </is>
      </c>
      <c r="W17" s="9" t="inlineStr">
        <is>
          <t>Open code</t>
        </is>
      </c>
      <c r="X17" s="4" t="n">
        <v>2</v>
      </c>
      <c r="Y17" s="4" t="inlineStr">
        <is>
          <t>2023-03</t>
        </is>
      </c>
    </row>
    <row r="18">
      <c r="A18" s="4" t="n">
        <v>17</v>
      </c>
      <c r="B18" s="4" t="n">
        <v>120</v>
      </c>
      <c r="C18" s="9" t="inlineStr">
        <is>
          <t>Triangle</t>
        </is>
      </c>
      <c r="D18" s="12" t="inlineStr">
        <is>
          <t>Medium</t>
        </is>
      </c>
      <c r="E18" s="4" t="inlineStr">
        <is>
          <t>DP: Grid / 2D</t>
        </is>
      </c>
      <c r="F18" s="4" t="inlineStr">
        <is>
          <t>Triangle min path</t>
        </is>
      </c>
      <c r="G18" s="4" t="inlineStr">
        <is>
          <t>Dynamic Programming</t>
        </is>
      </c>
      <c r="H18" s="4" t="inlineStr">
        <is>
          <t>array, dynamic-programming</t>
        </is>
      </c>
      <c r="I18" s="4" t="inlineStr">
        <is>
          <t>Solved</t>
        </is>
      </c>
      <c r="J18" s="11" t="n">
        <v>44997.75106481482</v>
      </c>
      <c r="K18" s="11" t="n">
        <v>44997.75106481482</v>
      </c>
      <c r="L18" s="11" t="n">
        <v>45018.42188657408</v>
      </c>
      <c r="M18" s="4" t="n">
        <v>2</v>
      </c>
      <c r="N18" s="4" t="n">
        <v>2</v>
      </c>
      <c r="O18" s="4" t="n">
        <v>0</v>
      </c>
      <c r="P18" s="4">
        <f>IF(AND(N18&gt;0,O18=0),"Yes","No")</f>
        <v/>
      </c>
      <c r="Q18" s="4" t="n">
        <v>0</v>
      </c>
      <c r="R18" s="4" t="n">
        <v>0</v>
      </c>
      <c r="S18" s="4" t="n">
        <v>0</v>
      </c>
      <c r="T18" s="4" t="inlineStr">
        <is>
          <t>C++</t>
        </is>
      </c>
      <c r="U18" s="4" t="n">
        <v>100</v>
      </c>
      <c r="V18" s="9" t="inlineStr">
        <is>
          <t>Submission 926374798</t>
        </is>
      </c>
      <c r="W18" s="9" t="inlineStr">
        <is>
          <t>Open code</t>
        </is>
      </c>
      <c r="X18" s="4" t="n">
        <v>3</v>
      </c>
      <c r="Y18" s="4" t="inlineStr">
        <is>
          <t>2023-03</t>
        </is>
      </c>
    </row>
    <row r="19">
      <c r="A19" s="4" t="n">
        <v>18</v>
      </c>
      <c r="B19" s="4" t="n">
        <v>931</v>
      </c>
      <c r="C19" s="9" t="inlineStr">
        <is>
          <t>Minimum Falling Path Sum</t>
        </is>
      </c>
      <c r="D19" s="12" t="inlineStr">
        <is>
          <t>Medium</t>
        </is>
      </c>
      <c r="E19" s="4" t="inlineStr">
        <is>
          <t>DP: Grid / 2D</t>
        </is>
      </c>
      <c r="F19" s="4" t="inlineStr">
        <is>
          <t>Falling path</t>
        </is>
      </c>
      <c r="G19" s="4" t="inlineStr">
        <is>
          <t>Dynamic Programming</t>
        </is>
      </c>
      <c r="H19" s="4" t="inlineStr">
        <is>
          <t>array, dynamic-programming, matrix</t>
        </is>
      </c>
      <c r="I19" s="4" t="inlineStr">
        <is>
          <t>Solved</t>
        </is>
      </c>
      <c r="J19" s="11" t="n">
        <v>44997.76344907407</v>
      </c>
      <c r="K19" s="11" t="n">
        <v>44997.76344907407</v>
      </c>
      <c r="L19" s="11" t="n">
        <v>44997.76344907407</v>
      </c>
      <c r="M19" s="4" t="n">
        <v>1</v>
      </c>
      <c r="N19" s="4" t="n">
        <v>1</v>
      </c>
      <c r="O19" s="4" t="n">
        <v>0</v>
      </c>
      <c r="P19" s="4">
        <f>IF(AND(N19&gt;0,O19=0),"Yes","No")</f>
        <v/>
      </c>
      <c r="Q19" s="4" t="n">
        <v>0</v>
      </c>
      <c r="R19" s="4" t="n">
        <v>0</v>
      </c>
      <c r="S19" s="4" t="n">
        <v>0</v>
      </c>
      <c r="T19" s="4" t="inlineStr">
        <is>
          <t>C++</t>
        </is>
      </c>
      <c r="U19" s="4" t="n">
        <v>5.2</v>
      </c>
      <c r="V19" s="9" t="inlineStr">
        <is>
          <t>Submission 913806269</t>
        </is>
      </c>
      <c r="W19" s="9" t="inlineStr">
        <is>
          <t>Open code</t>
        </is>
      </c>
      <c r="X19" s="4" t="n">
        <v>1</v>
      </c>
      <c r="Y19" s="4" t="inlineStr">
        <is>
          <t>2023-03</t>
        </is>
      </c>
    </row>
    <row r="20">
      <c r="A20" s="4" t="n">
        <v>19</v>
      </c>
      <c r="B20" s="4" t="n">
        <v>416</v>
      </c>
      <c r="C20" s="9" t="inlineStr">
        <is>
          <t>Partition Equal Subset Sum</t>
        </is>
      </c>
      <c r="D20" s="12" t="inlineStr">
        <is>
          <t>Medium</t>
        </is>
      </c>
      <c r="E20" s="4" t="inlineStr">
        <is>
          <t>DP: Knapsack / Subset</t>
        </is>
      </c>
      <c r="F20" s="4" t="inlineStr">
        <is>
          <t>Subset sum</t>
        </is>
      </c>
      <c r="G20" s="4" t="inlineStr">
        <is>
          <t>Dynamic Programming</t>
        </is>
      </c>
      <c r="H20" s="4" t="inlineStr">
        <is>
          <t>array, dynamic-programming, knapsack-problem, 0-1-knapsack</t>
        </is>
      </c>
      <c r="I20" s="4" t="inlineStr">
        <is>
          <t>Solved</t>
        </is>
      </c>
      <c r="J20" s="11" t="n">
        <v>44997.95392361111</v>
      </c>
      <c r="K20" s="11" t="n">
        <v>44997.95392361111</v>
      </c>
      <c r="L20" s="11" t="n">
        <v>44997.95392361111</v>
      </c>
      <c r="M20" s="4" t="n">
        <v>1</v>
      </c>
      <c r="N20" s="4" t="n">
        <v>1</v>
      </c>
      <c r="O20" s="4" t="n">
        <v>0</v>
      </c>
      <c r="P20" s="4">
        <f>IF(AND(N20&gt;0,O20=0),"Yes","No")</f>
        <v/>
      </c>
      <c r="Q20" s="4" t="n">
        <v>0</v>
      </c>
      <c r="R20" s="4" t="n">
        <v>0</v>
      </c>
      <c r="S20" s="4" t="n">
        <v>0</v>
      </c>
      <c r="T20" s="4" t="inlineStr">
        <is>
          <t>C++</t>
        </is>
      </c>
      <c r="U20" s="4" t="n">
        <v>5</v>
      </c>
      <c r="V20" s="9" t="inlineStr">
        <is>
          <t>Submission 913930133</t>
        </is>
      </c>
      <c r="W20" s="9" t="inlineStr">
        <is>
          <t>Open code</t>
        </is>
      </c>
      <c r="X20" s="4" t="n">
        <v>2</v>
      </c>
      <c r="Y20" s="4" t="inlineStr">
        <is>
          <t>2023-03</t>
        </is>
      </c>
    </row>
    <row r="21">
      <c r="A21" s="4" t="n">
        <v>20</v>
      </c>
      <c r="B21" s="4" t="n">
        <v>322</v>
      </c>
      <c r="C21" s="9" t="inlineStr">
        <is>
          <t>Coin Change</t>
        </is>
      </c>
      <c r="D21" s="12" t="inlineStr">
        <is>
          <t>Medium</t>
        </is>
      </c>
      <c r="E21" s="4" t="inlineStr">
        <is>
          <t>DP: Knapsack / Subset</t>
        </is>
      </c>
      <c r="F21" s="4" t="inlineStr">
        <is>
          <t>Unbounded, min count</t>
        </is>
      </c>
      <c r="G21" s="4" t="inlineStr">
        <is>
          <t>Dynamic Programming</t>
        </is>
      </c>
      <c r="H21" s="4" t="inlineStr">
        <is>
          <t>array, dynamic-programming, breadth-first-search, knapsack-problem, complete-knapsack</t>
        </is>
      </c>
      <c r="I21" s="4" t="inlineStr">
        <is>
          <t>Solved</t>
        </is>
      </c>
      <c r="J21" s="11" t="n">
        <v>44998.07711805555</v>
      </c>
      <c r="K21" s="11" t="n">
        <v>44998.07711805555</v>
      </c>
      <c r="L21" s="11" t="n">
        <v>44998.07877314815</v>
      </c>
      <c r="M21" s="4" t="n">
        <v>3</v>
      </c>
      <c r="N21" s="4" t="n">
        <v>2</v>
      </c>
      <c r="O21" s="4" t="n">
        <v>0</v>
      </c>
      <c r="P21" s="4">
        <f>IF(AND(N21&gt;0,O21=0),"Yes","No")</f>
        <v/>
      </c>
      <c r="Q21" s="4" t="n">
        <v>0</v>
      </c>
      <c r="R21" s="4" t="n">
        <v>0</v>
      </c>
      <c r="S21" s="4" t="n">
        <v>0</v>
      </c>
      <c r="T21" s="4" t="inlineStr">
        <is>
          <t>C++</t>
        </is>
      </c>
      <c r="U21" s="4" t="n">
        <v>5.7</v>
      </c>
      <c r="V21" s="9" t="inlineStr">
        <is>
          <t>Submission 914009950</t>
        </is>
      </c>
      <c r="W21" s="9" t="inlineStr">
        <is>
          <t>Open code</t>
        </is>
      </c>
      <c r="X21" s="4" t="n">
        <v>11</v>
      </c>
      <c r="Y21" s="4" t="inlineStr">
        <is>
          <t>2023-03</t>
        </is>
      </c>
    </row>
    <row r="22">
      <c r="A22" s="4" t="n">
        <v>21</v>
      </c>
      <c r="B22" s="4" t="n">
        <v>494</v>
      </c>
      <c r="C22" s="9" t="inlineStr">
        <is>
          <t>Target Sum</t>
        </is>
      </c>
      <c r="D22" s="12" t="inlineStr">
        <is>
          <t>Medium</t>
        </is>
      </c>
      <c r="E22" s="4" t="inlineStr">
        <is>
          <t>DP: Knapsack / Subset</t>
        </is>
      </c>
      <c r="F22" s="4" t="inlineStr">
        <is>
          <t>Count subsets with difference</t>
        </is>
      </c>
      <c r="G22" s="4" t="inlineStr">
        <is>
          <t>Dynamic Programming</t>
        </is>
      </c>
      <c r="H22" s="4" t="inlineStr">
        <is>
          <t>array, dynamic-programming, backtracking, knapsack-problem, 0-1-knapsack</t>
        </is>
      </c>
      <c r="I22" s="4" t="inlineStr">
        <is>
          <t>Solved</t>
        </is>
      </c>
      <c r="J22" s="11" t="n">
        <v>44998.09798611111</v>
      </c>
      <c r="K22" s="11" t="n">
        <v>44998.09798611111</v>
      </c>
      <c r="L22" s="11" t="n">
        <v>44998.09798611111</v>
      </c>
      <c r="M22" s="4" t="n">
        <v>1</v>
      </c>
      <c r="N22" s="4" t="n">
        <v>1</v>
      </c>
      <c r="O22" s="4" t="n">
        <v>0</v>
      </c>
      <c r="P22" s="4">
        <f>IF(AND(N22&gt;0,O22=0),"Yes","No")</f>
        <v/>
      </c>
      <c r="Q22" s="4" t="n">
        <v>0</v>
      </c>
      <c r="R22" s="4" t="n">
        <v>0</v>
      </c>
      <c r="S22" s="4" t="n">
        <v>0</v>
      </c>
      <c r="T22" s="4" t="inlineStr">
        <is>
          <t>C++</t>
        </is>
      </c>
      <c r="U22" s="4" t="n">
        <v>59.2</v>
      </c>
      <c r="V22" s="9" t="inlineStr">
        <is>
          <t>Submission 914018995</t>
        </is>
      </c>
      <c r="W22" s="9" t="inlineStr">
        <is>
          <t>Open code</t>
        </is>
      </c>
      <c r="X22" s="4" t="n">
        <v>0</v>
      </c>
      <c r="Y22" s="4" t="inlineStr">
        <is>
          <t>2023-03</t>
        </is>
      </c>
    </row>
    <row r="23">
      <c r="A23" s="4" t="n">
        <v>22</v>
      </c>
      <c r="B23" s="4" t="n">
        <v>1143</v>
      </c>
      <c r="C23" s="9" t="inlineStr">
        <is>
          <t>Longest Common Subsequence</t>
        </is>
      </c>
      <c r="D23" s="12" t="inlineStr">
        <is>
          <t>Medium</t>
        </is>
      </c>
      <c r="E23" s="4" t="inlineStr">
        <is>
          <t>DP: Strings (LCS, Edit, Matching)</t>
        </is>
      </c>
      <c r="F23" s="4" t="inlineStr">
        <is>
          <t>LCS</t>
        </is>
      </c>
      <c r="G23" s="4" t="inlineStr">
        <is>
          <t>Dynamic Programming</t>
        </is>
      </c>
      <c r="H23" s="4" t="inlineStr">
        <is>
          <t>string, dynamic-programming, longest-common-subsequence</t>
        </is>
      </c>
      <c r="I23" s="4" t="inlineStr">
        <is>
          <t>Solved</t>
        </is>
      </c>
      <c r="J23" s="11" t="n">
        <v>44998.49555555556</v>
      </c>
      <c r="K23" s="11" t="n">
        <v>44998.4975</v>
      </c>
      <c r="L23" s="11" t="n">
        <v>44998.54041666666</v>
      </c>
      <c r="M23" s="4" t="n">
        <v>5</v>
      </c>
      <c r="N23" s="4" t="n">
        <v>3</v>
      </c>
      <c r="O23" s="4" t="n">
        <v>2</v>
      </c>
      <c r="P23" s="4">
        <f>IF(AND(N23&gt;0,O23=0),"Yes","No")</f>
        <v/>
      </c>
      <c r="Q23" s="4" t="n">
        <v>0</v>
      </c>
      <c r="R23" s="4" t="n">
        <v>2</v>
      </c>
      <c r="S23" s="4" t="n">
        <v>0</v>
      </c>
      <c r="T23" s="4" t="inlineStr">
        <is>
          <t>C++</t>
        </is>
      </c>
      <c r="U23" s="4" t="n">
        <v>5.2</v>
      </c>
      <c r="V23" s="9" t="inlineStr">
        <is>
          <t>Submission 914237588</t>
        </is>
      </c>
      <c r="W23" s="9" t="inlineStr">
        <is>
          <t>Open code</t>
        </is>
      </c>
      <c r="X23" s="4" t="n">
        <v>13</v>
      </c>
      <c r="Y23" s="4" t="inlineStr">
        <is>
          <t>2023-03</t>
        </is>
      </c>
    </row>
    <row r="24">
      <c r="A24" s="4" t="n">
        <v>23</v>
      </c>
      <c r="B24" s="4" t="n">
        <v>516</v>
      </c>
      <c r="C24" s="9" t="inlineStr">
        <is>
          <t>Longest Palindromic Subsequence</t>
        </is>
      </c>
      <c r="D24" s="12" t="inlineStr">
        <is>
          <t>Medium</t>
        </is>
      </c>
      <c r="E24" s="4" t="inlineStr">
        <is>
          <t>DP: Strings (LCS, Edit, Matching)</t>
        </is>
      </c>
      <c r="F24" s="4" t="inlineStr">
        <is>
          <t>LCS with reverse</t>
        </is>
      </c>
      <c r="G24" s="4" t="inlineStr">
        <is>
          <t>Dynamic Programming</t>
        </is>
      </c>
      <c r="H24" s="4" t="inlineStr">
        <is>
          <t>string, dynamic-programming</t>
        </is>
      </c>
      <c r="I24" s="4" t="inlineStr">
        <is>
          <t>Solved</t>
        </is>
      </c>
      <c r="J24" s="11" t="n">
        <v>44998.57340277778</v>
      </c>
      <c r="K24" s="11" t="n">
        <v>44998.57340277778</v>
      </c>
      <c r="L24" s="11" t="n">
        <v>44998.57340277778</v>
      </c>
      <c r="M24" s="4" t="n">
        <v>1</v>
      </c>
      <c r="N24" s="4" t="n">
        <v>1</v>
      </c>
      <c r="O24" s="4" t="n">
        <v>0</v>
      </c>
      <c r="P24" s="4">
        <f>IF(AND(N24&gt;0,O24=0),"Yes","No")</f>
        <v/>
      </c>
      <c r="Q24" s="4" t="n">
        <v>0</v>
      </c>
      <c r="R24" s="4" t="n">
        <v>0</v>
      </c>
      <c r="S24" s="4" t="n">
        <v>0</v>
      </c>
      <c r="T24" s="4" t="inlineStr">
        <is>
          <t>C++</t>
        </is>
      </c>
      <c r="U24" s="4" t="n">
        <v>5</v>
      </c>
      <c r="V24" s="9" t="inlineStr">
        <is>
          <t>Submission 914256431</t>
        </is>
      </c>
      <c r="W24" s="9" t="inlineStr">
        <is>
          <t>Open code</t>
        </is>
      </c>
      <c r="X24" s="4" t="n">
        <v>2</v>
      </c>
      <c r="Y24" s="4" t="inlineStr">
        <is>
          <t>2023-03</t>
        </is>
      </c>
    </row>
    <row r="25">
      <c r="A25" s="4" t="n">
        <v>24</v>
      </c>
      <c r="B25" s="4" t="n">
        <v>1312</v>
      </c>
      <c r="C25" s="9" t="inlineStr">
        <is>
          <t>Minimum Insertion Steps to Make a String Palindrome</t>
        </is>
      </c>
      <c r="D25" s="13" t="inlineStr">
        <is>
          <t>Hard</t>
        </is>
      </c>
      <c r="E25" s="4" t="inlineStr">
        <is>
          <t>DP: Strings (LCS, Edit, Matching)</t>
        </is>
      </c>
      <c r="F25" s="4" t="inlineStr">
        <is>
          <t>Via longest palindromic subsequence</t>
        </is>
      </c>
      <c r="G25" s="4" t="inlineStr">
        <is>
          <t>Dynamic Programming</t>
        </is>
      </c>
      <c r="H25" s="4" t="inlineStr">
        <is>
          <t>string, dynamic-programming</t>
        </is>
      </c>
      <c r="I25" s="4" t="inlineStr">
        <is>
          <t>Solved</t>
        </is>
      </c>
      <c r="J25" s="11" t="n">
        <v>44998.58104166666</v>
      </c>
      <c r="K25" s="11" t="n">
        <v>44998.58104166666</v>
      </c>
      <c r="L25" s="11" t="n">
        <v>44998.58104166666</v>
      </c>
      <c r="M25" s="4" t="n">
        <v>1</v>
      </c>
      <c r="N25" s="4" t="n">
        <v>1</v>
      </c>
      <c r="O25" s="4" t="n">
        <v>0</v>
      </c>
      <c r="P25" s="4">
        <f>IF(AND(N25&gt;0,O25=0),"Yes","No")</f>
        <v/>
      </c>
      <c r="Q25" s="4" t="n">
        <v>0</v>
      </c>
      <c r="R25" s="4" t="n">
        <v>0</v>
      </c>
      <c r="S25" s="4" t="n">
        <v>0</v>
      </c>
      <c r="T25" s="4" t="inlineStr">
        <is>
          <t>C++</t>
        </is>
      </c>
      <c r="U25" s="4" t="n">
        <v>5.3</v>
      </c>
      <c r="V25" s="9" t="inlineStr">
        <is>
          <t>Submission 914260676</t>
        </is>
      </c>
      <c r="W25" s="9" t="inlineStr">
        <is>
          <t>Open code</t>
        </is>
      </c>
      <c r="X25" s="4" t="n">
        <v>0</v>
      </c>
      <c r="Y25" s="4" t="inlineStr">
        <is>
          <t>2023-03</t>
        </is>
      </c>
    </row>
    <row r="26">
      <c r="A26" s="4" t="n">
        <v>25</v>
      </c>
      <c r="B26" s="4" t="n">
        <v>1092</v>
      </c>
      <c r="C26" s="9" t="inlineStr">
        <is>
          <t xml:space="preserve">Shortest Common Supersequence </t>
        </is>
      </c>
      <c r="D26" s="13" t="inlineStr">
        <is>
          <t>Hard</t>
        </is>
      </c>
      <c r="E26" s="4" t="inlineStr">
        <is>
          <t>DP: Strings (LCS, Edit, Matching)</t>
        </is>
      </c>
      <c r="F26" s="4" t="inlineStr">
        <is>
          <t>LCS reconstruction</t>
        </is>
      </c>
      <c r="G26" s="4" t="inlineStr">
        <is>
          <t>Dynamic Programming</t>
        </is>
      </c>
      <c r="H26" s="4" t="inlineStr">
        <is>
          <t>string, dynamic-programming, longest-common-subsequence</t>
        </is>
      </c>
      <c r="I26" s="4" t="inlineStr">
        <is>
          <t>Solved</t>
        </is>
      </c>
      <c r="J26" s="11" t="n">
        <v>44998.60981481482</v>
      </c>
      <c r="K26" s="11" t="n">
        <v>44998.62006944444</v>
      </c>
      <c r="L26" s="11" t="n">
        <v>44998.62006944444</v>
      </c>
      <c r="M26" s="4" t="n">
        <v>2</v>
      </c>
      <c r="N26" s="4" t="n">
        <v>1</v>
      </c>
      <c r="O26" s="4" t="n">
        <v>1</v>
      </c>
      <c r="P26" s="4">
        <f>IF(AND(N26&gt;0,O26=0),"Yes","No")</f>
        <v/>
      </c>
      <c r="Q26" s="4" t="n">
        <v>1</v>
      </c>
      <c r="R26" s="4" t="n">
        <v>0</v>
      </c>
      <c r="S26" s="4" t="n">
        <v>0</v>
      </c>
      <c r="T26" s="4" t="inlineStr">
        <is>
          <t>C++</t>
        </is>
      </c>
      <c r="U26" s="4" t="n">
        <v>6.3</v>
      </c>
      <c r="V26" s="9" t="inlineStr">
        <is>
          <t>Submission 914282202</t>
        </is>
      </c>
      <c r="W26" s="9" t="inlineStr">
        <is>
          <t>Open code</t>
        </is>
      </c>
      <c r="X26" s="4" t="n">
        <v>0</v>
      </c>
      <c r="Y26" s="4" t="inlineStr">
        <is>
          <t>2023-03</t>
        </is>
      </c>
    </row>
    <row r="27">
      <c r="A27" s="4" t="n">
        <v>26</v>
      </c>
      <c r="B27" s="4" t="n">
        <v>115</v>
      </c>
      <c r="C27" s="9" t="inlineStr">
        <is>
          <t>Distinct Subsequences</t>
        </is>
      </c>
      <c r="D27" s="13" t="inlineStr">
        <is>
          <t>Hard</t>
        </is>
      </c>
      <c r="E27" s="4" t="inlineStr">
        <is>
          <t>DP: Strings (LCS, Edit, Matching)</t>
        </is>
      </c>
      <c r="F27" s="4" t="inlineStr">
        <is>
          <t>Count matchings</t>
        </is>
      </c>
      <c r="G27" s="4" t="inlineStr">
        <is>
          <t>Dynamic Programming</t>
        </is>
      </c>
      <c r="H27" s="4" t="inlineStr">
        <is>
          <t>string, dynamic-programming</t>
        </is>
      </c>
      <c r="I27" s="4" t="inlineStr">
        <is>
          <t>Solved</t>
        </is>
      </c>
      <c r="J27" s="11" t="n">
        <v>44998.66505787037</v>
      </c>
      <c r="K27" s="11" t="n">
        <v>44998.6877662037</v>
      </c>
      <c r="L27" s="11" t="n">
        <v>44998.70056712963</v>
      </c>
      <c r="M27" s="4" t="n">
        <v>4</v>
      </c>
      <c r="N27" s="4" t="n">
        <v>2</v>
      </c>
      <c r="O27" s="4" t="n">
        <v>2</v>
      </c>
      <c r="P27" s="4">
        <f>IF(AND(N27&gt;0,O27=0),"Yes","No")</f>
        <v/>
      </c>
      <c r="Q27" s="4" t="n">
        <v>0</v>
      </c>
      <c r="R27" s="4" t="n">
        <v>1</v>
      </c>
      <c r="S27" s="4" t="n">
        <v>1</v>
      </c>
      <c r="T27" s="4" t="inlineStr">
        <is>
          <t>C++</t>
        </is>
      </c>
      <c r="U27" s="4" t="n">
        <v>50.1</v>
      </c>
      <c r="V27" s="9" t="inlineStr">
        <is>
          <t>Submission 914326473</t>
        </is>
      </c>
      <c r="W27" s="9" t="inlineStr">
        <is>
          <t>Open code</t>
        </is>
      </c>
      <c r="X27" s="4" t="n">
        <v>0</v>
      </c>
      <c r="Y27" s="4" t="inlineStr">
        <is>
          <t>2023-03</t>
        </is>
      </c>
    </row>
    <row r="28">
      <c r="A28" s="4" t="n">
        <v>27</v>
      </c>
      <c r="B28" s="4" t="n">
        <v>72</v>
      </c>
      <c r="C28" s="9" t="inlineStr">
        <is>
          <t>Edit Distance</t>
        </is>
      </c>
      <c r="D28" s="12" t="inlineStr">
        <is>
          <t>Medium</t>
        </is>
      </c>
      <c r="E28" s="4" t="inlineStr">
        <is>
          <t>DP: Strings (LCS, Edit, Matching)</t>
        </is>
      </c>
      <c r="F28" s="4" t="inlineStr">
        <is>
          <t>Edit distance</t>
        </is>
      </c>
      <c r="G28" s="4" t="inlineStr">
        <is>
          <t>Dynamic Programming</t>
        </is>
      </c>
      <c r="H28" s="4" t="inlineStr">
        <is>
          <t>string, dynamic-programming</t>
        </is>
      </c>
      <c r="I28" s="4" t="inlineStr">
        <is>
          <t>Solved</t>
        </is>
      </c>
      <c r="J28" s="11" t="n">
        <v>44998.71024305555</v>
      </c>
      <c r="K28" s="11" t="n">
        <v>44998.71024305555</v>
      </c>
      <c r="L28" s="11" t="n">
        <v>45049.46096064815</v>
      </c>
      <c r="M28" s="4" t="n">
        <v>2</v>
      </c>
      <c r="N28" s="4" t="n">
        <v>2</v>
      </c>
      <c r="O28" s="4" t="n">
        <v>0</v>
      </c>
      <c r="P28" s="4">
        <f>IF(AND(N28&gt;0,O28=0),"Yes","No")</f>
        <v/>
      </c>
      <c r="Q28" s="4" t="n">
        <v>0</v>
      </c>
      <c r="R28" s="4" t="n">
        <v>0</v>
      </c>
      <c r="S28" s="4" t="n">
        <v>0</v>
      </c>
      <c r="T28" s="4" t="inlineStr">
        <is>
          <t>C++</t>
        </is>
      </c>
      <c r="U28" s="4" t="n">
        <v>84.09999999999999</v>
      </c>
      <c r="V28" s="9" t="inlineStr">
        <is>
          <t>Submission 943623300</t>
        </is>
      </c>
      <c r="W28" s="9" t="inlineStr">
        <is>
          <t>Open code</t>
        </is>
      </c>
      <c r="X28" s="4" t="n">
        <v>0</v>
      </c>
      <c r="Y28" s="4" t="inlineStr">
        <is>
          <t>2023-03</t>
        </is>
      </c>
    </row>
    <row r="29">
      <c r="A29" s="4" t="n">
        <v>28</v>
      </c>
      <c r="B29" s="4" t="n">
        <v>44</v>
      </c>
      <c r="C29" s="9" t="inlineStr">
        <is>
          <t>Wildcard Matching</t>
        </is>
      </c>
      <c r="D29" s="13" t="inlineStr">
        <is>
          <t>Hard</t>
        </is>
      </c>
      <c r="E29" s="4" t="inlineStr">
        <is>
          <t>DP: Strings (LCS, Edit, Matching)</t>
        </is>
      </c>
      <c r="F29" s="4" t="inlineStr">
        <is>
          <t>Pattern matching</t>
        </is>
      </c>
      <c r="G29" s="4" t="inlineStr">
        <is>
          <t>Dynamic Programming</t>
        </is>
      </c>
      <c r="H29" s="4" t="inlineStr">
        <is>
          <t>string, dynamic-programming, greedy, recursion</t>
        </is>
      </c>
      <c r="I29" s="4" t="inlineStr">
        <is>
          <t>Solved</t>
        </is>
      </c>
      <c r="J29" s="11" t="n">
        <v>44998.74277777778</v>
      </c>
      <c r="K29" s="11" t="n">
        <v>44998.74991898148</v>
      </c>
      <c r="L29" s="11" t="n">
        <v>45049.47445601852</v>
      </c>
      <c r="M29" s="4" t="n">
        <v>6</v>
      </c>
      <c r="N29" s="4" t="n">
        <v>3</v>
      </c>
      <c r="O29" s="4" t="n">
        <v>2</v>
      </c>
      <c r="P29" s="4">
        <f>IF(AND(N29&gt;0,O29=0),"Yes","No")</f>
        <v/>
      </c>
      <c r="Q29" s="4" t="n">
        <v>1</v>
      </c>
      <c r="R29" s="4" t="n">
        <v>1</v>
      </c>
      <c r="S29" s="4" t="n">
        <v>0</v>
      </c>
      <c r="T29" s="4" t="inlineStr">
        <is>
          <t>C++</t>
        </is>
      </c>
      <c r="U29" s="4" t="n">
        <v>51</v>
      </c>
      <c r="V29" s="9" t="inlineStr">
        <is>
          <t>Submission 943632100</t>
        </is>
      </c>
      <c r="W29" s="9" t="inlineStr">
        <is>
          <t>Open code</t>
        </is>
      </c>
      <c r="X29" s="4" t="n">
        <v>0</v>
      </c>
      <c r="Y29" s="4" t="inlineStr">
        <is>
          <t>2023-03</t>
        </is>
      </c>
    </row>
    <row r="30">
      <c r="A30" s="4" t="n">
        <v>29</v>
      </c>
      <c r="B30" s="4" t="n">
        <v>121</v>
      </c>
      <c r="C30" s="9" t="inlineStr">
        <is>
          <t>Best Time to Buy and Sell Stock</t>
        </is>
      </c>
      <c r="D30" s="10" t="inlineStr">
        <is>
          <t>Easy</t>
        </is>
      </c>
      <c r="E30" s="4" t="inlineStr">
        <is>
          <t>DP: Buy &amp; Sell Stock</t>
        </is>
      </c>
      <c r="F30" s="4" t="inlineStr">
        <is>
          <t>Single transaction</t>
        </is>
      </c>
      <c r="G30" s="4" t="inlineStr">
        <is>
          <t>Dynamic Programming</t>
        </is>
      </c>
      <c r="H30" s="4" t="inlineStr">
        <is>
          <t>array, dynamic-programming</t>
        </is>
      </c>
      <c r="I30" s="4" t="inlineStr">
        <is>
          <t>Solved</t>
        </is>
      </c>
      <c r="J30" s="11" t="n">
        <v>44998.75756944445</v>
      </c>
      <c r="K30" s="11" t="n">
        <v>44998.75756944445</v>
      </c>
      <c r="L30" s="11" t="n">
        <v>45845.96396990741</v>
      </c>
      <c r="M30" s="4" t="n">
        <v>7</v>
      </c>
      <c r="N30" s="4" t="n">
        <v>6</v>
      </c>
      <c r="O30" s="4" t="n">
        <v>0</v>
      </c>
      <c r="P30" s="4">
        <f>IF(AND(N30&gt;0,O30=0),"Yes","No")</f>
        <v/>
      </c>
      <c r="Q30" s="4" t="n">
        <v>0</v>
      </c>
      <c r="R30" s="4" t="n">
        <v>0</v>
      </c>
      <c r="S30" s="4" t="n">
        <v>0</v>
      </c>
      <c r="T30" s="4" t="inlineStr">
        <is>
          <t>C++, Python3</t>
        </is>
      </c>
      <c r="U30" s="4" t="n">
        <v>100</v>
      </c>
      <c r="V30" s="9" t="inlineStr">
        <is>
          <t>Submission 1689878369</t>
        </is>
      </c>
      <c r="W30" s="9" t="inlineStr">
        <is>
          <t>Open code</t>
        </is>
      </c>
      <c r="X30" s="4" t="n">
        <v>6</v>
      </c>
      <c r="Y30" s="4" t="inlineStr">
        <is>
          <t>2023-03</t>
        </is>
      </c>
    </row>
    <row r="31">
      <c r="A31" s="4" t="n">
        <v>30</v>
      </c>
      <c r="B31" s="4" t="n">
        <v>122</v>
      </c>
      <c r="C31" s="9" t="inlineStr">
        <is>
          <t>Best Time to Buy and Sell Stock II</t>
        </is>
      </c>
      <c r="D31" s="12" t="inlineStr">
        <is>
          <t>Medium</t>
        </is>
      </c>
      <c r="E31" s="4" t="inlineStr">
        <is>
          <t>DP: Buy &amp; Sell Stock</t>
        </is>
      </c>
      <c r="F31" s="4" t="inlineStr">
        <is>
          <t>Unlimited transactions</t>
        </is>
      </c>
      <c r="G31" s="4" t="inlineStr">
        <is>
          <t>Dynamic Programming</t>
        </is>
      </c>
      <c r="H31" s="4" t="inlineStr">
        <is>
          <t>array, dynamic-programming, greedy</t>
        </is>
      </c>
      <c r="I31" s="4" t="inlineStr">
        <is>
          <t>Solved</t>
        </is>
      </c>
      <c r="J31" s="11" t="n">
        <v>44998.7777199074</v>
      </c>
      <c r="K31" s="11" t="n">
        <v>44998.7777199074</v>
      </c>
      <c r="L31" s="11" t="n">
        <v>45049.510625</v>
      </c>
      <c r="M31" s="4" t="n">
        <v>7</v>
      </c>
      <c r="N31" s="4" t="n">
        <v>6</v>
      </c>
      <c r="O31" s="4" t="n">
        <v>0</v>
      </c>
      <c r="P31" s="4">
        <f>IF(AND(N31&gt;0,O31=0),"Yes","No")</f>
        <v/>
      </c>
      <c r="Q31" s="4" t="n">
        <v>0</v>
      </c>
      <c r="R31" s="4" t="n">
        <v>0</v>
      </c>
      <c r="S31" s="4" t="n">
        <v>0</v>
      </c>
      <c r="T31" s="4" t="inlineStr">
        <is>
          <t>C++</t>
        </is>
      </c>
      <c r="U31" s="4" t="n">
        <v>26.7</v>
      </c>
      <c r="V31" s="9" t="inlineStr">
        <is>
          <t>Submission 943656453</t>
        </is>
      </c>
      <c r="W31" s="9" t="inlineStr">
        <is>
          <t>Open code</t>
        </is>
      </c>
      <c r="X31" s="4" t="n">
        <v>4</v>
      </c>
      <c r="Y31" s="4" t="inlineStr">
        <is>
          <t>2023-03</t>
        </is>
      </c>
    </row>
    <row r="32">
      <c r="A32" s="4" t="n">
        <v>31</v>
      </c>
      <c r="B32" s="4" t="n">
        <v>207</v>
      </c>
      <c r="C32" s="9" t="inlineStr">
        <is>
          <t>Course Schedule</t>
        </is>
      </c>
      <c r="D32" s="12" t="inlineStr">
        <is>
          <t>Medium</t>
        </is>
      </c>
      <c r="E32" s="4" t="inlineStr">
        <is>
          <t>Graph: Topological Sort</t>
        </is>
      </c>
      <c r="F32" s="4" t="inlineStr">
        <is>
          <t>Cycle detection</t>
        </is>
      </c>
      <c r="G32" s="4" t="inlineStr">
        <is>
          <t>Graphs</t>
        </is>
      </c>
      <c r="H32" s="4" t="inlineStr">
        <is>
          <t>depth-first-search, breadth-first-search, graph, topological-sort, directed-acyclic-graph</t>
        </is>
      </c>
      <c r="I32" s="4" t="inlineStr">
        <is>
          <t>Solved</t>
        </is>
      </c>
      <c r="J32" s="11" t="n">
        <v>45000.61335648148</v>
      </c>
      <c r="K32" s="11" t="n">
        <v>45000.61335648148</v>
      </c>
      <c r="L32" s="11" t="n">
        <v>45297.04579861111</v>
      </c>
      <c r="M32" s="4" t="n">
        <v>11</v>
      </c>
      <c r="N32" s="4" t="n">
        <v>7</v>
      </c>
      <c r="O32" s="4" t="n">
        <v>0</v>
      </c>
      <c r="P32" s="4">
        <f>IF(AND(N32&gt;0,O32=0),"Yes","No")</f>
        <v/>
      </c>
      <c r="Q32" s="4" t="n">
        <v>0</v>
      </c>
      <c r="R32" s="4" t="n">
        <v>0</v>
      </c>
      <c r="S32" s="4" t="n">
        <v>0</v>
      </c>
      <c r="T32" s="4" t="inlineStr">
        <is>
          <t>C++, Python3</t>
        </is>
      </c>
      <c r="U32" s="4" t="n">
        <v>6.7</v>
      </c>
      <c r="V32" s="9" t="inlineStr">
        <is>
          <t>Submission 1137908453</t>
        </is>
      </c>
      <c r="W32" s="9" t="inlineStr">
        <is>
          <t>Open code</t>
        </is>
      </c>
      <c r="X32" s="4" t="n">
        <v>2</v>
      </c>
      <c r="Y32" s="4" t="inlineStr">
        <is>
          <t>2023-03</t>
        </is>
      </c>
    </row>
    <row r="33">
      <c r="A33" s="4" t="n">
        <v>32</v>
      </c>
      <c r="B33" s="4" t="n">
        <v>2187</v>
      </c>
      <c r="C33" s="9" t="inlineStr">
        <is>
          <t>Minimum Time to Complete Trips</t>
        </is>
      </c>
      <c r="D33" s="12" t="inlineStr">
        <is>
          <t>Medium</t>
        </is>
      </c>
      <c r="E33" s="4" t="inlineStr">
        <is>
          <t>Binary Search on Answer</t>
        </is>
      </c>
      <c r="F33" s="4" t="inlineStr">
        <is>
          <t>Minimise time</t>
        </is>
      </c>
      <c r="G33" s="4" t="inlineStr">
        <is>
          <t>Searching</t>
        </is>
      </c>
      <c r="H33" s="4" t="inlineStr">
        <is>
          <t>array, binary-search</t>
        </is>
      </c>
      <c r="I33" s="4" t="inlineStr">
        <is>
          <t>Solved</t>
        </is>
      </c>
      <c r="J33" s="11" t="n">
        <v>45001.41976851852</v>
      </c>
      <c r="K33" s="11" t="n">
        <v>45001.42877314815</v>
      </c>
      <c r="L33" s="11" t="n">
        <v>45001.43517361111</v>
      </c>
      <c r="M33" s="4" t="n">
        <v>8</v>
      </c>
      <c r="N33" s="4" t="n">
        <v>1</v>
      </c>
      <c r="O33" s="4" t="n">
        <v>5</v>
      </c>
      <c r="P33" s="4">
        <f>IF(AND(N33&gt;0,O33=0),"Yes","No")</f>
        <v/>
      </c>
      <c r="Q33" s="4" t="n">
        <v>5</v>
      </c>
      <c r="R33" s="4" t="n">
        <v>0</v>
      </c>
      <c r="S33" s="4" t="n">
        <v>0</v>
      </c>
      <c r="T33" s="4" t="inlineStr">
        <is>
          <t>C++</t>
        </is>
      </c>
      <c r="U33" s="4" t="n">
        <v>5.2</v>
      </c>
      <c r="V33" s="9" t="inlineStr">
        <is>
          <t>Submission 916054851</t>
        </is>
      </c>
      <c r="W33" s="9" t="inlineStr">
        <is>
          <t>Open code</t>
        </is>
      </c>
      <c r="X33" s="4" t="n">
        <v>0</v>
      </c>
      <c r="Y33" s="4" t="inlineStr">
        <is>
          <t>2023-03</t>
        </is>
      </c>
    </row>
    <row r="34">
      <c r="A34" s="4" t="n">
        <v>33</v>
      </c>
      <c r="B34" s="4" t="n">
        <v>417</v>
      </c>
      <c r="C34" s="9" t="inlineStr">
        <is>
          <t>Pacific Atlantic Water Flow</t>
        </is>
      </c>
      <c r="D34" s="12" t="inlineStr">
        <is>
          <t>Medium</t>
        </is>
      </c>
      <c r="E34" s="4" t="inlineStr">
        <is>
          <t>Graph: Grid BFS/DFS</t>
        </is>
      </c>
      <c r="F34" s="4" t="inlineStr">
        <is>
          <t>Reverse multi-source DFS</t>
        </is>
      </c>
      <c r="G34" s="4" t="inlineStr">
        <is>
          <t>Graphs</t>
        </is>
      </c>
      <c r="H34" s="4" t="inlineStr">
        <is>
          <t>array, depth-first-search, breadth-first-search, matrix</t>
        </is>
      </c>
      <c r="I34" s="4" t="inlineStr">
        <is>
          <t>Solved</t>
        </is>
      </c>
      <c r="J34" s="11" t="n">
        <v>45001.56606481481</v>
      </c>
      <c r="K34" s="11" t="n">
        <v>45001.56606481481</v>
      </c>
      <c r="L34" s="11" t="n">
        <v>45001.56606481481</v>
      </c>
      <c r="M34" s="4" t="n">
        <v>1</v>
      </c>
      <c r="N34" s="4" t="n">
        <v>1</v>
      </c>
      <c r="O34" s="4" t="n">
        <v>0</v>
      </c>
      <c r="P34" s="4">
        <f>IF(AND(N34&gt;0,O34=0),"Yes","No")</f>
        <v/>
      </c>
      <c r="Q34" s="4" t="n">
        <v>0</v>
      </c>
      <c r="R34" s="4" t="n">
        <v>0</v>
      </c>
      <c r="S34" s="4" t="n">
        <v>0</v>
      </c>
      <c r="T34" s="4" t="inlineStr">
        <is>
          <t>C++</t>
        </is>
      </c>
      <c r="U34" s="4" t="n">
        <v>9.1</v>
      </c>
      <c r="V34" s="9" t="inlineStr">
        <is>
          <t>Submission 916138421</t>
        </is>
      </c>
      <c r="W34" s="9" t="inlineStr">
        <is>
          <t>Open code</t>
        </is>
      </c>
      <c r="X34" s="4" t="n">
        <v>0</v>
      </c>
      <c r="Y34" s="4" t="inlineStr">
        <is>
          <t>2023-03</t>
        </is>
      </c>
    </row>
    <row r="35">
      <c r="A35" s="4" t="n">
        <v>34</v>
      </c>
      <c r="B35" s="4" t="n">
        <v>361</v>
      </c>
      <c r="C35" s="9" t="inlineStr">
        <is>
          <t>Bomb Enemy</t>
        </is>
      </c>
      <c r="D35" s="12" t="inlineStr">
        <is>
          <t>Medium</t>
        </is>
      </c>
      <c r="E35" s="4" t="inlineStr">
        <is>
          <t>DP: Grid / 2D</t>
        </is>
      </c>
      <c r="F35" s="4" t="inlineStr">
        <is>
          <t>Row/column precompute</t>
        </is>
      </c>
      <c r="G35" s="4" t="inlineStr">
        <is>
          <t>Dynamic Programming</t>
        </is>
      </c>
      <c r="H35" s="4" t="inlineStr">
        <is>
          <t>array, dynamic-programming, matrix</t>
        </is>
      </c>
      <c r="I35" s="4" t="inlineStr">
        <is>
          <t>Solved</t>
        </is>
      </c>
      <c r="J35" s="11" t="n">
        <v>45001.73854166667</v>
      </c>
      <c r="K35" s="11" t="n">
        <v>45015.97246527778</v>
      </c>
      <c r="L35" s="11" t="n">
        <v>45015.97246527778</v>
      </c>
      <c r="M35" s="4" t="n">
        <v>4</v>
      </c>
      <c r="N35" s="4" t="n">
        <v>1</v>
      </c>
      <c r="O35" s="4" t="n">
        <v>3</v>
      </c>
      <c r="P35" s="4">
        <f>IF(AND(N35&gt;0,O35=0),"Yes","No")</f>
        <v/>
      </c>
      <c r="Q35" s="4" t="n">
        <v>1</v>
      </c>
      <c r="R35" s="4" t="n">
        <v>2</v>
      </c>
      <c r="S35" s="4" t="n">
        <v>0</v>
      </c>
      <c r="T35" s="4" t="inlineStr">
        <is>
          <t>C++</t>
        </is>
      </c>
      <c r="U35" s="4" t="n">
        <v>5.9</v>
      </c>
      <c r="V35" s="9" t="inlineStr">
        <is>
          <t>Submission 924963710</t>
        </is>
      </c>
      <c r="W35" s="9" t="inlineStr">
        <is>
          <t>Open code</t>
        </is>
      </c>
      <c r="X35" s="4" t="n">
        <v>0</v>
      </c>
      <c r="Y35" s="4" t="inlineStr">
        <is>
          <t>2023-03</t>
        </is>
      </c>
    </row>
    <row r="36">
      <c r="A36" s="4" t="n">
        <v>35</v>
      </c>
      <c r="B36" s="4" t="n">
        <v>1428</v>
      </c>
      <c r="C36" s="9" t="inlineStr">
        <is>
          <t>Leftmost Column with at Least a One</t>
        </is>
      </c>
      <c r="D36" s="12" t="inlineStr">
        <is>
          <t>Medium</t>
        </is>
      </c>
      <c r="E36" s="4" t="inlineStr">
        <is>
          <t>Binary Search</t>
        </is>
      </c>
      <c r="F36" s="4" t="inlineStr">
        <is>
          <t>Staircase / per-row search</t>
        </is>
      </c>
      <c r="G36" s="4" t="inlineStr">
        <is>
          <t>Searching</t>
        </is>
      </c>
      <c r="H36" s="4" t="inlineStr">
        <is>
          <t>array, binary-search, matrix, interactive</t>
        </is>
      </c>
      <c r="I36" s="4" t="inlineStr">
        <is>
          <t>Solved</t>
        </is>
      </c>
      <c r="J36" s="11" t="n">
        <v>45001.76895833333</v>
      </c>
      <c r="K36" s="11" t="n">
        <v>45001.76895833333</v>
      </c>
      <c r="L36" s="11" t="n">
        <v>45015.94461805555</v>
      </c>
      <c r="M36" s="4" t="n">
        <v>2</v>
      </c>
      <c r="N36" s="4" t="n">
        <v>2</v>
      </c>
      <c r="O36" s="4" t="n">
        <v>0</v>
      </c>
      <c r="P36" s="4">
        <f>IF(AND(N36&gt;0,O36=0),"Yes","No")</f>
        <v/>
      </c>
      <c r="Q36" s="4" t="n">
        <v>0</v>
      </c>
      <c r="R36" s="4" t="n">
        <v>0</v>
      </c>
      <c r="S36" s="4" t="n">
        <v>0</v>
      </c>
      <c r="T36" s="4" t="inlineStr">
        <is>
          <t>C++</t>
        </is>
      </c>
      <c r="U36" s="4" t="n">
        <v>48.8</v>
      </c>
      <c r="V36" s="9" t="inlineStr">
        <is>
          <t>Submission 924939203</t>
        </is>
      </c>
      <c r="W36" s="9" t="inlineStr">
        <is>
          <t>Open code</t>
        </is>
      </c>
      <c r="X36" s="4" t="n">
        <v>0</v>
      </c>
      <c r="Y36" s="4" t="inlineStr">
        <is>
          <t>2023-03</t>
        </is>
      </c>
    </row>
    <row r="37">
      <c r="A37" s="4" t="n">
        <v>36</v>
      </c>
      <c r="B37" s="4" t="n">
        <v>1438</v>
      </c>
      <c r="C37" s="9" t="inlineStr">
        <is>
          <t>Longest Continuous Subarray With Absolute Diff Less Than or Equal to Limit</t>
        </is>
      </c>
      <c r="D37" s="12" t="inlineStr">
        <is>
          <t>Medium</t>
        </is>
      </c>
      <c r="E37" s="4" t="inlineStr">
        <is>
          <t>Sliding Window</t>
        </is>
      </c>
      <c r="F37" s="4" t="inlineStr">
        <is>
          <t>Window with min/max deques</t>
        </is>
      </c>
      <c r="G37" s="4" t="inlineStr">
        <is>
          <t>Arrays &amp; Strings</t>
        </is>
      </c>
      <c r="H37" s="4" t="inlineStr">
        <is>
          <t>array, queue, sliding-window, heap-priority-queue, ordered-set, monotonic-queue</t>
        </is>
      </c>
      <c r="I37" s="4" t="inlineStr">
        <is>
          <t>Solved</t>
        </is>
      </c>
      <c r="J37" s="11" t="n">
        <v>45001.794375</v>
      </c>
      <c r="K37" s="11" t="n">
        <v>45001.80167824074</v>
      </c>
      <c r="L37" s="11" t="n">
        <v>45001.80167824074</v>
      </c>
      <c r="M37" s="4" t="n">
        <v>3</v>
      </c>
      <c r="N37" s="4" t="n">
        <v>1</v>
      </c>
      <c r="O37" s="4" t="n">
        <v>2</v>
      </c>
      <c r="P37" s="4">
        <f>IF(AND(N37&gt;0,O37=0),"Yes","No")</f>
        <v/>
      </c>
      <c r="Q37" s="4" t="n">
        <v>2</v>
      </c>
      <c r="R37" s="4" t="n">
        <v>0</v>
      </c>
      <c r="S37" s="4" t="n">
        <v>0</v>
      </c>
      <c r="T37" s="4" t="inlineStr">
        <is>
          <t>C++</t>
        </is>
      </c>
      <c r="U37" s="4" t="n">
        <v>5.1</v>
      </c>
      <c r="V37" s="9" t="inlineStr">
        <is>
          <t>Submission 916288522</t>
        </is>
      </c>
      <c r="W37" s="9" t="inlineStr">
        <is>
          <t>Open code</t>
        </is>
      </c>
      <c r="X37" s="4" t="n">
        <v>0</v>
      </c>
      <c r="Y37" s="4" t="inlineStr">
        <is>
          <t>2023-03</t>
        </is>
      </c>
    </row>
    <row r="38">
      <c r="A38" s="4" t="n">
        <v>37</v>
      </c>
      <c r="B38" s="4" t="n">
        <v>715</v>
      </c>
      <c r="C38" s="9" t="inlineStr">
        <is>
          <t>Range Module</t>
        </is>
      </c>
      <c r="D38" s="13" t="inlineStr">
        <is>
          <t>Hard</t>
        </is>
      </c>
      <c r="E38" s="4" t="inlineStr">
        <is>
          <t>Segment Tree / BIT / Ordered Set</t>
        </is>
      </c>
      <c r="F38" s="4" t="inlineStr">
        <is>
          <t>Interval map</t>
        </is>
      </c>
      <c r="G38" s="4" t="inlineStr">
        <is>
          <t>Advanced Data Structures</t>
        </is>
      </c>
      <c r="H38" s="4" t="inlineStr">
        <is>
          <t>design, segment-tree, ordered-set</t>
        </is>
      </c>
      <c r="I38" s="4" t="inlineStr">
        <is>
          <t>Solved</t>
        </is>
      </c>
      <c r="J38" s="11" t="n">
        <v>45004.34649305556</v>
      </c>
      <c r="K38" s="11" t="n">
        <v>45004.35324074074</v>
      </c>
      <c r="L38" s="11" t="n">
        <v>45004.35532407407</v>
      </c>
      <c r="M38" s="4" t="n">
        <v>4</v>
      </c>
      <c r="N38" s="4" t="n">
        <v>2</v>
      </c>
      <c r="O38" s="4" t="n">
        <v>1</v>
      </c>
      <c r="P38" s="4">
        <f>IF(AND(N38&gt;0,O38=0),"Yes","No")</f>
        <v/>
      </c>
      <c r="Q38" s="4" t="n">
        <v>1</v>
      </c>
      <c r="R38" s="4" t="n">
        <v>0</v>
      </c>
      <c r="S38" s="4" t="n">
        <v>0</v>
      </c>
      <c r="T38" s="4" t="inlineStr">
        <is>
          <t>C++</t>
        </is>
      </c>
      <c r="U38" s="4" t="n">
        <v>15.6</v>
      </c>
      <c r="V38" s="9" t="inlineStr">
        <is>
          <t>Submission 917822373</t>
        </is>
      </c>
      <c r="W38" s="9" t="inlineStr">
        <is>
          <t>Open code</t>
        </is>
      </c>
      <c r="X38" s="4" t="n">
        <v>0</v>
      </c>
      <c r="Y38" s="4" t="inlineStr">
        <is>
          <t>2023-03</t>
        </is>
      </c>
    </row>
    <row r="39">
      <c r="A39" s="4" t="n">
        <v>38</v>
      </c>
      <c r="B39" s="4" t="n">
        <v>200</v>
      </c>
      <c r="C39" s="9" t="inlineStr">
        <is>
          <t>Number of Islands</t>
        </is>
      </c>
      <c r="D39" s="12" t="inlineStr">
        <is>
          <t>Medium</t>
        </is>
      </c>
      <c r="E39" s="4" t="inlineStr">
        <is>
          <t>Graph: Grid BFS/DFS</t>
        </is>
      </c>
      <c r="F39" s="4" t="inlineStr">
        <is>
          <t>Flood fill</t>
        </is>
      </c>
      <c r="G39" s="4" t="inlineStr">
        <is>
          <t>Graphs</t>
        </is>
      </c>
      <c r="H39" s="4" t="inlineStr">
        <is>
          <t>array, depth-first-search, breadth-first-search, union-find, matrix</t>
        </is>
      </c>
      <c r="I39" s="4" t="inlineStr">
        <is>
          <t>Solved</t>
        </is>
      </c>
      <c r="J39" s="11" t="n">
        <v>45004.50541666667</v>
      </c>
      <c r="K39" s="11" t="n">
        <v>45004.50541666667</v>
      </c>
      <c r="L39" s="11" t="n">
        <v>45326.42065972222</v>
      </c>
      <c r="M39" s="4" t="n">
        <v>16</v>
      </c>
      <c r="N39" s="4" t="n">
        <v>12</v>
      </c>
      <c r="O39" s="4" t="n">
        <v>0</v>
      </c>
      <c r="P39" s="4">
        <f>IF(AND(N39&gt;0,O39=0),"Yes","No")</f>
        <v/>
      </c>
      <c r="Q39" s="4" t="n">
        <v>0</v>
      </c>
      <c r="R39" s="4" t="n">
        <v>0</v>
      </c>
      <c r="S39" s="4" t="n">
        <v>0</v>
      </c>
      <c r="T39" s="4" t="inlineStr">
        <is>
          <t>C++, Python, Python3</t>
        </is>
      </c>
      <c r="U39" s="4" t="n">
        <v>95.7</v>
      </c>
      <c r="V39" s="9" t="inlineStr">
        <is>
          <t>Submission 1165506805</t>
        </is>
      </c>
      <c r="W39" s="9" t="inlineStr">
        <is>
          <t>Open code</t>
        </is>
      </c>
      <c r="X39" s="4" t="n">
        <v>6</v>
      </c>
      <c r="Y39" s="4" t="inlineStr">
        <is>
          <t>2023-03</t>
        </is>
      </c>
    </row>
    <row r="40">
      <c r="A40" s="4" t="n">
        <v>39</v>
      </c>
      <c r="B40" s="4" t="n">
        <v>32</v>
      </c>
      <c r="C40" s="9" t="inlineStr">
        <is>
          <t>Longest Valid Parentheses</t>
        </is>
      </c>
      <c r="D40" s="13" t="inlineStr">
        <is>
          <t>Hard</t>
        </is>
      </c>
      <c r="E40" s="4" t="inlineStr">
        <is>
          <t>Stack</t>
        </is>
      </c>
      <c r="F40" s="4" t="inlineStr">
        <is>
          <t>Index stack</t>
        </is>
      </c>
      <c r="G40" s="4" t="inlineStr">
        <is>
          <t>Stacks &amp; Queues</t>
        </is>
      </c>
      <c r="H40" s="4" t="inlineStr">
        <is>
          <t>string, dynamic-programming, stack, bracket-sequences</t>
        </is>
      </c>
      <c r="I40" s="4" t="inlineStr">
        <is>
          <t>Solved</t>
        </is>
      </c>
      <c r="J40" s="11" t="n">
        <v>45005.69549768518</v>
      </c>
      <c r="K40" s="11" t="n">
        <v>45005.69549768518</v>
      </c>
      <c r="L40" s="11" t="n">
        <v>45005.70332175926</v>
      </c>
      <c r="M40" s="4" t="n">
        <v>2</v>
      </c>
      <c r="N40" s="4" t="n">
        <v>2</v>
      </c>
      <c r="O40" s="4" t="n">
        <v>0</v>
      </c>
      <c r="P40" s="4">
        <f>IF(AND(N40&gt;0,O40=0),"Yes","No")</f>
        <v/>
      </c>
      <c r="Q40" s="4" t="n">
        <v>0</v>
      </c>
      <c r="R40" s="4" t="n">
        <v>0</v>
      </c>
      <c r="S40" s="4" t="n">
        <v>0</v>
      </c>
      <c r="T40" s="4" t="inlineStr">
        <is>
          <t>C++</t>
        </is>
      </c>
      <c r="U40" s="4" t="n">
        <v>100</v>
      </c>
      <c r="V40" s="9" t="inlineStr">
        <is>
          <t>Submission 918716653</t>
        </is>
      </c>
      <c r="W40" s="9" t="inlineStr">
        <is>
          <t>Open code</t>
        </is>
      </c>
      <c r="X40" s="4" t="n">
        <v>3</v>
      </c>
      <c r="Y40" s="4" t="inlineStr">
        <is>
          <t>2023-03</t>
        </is>
      </c>
    </row>
    <row r="41">
      <c r="A41" s="4" t="n">
        <v>40</v>
      </c>
      <c r="B41" s="4" t="n">
        <v>25</v>
      </c>
      <c r="C41" s="9" t="inlineStr">
        <is>
          <t>Reverse Nodes in k-Group</t>
        </is>
      </c>
      <c r="D41" s="13" t="inlineStr">
        <is>
          <t>Hard</t>
        </is>
      </c>
      <c r="E41" s="4" t="inlineStr">
        <is>
          <t>Linked List</t>
        </is>
      </c>
      <c r="F41" s="4" t="inlineStr">
        <is>
          <t>Reverse in groups</t>
        </is>
      </c>
      <c r="G41" s="4" t="inlineStr">
        <is>
          <t>Linked List</t>
        </is>
      </c>
      <c r="H41" s="4" t="inlineStr">
        <is>
          <t>linked-list, recursion</t>
        </is>
      </c>
      <c r="I41" s="4" t="inlineStr">
        <is>
          <t>Solved</t>
        </is>
      </c>
      <c r="J41" s="11" t="n">
        <v>45005.70824074074</v>
      </c>
      <c r="K41" s="11" t="n">
        <v>45005.70824074074</v>
      </c>
      <c r="L41" s="11" t="n">
        <v>45739.78659722222</v>
      </c>
      <c r="M41" s="4" t="n">
        <v>2</v>
      </c>
      <c r="N41" s="4" t="n">
        <v>2</v>
      </c>
      <c r="O41" s="4" t="n">
        <v>0</v>
      </c>
      <c r="P41" s="4">
        <f>IF(AND(N41&gt;0,O41=0),"Yes","No")</f>
        <v/>
      </c>
      <c r="Q41" s="4" t="n">
        <v>0</v>
      </c>
      <c r="R41" s="4" t="n">
        <v>0</v>
      </c>
      <c r="S41" s="4" t="n">
        <v>0</v>
      </c>
      <c r="T41" s="4" t="inlineStr">
        <is>
          <t>C++</t>
        </is>
      </c>
      <c r="U41" s="4" t="n">
        <v>100</v>
      </c>
      <c r="V41" s="9" t="inlineStr">
        <is>
          <t>Submission 1583325959</t>
        </is>
      </c>
      <c r="W41" s="9" t="inlineStr">
        <is>
          <t>Open code</t>
        </is>
      </c>
      <c r="X41" s="4" t="n">
        <v>0</v>
      </c>
      <c r="Y41" s="4" t="inlineStr">
        <is>
          <t>2023-03</t>
        </is>
      </c>
    </row>
    <row r="42">
      <c r="A42" s="4" t="n">
        <v>41</v>
      </c>
      <c r="B42" s="4" t="n">
        <v>146</v>
      </c>
      <c r="C42" s="9" t="inlineStr">
        <is>
          <t>LRU Cache</t>
        </is>
      </c>
      <c r="D42" s="12" t="inlineStr">
        <is>
          <t>Medium</t>
        </is>
      </c>
      <c r="E42" s="4" t="inlineStr">
        <is>
          <t>Design</t>
        </is>
      </c>
      <c r="F42" s="4" t="inlineStr">
        <is>
          <t>Hash map + doubly linked list</t>
        </is>
      </c>
      <c r="G42" s="4" t="inlineStr">
        <is>
          <t>Design</t>
        </is>
      </c>
      <c r="H42" s="4" t="inlineStr">
        <is>
          <t>hash-table, linked-list, design, doubly-linked-list</t>
        </is>
      </c>
      <c r="I42" s="4" t="inlineStr">
        <is>
          <t>Solved</t>
        </is>
      </c>
      <c r="J42" s="11" t="n">
        <v>45005.73612268519</v>
      </c>
      <c r="K42" s="11" t="n">
        <v>45005.7372800926</v>
      </c>
      <c r="L42" s="11" t="n">
        <v>45333.32979166666</v>
      </c>
      <c r="M42" s="4" t="n">
        <v>6</v>
      </c>
      <c r="N42" s="4" t="n">
        <v>5</v>
      </c>
      <c r="O42" s="4" t="n">
        <v>1</v>
      </c>
      <c r="P42" s="4">
        <f>IF(AND(N42&gt;0,O42=0),"Yes","No")</f>
        <v/>
      </c>
      <c r="Q42" s="4" t="n">
        <v>1</v>
      </c>
      <c r="R42" s="4" t="n">
        <v>0</v>
      </c>
      <c r="S42" s="4" t="n">
        <v>0</v>
      </c>
      <c r="T42" s="4" t="inlineStr">
        <is>
          <t>C++, Python3</t>
        </is>
      </c>
      <c r="U42" s="4" t="n">
        <v>5</v>
      </c>
      <c r="V42" s="9" t="inlineStr">
        <is>
          <t>Submission 1171863682</t>
        </is>
      </c>
      <c r="W42" s="9" t="inlineStr">
        <is>
          <t>Open code</t>
        </is>
      </c>
      <c r="X42" s="4" t="n">
        <v>2</v>
      </c>
      <c r="Y42" s="4" t="inlineStr">
        <is>
          <t>2023-03</t>
        </is>
      </c>
    </row>
    <row r="43">
      <c r="A43" s="4" t="n">
        <v>42</v>
      </c>
      <c r="B43" s="4" t="n">
        <v>5</v>
      </c>
      <c r="C43" s="9" t="inlineStr">
        <is>
          <t>Longest Palindromic Substring</t>
        </is>
      </c>
      <c r="D43" s="12" t="inlineStr">
        <is>
          <t>Medium</t>
        </is>
      </c>
      <c r="E43" s="4" t="inlineStr">
        <is>
          <t>Two Pointers</t>
        </is>
      </c>
      <c r="F43" s="4" t="inlineStr">
        <is>
          <t>Expand around centre</t>
        </is>
      </c>
      <c r="G43" s="4" t="inlineStr">
        <is>
          <t>Arrays &amp; Strings</t>
        </is>
      </c>
      <c r="H43" s="4" t="inlineStr">
        <is>
          <t>two-pointers, string, dynamic-programming, manacher</t>
        </is>
      </c>
      <c r="I43" s="4" t="inlineStr">
        <is>
          <t>Solved</t>
        </is>
      </c>
      <c r="J43" s="11" t="n">
        <v>45005.77229166667</v>
      </c>
      <c r="K43" s="11" t="n">
        <v>45005.77305555555</v>
      </c>
      <c r="L43" s="11" t="n">
        <v>45066.41607638889</v>
      </c>
      <c r="M43" s="4" t="n">
        <v>7</v>
      </c>
      <c r="N43" s="4" t="n">
        <v>5</v>
      </c>
      <c r="O43" s="4" t="n">
        <v>1</v>
      </c>
      <c r="P43" s="4">
        <f>IF(AND(N43&gt;0,O43=0),"Yes","No")</f>
        <v/>
      </c>
      <c r="Q43" s="4" t="n">
        <v>1</v>
      </c>
      <c r="R43" s="4" t="n">
        <v>0</v>
      </c>
      <c r="S43" s="4" t="n">
        <v>0</v>
      </c>
      <c r="T43" s="4" t="inlineStr">
        <is>
          <t>C++</t>
        </is>
      </c>
      <c r="U43" s="4" t="n">
        <v>24.6</v>
      </c>
      <c r="V43" s="9" t="inlineStr">
        <is>
          <t>Submission 953693067</t>
        </is>
      </c>
      <c r="W43" s="9" t="inlineStr">
        <is>
          <t>Open code</t>
        </is>
      </c>
      <c r="X43" s="4" t="n">
        <v>8</v>
      </c>
      <c r="Y43" s="4" t="inlineStr">
        <is>
          <t>2023-03</t>
        </is>
      </c>
    </row>
    <row r="44">
      <c r="A44" s="4" t="n">
        <v>43</v>
      </c>
      <c r="B44" s="4" t="n">
        <v>34</v>
      </c>
      <c r="C44" s="9" t="inlineStr">
        <is>
          <t>Find First and Last Position of Element in Sorted Array</t>
        </is>
      </c>
      <c r="D44" s="12" t="inlineStr">
        <is>
          <t>Medium</t>
        </is>
      </c>
      <c r="E44" s="4" t="inlineStr">
        <is>
          <t>Binary Search</t>
        </is>
      </c>
      <c r="F44" s="4" t="inlineStr">
        <is>
          <t>Lower/upper bound</t>
        </is>
      </c>
      <c r="G44" s="4" t="inlineStr">
        <is>
          <t>Searching</t>
        </is>
      </c>
      <c r="H44" s="4" t="inlineStr">
        <is>
          <t>array, binary-search</t>
        </is>
      </c>
      <c r="I44" s="4" t="inlineStr">
        <is>
          <t>Solved</t>
        </is>
      </c>
      <c r="J44" s="11" t="n">
        <v>45006.36465277777</v>
      </c>
      <c r="K44" s="11" t="n">
        <v>45006.36465277777</v>
      </c>
      <c r="L44" s="11" t="n">
        <v>45307.359375</v>
      </c>
      <c r="M44" s="4" t="n">
        <v>7</v>
      </c>
      <c r="N44" s="4" t="n">
        <v>7</v>
      </c>
      <c r="O44" s="4" t="n">
        <v>0</v>
      </c>
      <c r="P44" s="4">
        <f>IF(AND(N44&gt;0,O44=0),"Yes","No")</f>
        <v/>
      </c>
      <c r="Q44" s="4" t="n">
        <v>0</v>
      </c>
      <c r="R44" s="4" t="n">
        <v>0</v>
      </c>
      <c r="S44" s="4" t="n">
        <v>0</v>
      </c>
      <c r="T44" s="4" t="inlineStr">
        <is>
          <t>C++, Python3</t>
        </is>
      </c>
      <c r="U44" s="4" t="n">
        <v>0</v>
      </c>
      <c r="V44" s="9" t="inlineStr">
        <is>
          <t>Submission 1147430361</t>
        </is>
      </c>
      <c r="W44" s="9" t="inlineStr">
        <is>
          <t>Open code</t>
        </is>
      </c>
      <c r="X44" s="4" t="n">
        <v>5</v>
      </c>
      <c r="Y44" s="4" t="inlineStr">
        <is>
          <t>2023-03</t>
        </is>
      </c>
    </row>
    <row r="45">
      <c r="A45" s="4" t="n">
        <v>44</v>
      </c>
      <c r="B45" s="4" t="n">
        <v>49</v>
      </c>
      <c r="C45" s="9" t="inlineStr">
        <is>
          <t>Group Anagrams</t>
        </is>
      </c>
      <c r="D45" s="12" t="inlineStr">
        <is>
          <t>Medium</t>
        </is>
      </c>
      <c r="E45" s="4" t="inlineStr">
        <is>
          <t>Arrays, Hashing &amp; Sorting</t>
        </is>
      </c>
      <c r="F45" s="4" t="inlineStr">
        <is>
          <t>Canonical key</t>
        </is>
      </c>
      <c r="G45" s="4" t="inlineStr">
        <is>
          <t>Arrays &amp; Strings</t>
        </is>
      </c>
      <c r="H45" s="4" t="inlineStr">
        <is>
          <t>array, hash-table, string, sorting</t>
        </is>
      </c>
      <c r="I45" s="4" t="inlineStr">
        <is>
          <t>Solved</t>
        </is>
      </c>
      <c r="J45" s="11" t="n">
        <v>45006.39059027778</v>
      </c>
      <c r="K45" s="11" t="n">
        <v>45006.40689814815</v>
      </c>
      <c r="L45" s="11" t="n">
        <v>45007.87950231481</v>
      </c>
      <c r="M45" s="4" t="n">
        <v>4</v>
      </c>
      <c r="N45" s="4" t="n">
        <v>2</v>
      </c>
      <c r="O45" s="4" t="n">
        <v>2</v>
      </c>
      <c r="P45" s="4">
        <f>IF(AND(N45&gt;0,O45=0),"Yes","No")</f>
        <v/>
      </c>
      <c r="Q45" s="4" t="n">
        <v>0</v>
      </c>
      <c r="R45" s="4" t="n">
        <v>1</v>
      </c>
      <c r="S45" s="4" t="n">
        <v>1</v>
      </c>
      <c r="T45" s="4" t="inlineStr">
        <is>
          <t>C++</t>
        </is>
      </c>
      <c r="U45" s="4" t="n">
        <v>17.7</v>
      </c>
      <c r="V45" s="9" t="inlineStr">
        <is>
          <t>Submission 920196438</t>
        </is>
      </c>
      <c r="W45" s="9" t="inlineStr">
        <is>
          <t>Open code</t>
        </is>
      </c>
      <c r="X45" s="4" t="n">
        <v>0</v>
      </c>
      <c r="Y45" s="4" t="inlineStr">
        <is>
          <t>2023-03</t>
        </is>
      </c>
    </row>
    <row r="46">
      <c r="A46" s="4" t="n">
        <v>45</v>
      </c>
      <c r="B46" s="4" t="n">
        <v>68</v>
      </c>
      <c r="C46" s="9" t="inlineStr">
        <is>
          <t>Text Justification</t>
        </is>
      </c>
      <c r="D46" s="13" t="inlineStr">
        <is>
          <t>Hard</t>
        </is>
      </c>
      <c r="E46" s="4" t="inlineStr">
        <is>
          <t>Strings &amp; Simulation</t>
        </is>
      </c>
      <c r="F46" s="4" t="inlineStr">
        <is>
          <t>Simulation</t>
        </is>
      </c>
      <c r="G46" s="4" t="inlineStr">
        <is>
          <t>Arrays &amp; Strings</t>
        </is>
      </c>
      <c r="H46" s="4" t="inlineStr">
        <is>
          <t>array, string, simulation</t>
        </is>
      </c>
      <c r="I46" s="4" t="inlineStr">
        <is>
          <t>Solved</t>
        </is>
      </c>
      <c r="J46" s="11" t="n">
        <v>45006.45043981481</v>
      </c>
      <c r="K46" s="11" t="n">
        <v>45006.45043981481</v>
      </c>
      <c r="L46" s="11" t="n">
        <v>45007.87960648148</v>
      </c>
      <c r="M46" s="4" t="n">
        <v>2</v>
      </c>
      <c r="N46" s="4" t="n">
        <v>2</v>
      </c>
      <c r="O46" s="4" t="n">
        <v>0</v>
      </c>
      <c r="P46" s="4">
        <f>IF(AND(N46&gt;0,O46=0),"Yes","No")</f>
        <v/>
      </c>
      <c r="Q46" s="4" t="n">
        <v>0</v>
      </c>
      <c r="R46" s="4" t="n">
        <v>0</v>
      </c>
      <c r="S46" s="4" t="n">
        <v>0</v>
      </c>
      <c r="T46" s="4" t="inlineStr">
        <is>
          <t>C++</t>
        </is>
      </c>
      <c r="U46" s="4" t="n">
        <v>100</v>
      </c>
      <c r="V46" s="9" t="inlineStr">
        <is>
          <t>Submission 920196506</t>
        </is>
      </c>
      <c r="W46" s="9" t="inlineStr">
        <is>
          <t>Open code</t>
        </is>
      </c>
      <c r="X46" s="4" t="n">
        <v>0</v>
      </c>
      <c r="Y46" s="4" t="inlineStr">
        <is>
          <t>2023-03</t>
        </is>
      </c>
    </row>
    <row r="47">
      <c r="A47" s="4" t="n">
        <v>46</v>
      </c>
      <c r="B47" s="4" t="n">
        <v>76</v>
      </c>
      <c r="C47" s="9" t="inlineStr">
        <is>
          <t>Minimum Window Substring</t>
        </is>
      </c>
      <c r="D47" s="13" t="inlineStr">
        <is>
          <t>Hard</t>
        </is>
      </c>
      <c r="E47" s="4" t="inlineStr">
        <is>
          <t>Sliding Window</t>
        </is>
      </c>
      <c r="F47" s="4" t="inlineStr">
        <is>
          <t>Variable window, min cover</t>
        </is>
      </c>
      <c r="G47" s="4" t="inlineStr">
        <is>
          <t>Arrays &amp; Strings</t>
        </is>
      </c>
      <c r="H47" s="4" t="inlineStr">
        <is>
          <t>hash-table, string, sliding-window</t>
        </is>
      </c>
      <c r="I47" s="4" t="inlineStr">
        <is>
          <t>Solved</t>
        </is>
      </c>
      <c r="J47" s="11" t="n">
        <v>45006.49918981481</v>
      </c>
      <c r="K47" s="11" t="n">
        <v>45006.51495370371</v>
      </c>
      <c r="L47" s="11" t="n">
        <v>45332.8452662037</v>
      </c>
      <c r="M47" s="4" t="n">
        <v>19</v>
      </c>
      <c r="N47" s="4" t="n">
        <v>11</v>
      </c>
      <c r="O47" s="4" t="n">
        <v>3</v>
      </c>
      <c r="P47" s="4">
        <f>IF(AND(N47&gt;0,O47=0),"Yes","No")</f>
        <v/>
      </c>
      <c r="Q47" s="4" t="n">
        <v>1</v>
      </c>
      <c r="R47" s="4" t="n">
        <v>2</v>
      </c>
      <c r="S47" s="4" t="n">
        <v>0</v>
      </c>
      <c r="T47" s="4" t="inlineStr">
        <is>
          <t>C++, Python3</t>
        </is>
      </c>
      <c r="U47" s="4" t="n">
        <v>21.7</v>
      </c>
      <c r="V47" s="9" t="inlineStr">
        <is>
          <t>Submission 1171474048</t>
        </is>
      </c>
      <c r="W47" s="9" t="inlineStr">
        <is>
          <t>Open code</t>
        </is>
      </c>
      <c r="X47" s="4" t="n">
        <v>0</v>
      </c>
      <c r="Y47" s="4" t="inlineStr">
        <is>
          <t>2023-03</t>
        </is>
      </c>
    </row>
    <row r="48">
      <c r="A48" s="4" t="n">
        <v>47</v>
      </c>
      <c r="B48" s="4" t="n">
        <v>332</v>
      </c>
      <c r="C48" s="9" t="inlineStr">
        <is>
          <t>Reconstruct Itinerary</t>
        </is>
      </c>
      <c r="D48" s="13" t="inlineStr">
        <is>
          <t>Hard</t>
        </is>
      </c>
      <c r="E48" s="4" t="inlineStr">
        <is>
          <t>Graph: General BFS/DFS</t>
        </is>
      </c>
      <c r="F48" s="4" t="inlineStr">
        <is>
          <t>Eulerian path (Hierholzer)</t>
        </is>
      </c>
      <c r="G48" s="4" t="inlineStr">
        <is>
          <t>Graphs</t>
        </is>
      </c>
      <c r="H48" s="4" t="inlineStr">
        <is>
          <t>array, string, depth-first-search, graph, sorting, heap-priority-queue, eulerian-circuit, eulerian-path, semi-eulerian-graph</t>
        </is>
      </c>
      <c r="I48" s="4" t="inlineStr">
        <is>
          <t>Solved</t>
        </is>
      </c>
      <c r="J48" s="11" t="n">
        <v>45006.62983796297</v>
      </c>
      <c r="K48" s="11" t="n">
        <v>45006.62983796297</v>
      </c>
      <c r="L48" s="11" t="n">
        <v>45289.17943287037</v>
      </c>
      <c r="M48" s="4" t="n">
        <v>5</v>
      </c>
      <c r="N48" s="4" t="n">
        <v>3</v>
      </c>
      <c r="O48" s="4" t="n">
        <v>0</v>
      </c>
      <c r="P48" s="4">
        <f>IF(AND(N48&gt;0,O48=0),"Yes","No")</f>
        <v/>
      </c>
      <c r="Q48" s="4" t="n">
        <v>0</v>
      </c>
      <c r="R48" s="4" t="n">
        <v>0</v>
      </c>
      <c r="S48" s="4" t="n">
        <v>0</v>
      </c>
      <c r="T48" s="4" t="inlineStr">
        <is>
          <t>C++, Python3</t>
        </is>
      </c>
      <c r="U48" s="4" t="n">
        <v>15.7</v>
      </c>
      <c r="V48" s="9" t="inlineStr">
        <is>
          <t>Submission 1130928739</t>
        </is>
      </c>
      <c r="W48" s="9" t="inlineStr">
        <is>
          <t>Open code</t>
        </is>
      </c>
      <c r="X48" s="4" t="n">
        <v>0</v>
      </c>
      <c r="Y48" s="4" t="inlineStr">
        <is>
          <t>2023-03</t>
        </is>
      </c>
    </row>
    <row r="49">
      <c r="A49" s="4" t="n">
        <v>48</v>
      </c>
      <c r="B49" s="4" t="n">
        <v>399</v>
      </c>
      <c r="C49" s="9" t="inlineStr">
        <is>
          <t>Evaluate Division</t>
        </is>
      </c>
      <c r="D49" s="12" t="inlineStr">
        <is>
          <t>Medium</t>
        </is>
      </c>
      <c r="E49" s="4" t="inlineStr">
        <is>
          <t>Graph: General BFS/DFS</t>
        </is>
      </c>
      <c r="F49" s="4" t="inlineStr">
        <is>
          <t>Weighted graph DFS</t>
        </is>
      </c>
      <c r="G49" s="4" t="inlineStr">
        <is>
          <t>Graphs</t>
        </is>
      </c>
      <c r="H49" s="4" t="inlineStr">
        <is>
          <t>array, string, depth-first-search, breadth-first-search, union-find, graph, shortest-path, bellman-ford-algorithm, floyd-warshall-algorithm</t>
        </is>
      </c>
      <c r="I49" s="4" t="inlineStr">
        <is>
          <t>Solved</t>
        </is>
      </c>
      <c r="J49" s="11" t="n">
        <v>45006.79084490741</v>
      </c>
      <c r="K49" s="11" t="n">
        <v>45006.79084490741</v>
      </c>
      <c r="L49" s="11" t="n">
        <v>45007.92184027778</v>
      </c>
      <c r="M49" s="4" t="n">
        <v>3</v>
      </c>
      <c r="N49" s="4" t="n">
        <v>3</v>
      </c>
      <c r="O49" s="4" t="n">
        <v>0</v>
      </c>
      <c r="P49" s="4">
        <f>IF(AND(N49&gt;0,O49=0),"Yes","No")</f>
        <v/>
      </c>
      <c r="Q49" s="4" t="n">
        <v>0</v>
      </c>
      <c r="R49" s="4" t="n">
        <v>0</v>
      </c>
      <c r="S49" s="4" t="n">
        <v>0</v>
      </c>
      <c r="T49" s="4" t="inlineStr">
        <is>
          <t>C++</t>
        </is>
      </c>
      <c r="U49" s="4" t="n">
        <v>100</v>
      </c>
      <c r="V49" s="9" t="inlineStr">
        <is>
          <t>Submission 920228516</t>
        </is>
      </c>
      <c r="W49" s="9" t="inlineStr">
        <is>
          <t>Open code</t>
        </is>
      </c>
      <c r="X49" s="4" t="n">
        <v>1</v>
      </c>
      <c r="Y49" s="4" t="inlineStr">
        <is>
          <t>2023-03</t>
        </is>
      </c>
    </row>
    <row r="50">
      <c r="A50" s="4" t="n">
        <v>49</v>
      </c>
      <c r="B50" s="4" t="n">
        <v>652</v>
      </c>
      <c r="C50" s="9" t="inlineStr">
        <is>
          <t>Find Duplicate Subtrees</t>
        </is>
      </c>
      <c r="D50" s="12" t="inlineStr">
        <is>
          <t>Medium</t>
        </is>
      </c>
      <c r="E50" s="4" t="inlineStr">
        <is>
          <t>Binary Tree (DFS &amp; Recursion)</t>
        </is>
      </c>
      <c r="F50" s="4" t="inlineStr">
        <is>
          <t>Subtree serialization</t>
        </is>
      </c>
      <c r="G50" s="4" t="inlineStr">
        <is>
          <t>Trees</t>
        </is>
      </c>
      <c r="H50" s="4" t="inlineStr">
        <is>
          <t>hash-table, tree, depth-first-search, binary-tree</t>
        </is>
      </c>
      <c r="I50" s="4" t="inlineStr">
        <is>
          <t>Solved</t>
        </is>
      </c>
      <c r="J50" s="11" t="n">
        <v>45006.80849537037</v>
      </c>
      <c r="K50" s="11" t="n">
        <v>45006.80849537037</v>
      </c>
      <c r="L50" s="11" t="n">
        <v>45007.92208333333</v>
      </c>
      <c r="M50" s="4" t="n">
        <v>2</v>
      </c>
      <c r="N50" s="4" t="n">
        <v>2</v>
      </c>
      <c r="O50" s="4" t="n">
        <v>0</v>
      </c>
      <c r="P50" s="4">
        <f>IF(AND(N50&gt;0,O50=0),"Yes","No")</f>
        <v/>
      </c>
      <c r="Q50" s="4" t="n">
        <v>0</v>
      </c>
      <c r="R50" s="4" t="n">
        <v>0</v>
      </c>
      <c r="S50" s="4" t="n">
        <v>0</v>
      </c>
      <c r="T50" s="4" t="inlineStr">
        <is>
          <t>C++</t>
        </is>
      </c>
      <c r="U50" s="4" t="n">
        <v>5</v>
      </c>
      <c r="V50" s="9" t="inlineStr">
        <is>
          <t>Submission 920228711</t>
        </is>
      </c>
      <c r="W50" s="9" t="inlineStr">
        <is>
          <t>Open code</t>
        </is>
      </c>
      <c r="X50" s="4" t="n">
        <v>0</v>
      </c>
      <c r="Y50" s="4" t="inlineStr">
        <is>
          <t>2023-03</t>
        </is>
      </c>
    </row>
    <row r="51">
      <c r="A51" s="4" t="n">
        <v>50</v>
      </c>
      <c r="B51" s="4" t="n">
        <v>42</v>
      </c>
      <c r="C51" s="9" t="inlineStr">
        <is>
          <t>Trapping Rain Water</t>
        </is>
      </c>
      <c r="D51" s="13" t="inlineStr">
        <is>
          <t>Hard</t>
        </is>
      </c>
      <c r="E51" s="4" t="inlineStr">
        <is>
          <t>Two Pointers</t>
        </is>
      </c>
      <c r="F51" s="4" t="inlineStr">
        <is>
          <t>Two pointers / prefix max</t>
        </is>
      </c>
      <c r="G51" s="4" t="inlineStr">
        <is>
          <t>Arrays &amp; Strings</t>
        </is>
      </c>
      <c r="H51" s="4" t="inlineStr">
        <is>
          <t>array, two-pointers, dynamic-programming, stack, monotonic-stack</t>
        </is>
      </c>
      <c r="I51" s="4" t="inlineStr">
        <is>
          <t>Solved</t>
        </is>
      </c>
      <c r="J51" s="11" t="n">
        <v>45006.98376157408</v>
      </c>
      <c r="K51" s="11" t="n">
        <v>45006.98376157408</v>
      </c>
      <c r="L51" s="11" t="n">
        <v>45007.92246527778</v>
      </c>
      <c r="M51" s="4" t="n">
        <v>5</v>
      </c>
      <c r="N51" s="4" t="n">
        <v>5</v>
      </c>
      <c r="O51" s="4" t="n">
        <v>0</v>
      </c>
      <c r="P51" s="4">
        <f>IF(AND(N51&gt;0,O51=0),"Yes","No")</f>
        <v/>
      </c>
      <c r="Q51" s="4" t="n">
        <v>0</v>
      </c>
      <c r="R51" s="4" t="n">
        <v>0</v>
      </c>
      <c r="S51" s="4" t="n">
        <v>0</v>
      </c>
      <c r="T51" s="4" t="inlineStr">
        <is>
          <t>C++</t>
        </is>
      </c>
      <c r="U51" s="4" t="n">
        <v>4.7</v>
      </c>
      <c r="V51" s="9" t="inlineStr">
        <is>
          <t>Submission 920228993</t>
        </is>
      </c>
      <c r="W51" s="9" t="inlineStr">
        <is>
          <t>Open code</t>
        </is>
      </c>
      <c r="X51" s="4" t="n">
        <v>2</v>
      </c>
      <c r="Y51" s="4" t="inlineStr">
        <is>
          <t>2023-03</t>
        </is>
      </c>
    </row>
    <row r="52">
      <c r="A52" s="4" t="n">
        <v>51</v>
      </c>
      <c r="B52" s="4" t="n">
        <v>253</v>
      </c>
      <c r="C52" s="9" t="inlineStr">
        <is>
          <t>Meeting Rooms II</t>
        </is>
      </c>
      <c r="D52" s="12" t="inlineStr">
        <is>
          <t>Medium</t>
        </is>
      </c>
      <c r="E52" s="4" t="inlineStr">
        <is>
          <t>Intervals &amp; Sweep Line</t>
        </is>
      </c>
      <c r="F52" s="4" t="inlineStr">
        <is>
          <t>Min-heap of end times</t>
        </is>
      </c>
      <c r="G52" s="4" t="inlineStr">
        <is>
          <t>Heaps &amp; Intervals</t>
        </is>
      </c>
      <c r="H52" s="4" t="inlineStr">
        <is>
          <t>array, two-pointers, greedy, sorting, heap-priority-queue, prefix-sum</t>
        </is>
      </c>
      <c r="I52" s="4" t="inlineStr">
        <is>
          <t>Solved</t>
        </is>
      </c>
      <c r="J52" s="11" t="n">
        <v>45007.03543981481</v>
      </c>
      <c r="K52" s="11" t="n">
        <v>45007.03732638889</v>
      </c>
      <c r="L52" s="11" t="n">
        <v>45374.54436342593</v>
      </c>
      <c r="M52" s="4" t="n">
        <v>19</v>
      </c>
      <c r="N52" s="4" t="n">
        <v>13</v>
      </c>
      <c r="O52" s="4" t="n">
        <v>4</v>
      </c>
      <c r="P52" s="4">
        <f>IF(AND(N52&gt;0,O52=0),"Yes","No")</f>
        <v/>
      </c>
      <c r="Q52" s="4" t="n">
        <v>4</v>
      </c>
      <c r="R52" s="4" t="n">
        <v>0</v>
      </c>
      <c r="S52" s="4" t="n">
        <v>0</v>
      </c>
      <c r="T52" s="4" t="inlineStr">
        <is>
          <t>C++, Python3</t>
        </is>
      </c>
      <c r="U52" s="4" t="n">
        <v>20.4</v>
      </c>
      <c r="V52" s="9" t="inlineStr">
        <is>
          <t>Submission 1211468058</t>
        </is>
      </c>
      <c r="W52" s="9" t="inlineStr">
        <is>
          <t>Open code</t>
        </is>
      </c>
      <c r="X52" s="4" t="n">
        <v>5</v>
      </c>
      <c r="Y52" s="4" t="inlineStr">
        <is>
          <t>2023-03</t>
        </is>
      </c>
    </row>
    <row r="53">
      <c r="A53" s="4" t="n">
        <v>52</v>
      </c>
      <c r="B53" s="4" t="n">
        <v>621</v>
      </c>
      <c r="C53" s="9" t="inlineStr">
        <is>
          <t>Task Scheduler</t>
        </is>
      </c>
      <c r="D53" s="12" t="inlineStr">
        <is>
          <t>Medium</t>
        </is>
      </c>
      <c r="E53" s="4" t="inlineStr">
        <is>
          <t>Greedy</t>
        </is>
      </c>
      <c r="F53" s="4" t="inlineStr">
        <is>
          <t>Counting formula</t>
        </is>
      </c>
      <c r="G53" s="4" t="inlineStr">
        <is>
          <t>Greedy</t>
        </is>
      </c>
      <c r="H53" s="4" t="inlineStr">
        <is>
          <t>array, hash-table, greedy, sorting, heap-priority-queue, counting</t>
        </is>
      </c>
      <c r="I53" s="4" t="inlineStr">
        <is>
          <t>Solved</t>
        </is>
      </c>
      <c r="J53" s="11" t="n">
        <v>45007.07137731482</v>
      </c>
      <c r="K53" s="11" t="n">
        <v>45007.07137731482</v>
      </c>
      <c r="L53" s="11" t="n">
        <v>45007.92282407408</v>
      </c>
      <c r="M53" s="4" t="n">
        <v>4</v>
      </c>
      <c r="N53" s="4" t="n">
        <v>3</v>
      </c>
      <c r="O53" s="4" t="n">
        <v>0</v>
      </c>
      <c r="P53" s="4">
        <f>IF(AND(N53&gt;0,O53=0),"Yes","No")</f>
        <v/>
      </c>
      <c r="Q53" s="4" t="n">
        <v>0</v>
      </c>
      <c r="R53" s="4" t="n">
        <v>0</v>
      </c>
      <c r="S53" s="4" t="n">
        <v>0</v>
      </c>
      <c r="T53" s="4" t="inlineStr">
        <is>
          <t>C++</t>
        </is>
      </c>
      <c r="U53" s="4" t="n">
        <v>7.3</v>
      </c>
      <c r="V53" s="9" t="inlineStr">
        <is>
          <t>Submission 920229298</t>
        </is>
      </c>
      <c r="W53" s="9" t="inlineStr">
        <is>
          <t>Open code</t>
        </is>
      </c>
      <c r="X53" s="4" t="n">
        <v>0</v>
      </c>
      <c r="Y53" s="4" t="inlineStr">
        <is>
          <t>2023-03</t>
        </is>
      </c>
    </row>
    <row r="54">
      <c r="A54" s="4" t="n">
        <v>53</v>
      </c>
      <c r="B54" s="4" t="n">
        <v>636</v>
      </c>
      <c r="C54" s="9" t="inlineStr">
        <is>
          <t>Exclusive Time of Functions</t>
        </is>
      </c>
      <c r="D54" s="12" t="inlineStr">
        <is>
          <t>Medium</t>
        </is>
      </c>
      <c r="E54" s="4" t="inlineStr">
        <is>
          <t>Stack</t>
        </is>
      </c>
      <c r="F54" s="4" t="inlineStr">
        <is>
          <t>Call-stack simulation</t>
        </is>
      </c>
      <c r="G54" s="4" t="inlineStr">
        <is>
          <t>Stacks &amp; Queues</t>
        </is>
      </c>
      <c r="H54" s="4" t="inlineStr">
        <is>
          <t>array, stack</t>
        </is>
      </c>
      <c r="I54" s="4" t="inlineStr">
        <is>
          <t>Solved</t>
        </is>
      </c>
      <c r="J54" s="11" t="n">
        <v>45007.11927083333</v>
      </c>
      <c r="K54" s="11" t="n">
        <v>45007.11927083333</v>
      </c>
      <c r="L54" s="11" t="n">
        <v>45844.69153935185</v>
      </c>
      <c r="M54" s="4" t="n">
        <v>5</v>
      </c>
      <c r="N54" s="4" t="n">
        <v>5</v>
      </c>
      <c r="O54" s="4" t="n">
        <v>0</v>
      </c>
      <c r="P54" s="4">
        <f>IF(AND(N54&gt;0,O54=0),"Yes","No")</f>
        <v/>
      </c>
      <c r="Q54" s="4" t="n">
        <v>0</v>
      </c>
      <c r="R54" s="4" t="n">
        <v>0</v>
      </c>
      <c r="S54" s="4" t="n">
        <v>0</v>
      </c>
      <c r="T54" s="4" t="inlineStr">
        <is>
          <t>C++, Python3</t>
        </is>
      </c>
      <c r="U54" s="4" t="n">
        <v>37.1</v>
      </c>
      <c r="V54" s="9" t="inlineStr">
        <is>
          <t>Submission 1688323984</t>
        </is>
      </c>
      <c r="W54" s="9" t="inlineStr">
        <is>
          <t>Open code</t>
        </is>
      </c>
      <c r="X54" s="4" t="n">
        <v>0</v>
      </c>
      <c r="Y54" s="4" t="inlineStr">
        <is>
          <t>2023-03</t>
        </is>
      </c>
    </row>
    <row r="55">
      <c r="A55" s="4" t="n">
        <v>54</v>
      </c>
      <c r="B55" s="4" t="n">
        <v>23</v>
      </c>
      <c r="C55" s="9" t="inlineStr">
        <is>
          <t>Merge k Sorted Lists</t>
        </is>
      </c>
      <c r="D55" s="13" t="inlineStr">
        <is>
          <t>Hard</t>
        </is>
      </c>
      <c r="E55" s="4" t="inlineStr">
        <is>
          <t>Heap / Top-K</t>
        </is>
      </c>
      <c r="F55" s="4" t="inlineStr">
        <is>
          <t>K-way merge</t>
        </is>
      </c>
      <c r="G55" s="4" t="inlineStr">
        <is>
          <t>Heaps &amp; Intervals</t>
        </is>
      </c>
      <c r="H55" s="4" t="inlineStr">
        <is>
          <t>linked-list, divide-and-conquer, heap-priority-queue, merge-sort, tournament-sort</t>
        </is>
      </c>
      <c r="I55" s="4" t="inlineStr">
        <is>
          <t>Solved</t>
        </is>
      </c>
      <c r="J55" s="11" t="n">
        <v>45007.13271990741</v>
      </c>
      <c r="K55" s="11" t="n">
        <v>45007.13271990741</v>
      </c>
      <c r="L55" s="11" t="n">
        <v>45742.41199074074</v>
      </c>
      <c r="M55" s="4" t="n">
        <v>10</v>
      </c>
      <c r="N55" s="4" t="n">
        <v>8</v>
      </c>
      <c r="O55" s="4" t="n">
        <v>0</v>
      </c>
      <c r="P55" s="4">
        <f>IF(AND(N55&gt;0,O55=0),"Yes","No")</f>
        <v/>
      </c>
      <c r="Q55" s="4" t="n">
        <v>0</v>
      </c>
      <c r="R55" s="4" t="n">
        <v>0</v>
      </c>
      <c r="S55" s="4" t="n">
        <v>0</v>
      </c>
      <c r="T55" s="4" t="inlineStr">
        <is>
          <t>C++, Python, Python3</t>
        </is>
      </c>
      <c r="U55" s="4" t="n">
        <v>70.2</v>
      </c>
      <c r="V55" s="9" t="inlineStr">
        <is>
          <t>Submission 1586434062</t>
        </is>
      </c>
      <c r="W55" s="9" t="inlineStr">
        <is>
          <t>Open code</t>
        </is>
      </c>
      <c r="X55" s="4" t="n">
        <v>2</v>
      </c>
      <c r="Y55" s="4" t="inlineStr">
        <is>
          <t>2023-03</t>
        </is>
      </c>
    </row>
    <row r="56">
      <c r="A56" s="4" t="n">
        <v>55</v>
      </c>
      <c r="B56" s="4" t="n">
        <v>759</v>
      </c>
      <c r="C56" s="9" t="inlineStr">
        <is>
          <t>Employee Free Time</t>
        </is>
      </c>
      <c r="D56" s="13" t="inlineStr">
        <is>
          <t>Hard</t>
        </is>
      </c>
      <c r="E56" s="4" t="inlineStr">
        <is>
          <t>Intervals &amp; Sweep Line</t>
        </is>
      </c>
      <c r="F56" s="4" t="inlineStr">
        <is>
          <t>Merge then find gaps</t>
        </is>
      </c>
      <c r="G56" s="4" t="inlineStr">
        <is>
          <t>Heaps &amp; Intervals</t>
        </is>
      </c>
      <c r="H56" s="4" t="inlineStr">
        <is>
          <t>array, sweep-line, sorting, heap-priority-queue</t>
        </is>
      </c>
      <c r="I56" s="4" t="inlineStr">
        <is>
          <t>Solved</t>
        </is>
      </c>
      <c r="J56" s="11" t="n">
        <v>45007.46896990741</v>
      </c>
      <c r="K56" s="11" t="n">
        <v>45007.46896990741</v>
      </c>
      <c r="L56" s="11" t="n">
        <v>45374.59238425926</v>
      </c>
      <c r="M56" s="4" t="n">
        <v>4</v>
      </c>
      <c r="N56" s="4" t="n">
        <v>4</v>
      </c>
      <c r="O56" s="4" t="n">
        <v>0</v>
      </c>
      <c r="P56" s="4">
        <f>IF(AND(N56&gt;0,O56=0),"Yes","No")</f>
        <v/>
      </c>
      <c r="Q56" s="4" t="n">
        <v>0</v>
      </c>
      <c r="R56" s="4" t="n">
        <v>0</v>
      </c>
      <c r="S56" s="4" t="n">
        <v>0</v>
      </c>
      <c r="T56" s="4" t="inlineStr">
        <is>
          <t>C++</t>
        </is>
      </c>
      <c r="U56" s="4" t="n">
        <v>95.90000000000001</v>
      </c>
      <c r="V56" s="9" t="inlineStr">
        <is>
          <t>Submission 1211504428</t>
        </is>
      </c>
      <c r="W56" s="9" t="inlineStr">
        <is>
          <t>Open code</t>
        </is>
      </c>
      <c r="X56" s="4" t="n">
        <v>0</v>
      </c>
      <c r="Y56" s="4" t="inlineStr">
        <is>
          <t>2023-03</t>
        </is>
      </c>
    </row>
    <row r="57">
      <c r="A57" s="4" t="n">
        <v>56</v>
      </c>
      <c r="B57" s="4" t="n">
        <v>17</v>
      </c>
      <c r="C57" s="9" t="inlineStr">
        <is>
          <t>Letter Combinations of a Phone Number</t>
        </is>
      </c>
      <c r="D57" s="12" t="inlineStr">
        <is>
          <t>Medium</t>
        </is>
      </c>
      <c r="E57" s="4" t="inlineStr">
        <is>
          <t>Backtracking</t>
        </is>
      </c>
      <c r="F57" s="4" t="inlineStr">
        <is>
          <t>Cartesian product</t>
        </is>
      </c>
      <c r="G57" s="4" t="inlineStr">
        <is>
          <t>Recursion &amp; Backtracking</t>
        </is>
      </c>
      <c r="H57" s="4" t="inlineStr">
        <is>
          <t>hash-table, string, backtracking</t>
        </is>
      </c>
      <c r="I57" s="4" t="inlineStr">
        <is>
          <t>Solved</t>
        </is>
      </c>
      <c r="J57" s="11" t="n">
        <v>45007.49783564815</v>
      </c>
      <c r="K57" s="11" t="n">
        <v>45007.49783564815</v>
      </c>
      <c r="L57" s="11" t="n">
        <v>45318.45364583333</v>
      </c>
      <c r="M57" s="4" t="n">
        <v>9</v>
      </c>
      <c r="N57" s="4" t="n">
        <v>9</v>
      </c>
      <c r="O57" s="4" t="n">
        <v>0</v>
      </c>
      <c r="P57" s="4">
        <f>IF(AND(N57&gt;0,O57=0),"Yes","No")</f>
        <v/>
      </c>
      <c r="Q57" s="4" t="n">
        <v>0</v>
      </c>
      <c r="R57" s="4" t="n">
        <v>0</v>
      </c>
      <c r="S57" s="4" t="n">
        <v>0</v>
      </c>
      <c r="T57" s="4" t="inlineStr">
        <is>
          <t>C++, Python, Python3</t>
        </is>
      </c>
      <c r="U57" s="4" t="n">
        <v>100</v>
      </c>
      <c r="V57" s="9" t="inlineStr">
        <is>
          <t>Submission 1157970096</t>
        </is>
      </c>
      <c r="W57" s="9" t="inlineStr">
        <is>
          <t>Open code</t>
        </is>
      </c>
      <c r="X57" s="4" t="n">
        <v>1</v>
      </c>
      <c r="Y57" s="4" t="inlineStr">
        <is>
          <t>2023-03</t>
        </is>
      </c>
    </row>
    <row r="58">
      <c r="A58" s="4" t="n">
        <v>57</v>
      </c>
      <c r="B58" s="4" t="n">
        <v>78</v>
      </c>
      <c r="C58" s="9" t="inlineStr">
        <is>
          <t>Subsets</t>
        </is>
      </c>
      <c r="D58" s="12" t="inlineStr">
        <is>
          <t>Medium</t>
        </is>
      </c>
      <c r="E58" s="4" t="inlineStr">
        <is>
          <t>Backtracking</t>
        </is>
      </c>
      <c r="F58" s="4" t="inlineStr">
        <is>
          <t>Subsets</t>
        </is>
      </c>
      <c r="G58" s="4" t="inlineStr">
        <is>
          <t>Recursion &amp; Backtracking</t>
        </is>
      </c>
      <c r="H58" s="4" t="inlineStr">
        <is>
          <t>array, backtracking, bit-manipulation</t>
        </is>
      </c>
      <c r="I58" s="4" t="inlineStr">
        <is>
          <t>Solved</t>
        </is>
      </c>
      <c r="J58" s="11" t="n">
        <v>45007.52444444445</v>
      </c>
      <c r="K58" s="11" t="n">
        <v>45007.52444444445</v>
      </c>
      <c r="L58" s="11" t="n">
        <v>45044.46451388889</v>
      </c>
      <c r="M58" s="4" t="n">
        <v>4</v>
      </c>
      <c r="N58" s="4" t="n">
        <v>4</v>
      </c>
      <c r="O58" s="4" t="n">
        <v>0</v>
      </c>
      <c r="P58" s="4">
        <f>IF(AND(N58&gt;0,O58=0),"Yes","No")</f>
        <v/>
      </c>
      <c r="Q58" s="4" t="n">
        <v>0</v>
      </c>
      <c r="R58" s="4" t="n">
        <v>0</v>
      </c>
      <c r="S58" s="4" t="n">
        <v>0</v>
      </c>
      <c r="T58" s="4" t="inlineStr">
        <is>
          <t>C++</t>
        </is>
      </c>
      <c r="U58" s="4" t="n">
        <v>9.5</v>
      </c>
      <c r="V58" s="9" t="inlineStr">
        <is>
          <t>Submission 940946290</t>
        </is>
      </c>
      <c r="W58" s="9" t="inlineStr">
        <is>
          <t>Open code</t>
        </is>
      </c>
      <c r="X58" s="4" t="n">
        <v>2</v>
      </c>
      <c r="Y58" s="4" t="inlineStr">
        <is>
          <t>2023-03</t>
        </is>
      </c>
    </row>
    <row r="59">
      <c r="A59" s="4" t="n">
        <v>58</v>
      </c>
      <c r="B59" s="4" t="n">
        <v>90</v>
      </c>
      <c r="C59" s="9" t="inlineStr">
        <is>
          <t>Subsets II</t>
        </is>
      </c>
      <c r="D59" s="12" t="inlineStr">
        <is>
          <t>Medium</t>
        </is>
      </c>
      <c r="E59" s="4" t="inlineStr">
        <is>
          <t>Backtracking</t>
        </is>
      </c>
      <c r="F59" s="4" t="inlineStr">
        <is>
          <t>Subsets with duplicates</t>
        </is>
      </c>
      <c r="G59" s="4" t="inlineStr">
        <is>
          <t>Recursion &amp; Backtracking</t>
        </is>
      </c>
      <c r="H59" s="4" t="inlineStr">
        <is>
          <t>array, backtracking, bit-manipulation</t>
        </is>
      </c>
      <c r="I59" s="4" t="inlineStr">
        <is>
          <t>Solved</t>
        </is>
      </c>
      <c r="J59" s="11" t="n">
        <v>45007.54494212963</v>
      </c>
      <c r="K59" s="11" t="n">
        <v>45007.54541666667</v>
      </c>
      <c r="L59" s="11" t="n">
        <v>45044.465625</v>
      </c>
      <c r="M59" s="4" t="n">
        <v>3</v>
      </c>
      <c r="N59" s="4" t="n">
        <v>2</v>
      </c>
      <c r="O59" s="4" t="n">
        <v>1</v>
      </c>
      <c r="P59" s="4">
        <f>IF(AND(N59&gt;0,O59=0),"Yes","No")</f>
        <v/>
      </c>
      <c r="Q59" s="4" t="n">
        <v>1</v>
      </c>
      <c r="R59" s="4" t="n">
        <v>0</v>
      </c>
      <c r="S59" s="4" t="n">
        <v>0</v>
      </c>
      <c r="T59" s="4" t="inlineStr">
        <is>
          <t>C++</t>
        </is>
      </c>
      <c r="U59" s="4" t="n">
        <v>100</v>
      </c>
      <c r="V59" s="9" t="inlineStr">
        <is>
          <t>Submission 940946848</t>
        </is>
      </c>
      <c r="W59" s="9" t="inlineStr">
        <is>
          <t>Open code</t>
        </is>
      </c>
      <c r="X59" s="4" t="n">
        <v>0</v>
      </c>
      <c r="Y59" s="4" t="inlineStr">
        <is>
          <t>2023-03</t>
        </is>
      </c>
    </row>
    <row r="60">
      <c r="A60" s="4" t="n">
        <v>59</v>
      </c>
      <c r="B60" s="4" t="n">
        <v>46</v>
      </c>
      <c r="C60" s="9" t="inlineStr">
        <is>
          <t>Permutations</t>
        </is>
      </c>
      <c r="D60" s="12" t="inlineStr">
        <is>
          <t>Medium</t>
        </is>
      </c>
      <c r="E60" s="4" t="inlineStr">
        <is>
          <t>Backtracking</t>
        </is>
      </c>
      <c r="F60" s="4" t="inlineStr">
        <is>
          <t>Permutations</t>
        </is>
      </c>
      <c r="G60" s="4" t="inlineStr">
        <is>
          <t>Recursion &amp; Backtracking</t>
        </is>
      </c>
      <c r="H60" s="4" t="inlineStr">
        <is>
          <t>array, backtracking</t>
        </is>
      </c>
      <c r="I60" s="4" t="inlineStr">
        <is>
          <t>Solved</t>
        </is>
      </c>
      <c r="J60" s="11" t="n">
        <v>45007.56688657407</v>
      </c>
      <c r="K60" s="11" t="n">
        <v>45007.56688657407</v>
      </c>
      <c r="L60" s="11" t="n">
        <v>45044.48567129629</v>
      </c>
      <c r="M60" s="4" t="n">
        <v>2</v>
      </c>
      <c r="N60" s="4" t="n">
        <v>2</v>
      </c>
      <c r="O60" s="4" t="n">
        <v>0</v>
      </c>
      <c r="P60" s="4">
        <f>IF(AND(N60&gt;0,O60=0),"Yes","No")</f>
        <v/>
      </c>
      <c r="Q60" s="4" t="n">
        <v>0</v>
      </c>
      <c r="R60" s="4" t="n">
        <v>0</v>
      </c>
      <c r="S60" s="4" t="n">
        <v>0</v>
      </c>
      <c r="T60" s="4" t="inlineStr">
        <is>
          <t>C++</t>
        </is>
      </c>
      <c r="U60" s="4" t="n">
        <v>9.4</v>
      </c>
      <c r="V60" s="9" t="inlineStr">
        <is>
          <t>Submission 940957460</t>
        </is>
      </c>
      <c r="W60" s="9" t="inlineStr">
        <is>
          <t>Open code</t>
        </is>
      </c>
      <c r="X60" s="4" t="n">
        <v>4</v>
      </c>
      <c r="Y60" s="4" t="inlineStr">
        <is>
          <t>2023-03</t>
        </is>
      </c>
    </row>
    <row r="61">
      <c r="A61" s="4" t="n">
        <v>60</v>
      </c>
      <c r="B61" s="4" t="n">
        <v>47</v>
      </c>
      <c r="C61" s="9" t="inlineStr">
        <is>
          <t>Permutations II</t>
        </is>
      </c>
      <c r="D61" s="12" t="inlineStr">
        <is>
          <t>Medium</t>
        </is>
      </c>
      <c r="E61" s="4" t="inlineStr">
        <is>
          <t>Backtracking</t>
        </is>
      </c>
      <c r="F61" s="4" t="inlineStr">
        <is>
          <t>Permutations with duplicates</t>
        </is>
      </c>
      <c r="G61" s="4" t="inlineStr">
        <is>
          <t>Recursion &amp; Backtracking</t>
        </is>
      </c>
      <c r="H61" s="4" t="inlineStr">
        <is>
          <t>array, backtracking, sorting</t>
        </is>
      </c>
      <c r="I61" s="4" t="inlineStr">
        <is>
          <t>Solved</t>
        </is>
      </c>
      <c r="J61" s="11" t="n">
        <v>45007.5738425926</v>
      </c>
      <c r="K61" s="11" t="n">
        <v>45007.57434027778</v>
      </c>
      <c r="L61" s="11" t="n">
        <v>45007.57434027778</v>
      </c>
      <c r="M61" s="4" t="n">
        <v>2</v>
      </c>
      <c r="N61" s="4" t="n">
        <v>1</v>
      </c>
      <c r="O61" s="4" t="n">
        <v>1</v>
      </c>
      <c r="P61" s="4">
        <f>IF(AND(N61&gt;0,O61=0),"Yes","No")</f>
        <v/>
      </c>
      <c r="Q61" s="4" t="n">
        <v>1</v>
      </c>
      <c r="R61" s="4" t="n">
        <v>0</v>
      </c>
      <c r="S61" s="4" t="n">
        <v>0</v>
      </c>
      <c r="T61" s="4" t="inlineStr">
        <is>
          <t>C++</t>
        </is>
      </c>
      <c r="U61" s="4" t="n">
        <v>27.4</v>
      </c>
      <c r="V61" s="9" t="inlineStr">
        <is>
          <t>Submission 920000773</t>
        </is>
      </c>
      <c r="W61" s="9" t="inlineStr">
        <is>
          <t>Open code</t>
        </is>
      </c>
      <c r="X61" s="4" t="n">
        <v>2</v>
      </c>
      <c r="Y61" s="4" t="inlineStr">
        <is>
          <t>2023-03</t>
        </is>
      </c>
    </row>
    <row r="62">
      <c r="A62" s="4" t="n">
        <v>61</v>
      </c>
      <c r="B62" s="4" t="n">
        <v>127</v>
      </c>
      <c r="C62" s="9" t="inlineStr">
        <is>
          <t>Word Ladder</t>
        </is>
      </c>
      <c r="D62" s="13" t="inlineStr">
        <is>
          <t>Hard</t>
        </is>
      </c>
      <c r="E62" s="4" t="inlineStr">
        <is>
          <t>Graph: General BFS/DFS</t>
        </is>
      </c>
      <c r="F62" s="4" t="inlineStr">
        <is>
          <t>BFS on implicit graph</t>
        </is>
      </c>
      <c r="G62" s="4" t="inlineStr">
        <is>
          <t>Graphs</t>
        </is>
      </c>
      <c r="H62" s="4" t="inlineStr">
        <is>
          <t>hash-table, string, breadth-first-search, bidirectional-search</t>
        </is>
      </c>
      <c r="I62" s="4" t="inlineStr">
        <is>
          <t>Solved</t>
        </is>
      </c>
      <c r="J62" s="11" t="n">
        <v>45007.7759375</v>
      </c>
      <c r="K62" s="11" t="n">
        <v>45007.7759375</v>
      </c>
      <c r="L62" s="11" t="n">
        <v>45213.35627314815</v>
      </c>
      <c r="M62" s="4" t="n">
        <v>5</v>
      </c>
      <c r="N62" s="4" t="n">
        <v>5</v>
      </c>
      <c r="O62" s="4" t="n">
        <v>0</v>
      </c>
      <c r="P62" s="4">
        <f>IF(AND(N62&gt;0,O62=0),"Yes","No")</f>
        <v/>
      </c>
      <c r="Q62" s="4" t="n">
        <v>0</v>
      </c>
      <c r="R62" s="4" t="n">
        <v>0</v>
      </c>
      <c r="S62" s="4" t="n">
        <v>0</v>
      </c>
      <c r="T62" s="4" t="inlineStr">
        <is>
          <t>C++</t>
        </is>
      </c>
      <c r="U62" s="4" t="n">
        <v>47.9</v>
      </c>
      <c r="V62" s="9" t="inlineStr">
        <is>
          <t>Submission 1074675001</t>
        </is>
      </c>
      <c r="W62" s="9" t="inlineStr">
        <is>
          <t>Open code</t>
        </is>
      </c>
      <c r="X62" s="4" t="n">
        <v>3</v>
      </c>
      <c r="Y62" s="4" t="inlineStr">
        <is>
          <t>2023-03</t>
        </is>
      </c>
    </row>
    <row r="63">
      <c r="A63" s="4" t="n">
        <v>62</v>
      </c>
      <c r="B63" s="4" t="n">
        <v>126</v>
      </c>
      <c r="C63" s="9" t="inlineStr">
        <is>
          <t>Word Ladder II</t>
        </is>
      </c>
      <c r="D63" s="13" t="inlineStr">
        <is>
          <t>Hard</t>
        </is>
      </c>
      <c r="E63" s="4" t="inlineStr">
        <is>
          <t>Graph: General BFS/DFS</t>
        </is>
      </c>
      <c r="F63" s="4" t="inlineStr">
        <is>
          <t>BFS layers + path backtrack</t>
        </is>
      </c>
      <c r="G63" s="4" t="inlineStr">
        <is>
          <t>Graphs</t>
        </is>
      </c>
      <c r="H63" s="4" t="inlineStr">
        <is>
          <t>hash-table, string, backtracking, breadth-first-search, bidirectional-search</t>
        </is>
      </c>
      <c r="I63" s="4" t="inlineStr">
        <is>
          <t>Solved</t>
        </is>
      </c>
      <c r="J63" s="11" t="n">
        <v>45007.83042824074</v>
      </c>
      <c r="K63" s="11" t="n">
        <v>45007.8328125</v>
      </c>
      <c r="L63" s="11" t="n">
        <v>45213.37482638889</v>
      </c>
      <c r="M63" s="4" t="n">
        <v>10</v>
      </c>
      <c r="N63" s="4" t="n">
        <v>6</v>
      </c>
      <c r="O63" s="4" t="n">
        <v>1</v>
      </c>
      <c r="P63" s="4">
        <f>IF(AND(N63&gt;0,O63=0),"Yes","No")</f>
        <v/>
      </c>
      <c r="Q63" s="4" t="n">
        <v>0</v>
      </c>
      <c r="R63" s="4" t="n">
        <v>1</v>
      </c>
      <c r="S63" s="4" t="n">
        <v>0</v>
      </c>
      <c r="T63" s="4" t="inlineStr">
        <is>
          <t>C++</t>
        </is>
      </c>
      <c r="U63" s="4" t="n">
        <v>5</v>
      </c>
      <c r="V63" s="9" t="inlineStr">
        <is>
          <t>Submission 1074684278</t>
        </is>
      </c>
      <c r="W63" s="9" t="inlineStr">
        <is>
          <t>Open code</t>
        </is>
      </c>
      <c r="X63" s="4" t="n">
        <v>0</v>
      </c>
      <c r="Y63" s="4" t="inlineStr">
        <is>
          <t>2023-03</t>
        </is>
      </c>
    </row>
    <row r="64">
      <c r="A64" s="4" t="n">
        <v>63</v>
      </c>
      <c r="B64" s="4" t="n">
        <v>286</v>
      </c>
      <c r="C64" s="9" t="inlineStr">
        <is>
          <t>Walls and Gates</t>
        </is>
      </c>
      <c r="D64" s="12" t="inlineStr">
        <is>
          <t>Medium</t>
        </is>
      </c>
      <c r="E64" s="4" t="inlineStr">
        <is>
          <t>Graph: Grid BFS/DFS</t>
        </is>
      </c>
      <c r="F64" s="4" t="inlineStr">
        <is>
          <t>Multi-source BFS</t>
        </is>
      </c>
      <c r="G64" s="4" t="inlineStr">
        <is>
          <t>Graphs</t>
        </is>
      </c>
      <c r="H64" s="4" t="inlineStr">
        <is>
          <t>array, breadth-first-search, matrix</t>
        </is>
      </c>
      <c r="I64" s="4" t="inlineStr">
        <is>
          <t>Solved</t>
        </is>
      </c>
      <c r="J64" s="11" t="n">
        <v>45007.94464120371</v>
      </c>
      <c r="K64" s="11" t="n">
        <v>45007.94464120371</v>
      </c>
      <c r="L64" s="11" t="n">
        <v>45007.94517361111</v>
      </c>
      <c r="M64" s="4" t="n">
        <v>2</v>
      </c>
      <c r="N64" s="4" t="n">
        <v>2</v>
      </c>
      <c r="O64" s="4" t="n">
        <v>0</v>
      </c>
      <c r="P64" s="4">
        <f>IF(AND(N64&gt;0,O64=0),"Yes","No")</f>
        <v/>
      </c>
      <c r="Q64" s="4" t="n">
        <v>0</v>
      </c>
      <c r="R64" s="4" t="n">
        <v>0</v>
      </c>
      <c r="S64" s="4" t="n">
        <v>0</v>
      </c>
      <c r="T64" s="4" t="inlineStr">
        <is>
          <t>C++</t>
        </is>
      </c>
      <c r="U64" s="4" t="n">
        <v>20.6</v>
      </c>
      <c r="V64" s="9" t="inlineStr">
        <is>
          <t>Submission 920247969</t>
        </is>
      </c>
      <c r="W64" s="9" t="inlineStr">
        <is>
          <t>Open code</t>
        </is>
      </c>
      <c r="X64" s="4" t="n">
        <v>0</v>
      </c>
      <c r="Y64" s="4" t="inlineStr">
        <is>
          <t>2023-03</t>
        </is>
      </c>
    </row>
    <row r="65">
      <c r="A65" s="4" t="n">
        <v>64</v>
      </c>
      <c r="B65" s="4" t="n">
        <v>301</v>
      </c>
      <c r="C65" s="9" t="inlineStr">
        <is>
          <t>Remove Invalid Parentheses</t>
        </is>
      </c>
      <c r="D65" s="13" t="inlineStr">
        <is>
          <t>Hard</t>
        </is>
      </c>
      <c r="E65" s="4" t="inlineStr">
        <is>
          <t>Backtracking</t>
        </is>
      </c>
      <c r="F65" s="4" t="inlineStr">
        <is>
          <t>BFS/backtrack with pruning</t>
        </is>
      </c>
      <c r="G65" s="4" t="inlineStr">
        <is>
          <t>Recursion &amp; Backtracking</t>
        </is>
      </c>
      <c r="H65" s="4" t="inlineStr">
        <is>
          <t>string, backtracking, breadth-first-search</t>
        </is>
      </c>
      <c r="I65" s="4" t="inlineStr">
        <is>
          <t>Solved</t>
        </is>
      </c>
      <c r="J65" s="11" t="n">
        <v>45007.98645833333</v>
      </c>
      <c r="K65" s="11" t="n">
        <v>45008.00865740741</v>
      </c>
      <c r="L65" s="11" t="n">
        <v>45332.08616898148</v>
      </c>
      <c r="M65" s="4" t="n">
        <v>21</v>
      </c>
      <c r="N65" s="4" t="n">
        <v>15</v>
      </c>
      <c r="O65" s="4" t="n">
        <v>3</v>
      </c>
      <c r="P65" s="4">
        <f>IF(AND(N65&gt;0,O65=0),"Yes","No")</f>
        <v/>
      </c>
      <c r="Q65" s="4" t="n">
        <v>0</v>
      </c>
      <c r="R65" s="4" t="n">
        <v>3</v>
      </c>
      <c r="S65" s="4" t="n">
        <v>0</v>
      </c>
      <c r="T65" s="4" t="inlineStr">
        <is>
          <t>C++, Python3</t>
        </is>
      </c>
      <c r="U65" s="4" t="n">
        <v>72.8</v>
      </c>
      <c r="V65" s="9" t="inlineStr">
        <is>
          <t>Submission 1170933737</t>
        </is>
      </c>
      <c r="W65" s="9" t="inlineStr">
        <is>
          <t>Open code</t>
        </is>
      </c>
      <c r="X65" s="4" t="n">
        <v>0</v>
      </c>
      <c r="Y65" s="4" t="inlineStr">
        <is>
          <t>2023-03</t>
        </is>
      </c>
    </row>
    <row r="66">
      <c r="A66" s="4" t="n">
        <v>65</v>
      </c>
      <c r="B66" s="4" t="n">
        <v>679</v>
      </c>
      <c r="C66" s="9" t="inlineStr">
        <is>
          <t>24 Game</t>
        </is>
      </c>
      <c r="D66" s="13" t="inlineStr">
        <is>
          <t>Hard</t>
        </is>
      </c>
      <c r="E66" s="4" t="inlineStr">
        <is>
          <t>Backtracking</t>
        </is>
      </c>
      <c r="F66" s="4" t="inlineStr">
        <is>
          <t>Search over operations</t>
        </is>
      </c>
      <c r="G66" s="4" t="inlineStr">
        <is>
          <t>Recursion &amp; Backtracking</t>
        </is>
      </c>
      <c r="H66" s="4" t="inlineStr">
        <is>
          <t>array, math, backtracking</t>
        </is>
      </c>
      <c r="I66" s="4" t="inlineStr">
        <is>
          <t>Solved</t>
        </is>
      </c>
      <c r="J66" s="11" t="n">
        <v>45008.0353125</v>
      </c>
      <c r="K66" s="11" t="n">
        <v>45008.0353125</v>
      </c>
      <c r="L66" s="11" t="n">
        <v>45008.0353125</v>
      </c>
      <c r="M66" s="4" t="n">
        <v>1</v>
      </c>
      <c r="N66" s="4" t="n">
        <v>1</v>
      </c>
      <c r="O66" s="4" t="n">
        <v>0</v>
      </c>
      <c r="P66" s="4">
        <f>IF(AND(N66&gt;0,O66=0),"Yes","No")</f>
        <v/>
      </c>
      <c r="Q66" s="4" t="n">
        <v>0</v>
      </c>
      <c r="R66" s="4" t="n">
        <v>0</v>
      </c>
      <c r="S66" s="4" t="n">
        <v>0</v>
      </c>
      <c r="T66" s="4" t="inlineStr">
        <is>
          <t>C++</t>
        </is>
      </c>
      <c r="U66" s="4" t="n">
        <v>32.8</v>
      </c>
      <c r="V66" s="9" t="inlineStr">
        <is>
          <t>Submission 920324278</t>
        </is>
      </c>
      <c r="W66" s="9" t="inlineStr">
        <is>
          <t>Open code</t>
        </is>
      </c>
      <c r="X66" s="4" t="n">
        <v>0</v>
      </c>
      <c r="Y66" s="4" t="inlineStr">
        <is>
          <t>2023-03</t>
        </is>
      </c>
    </row>
    <row r="67">
      <c r="A67" s="4" t="n">
        <v>66</v>
      </c>
      <c r="B67" s="4" t="n">
        <v>695</v>
      </c>
      <c r="C67" s="9" t="inlineStr">
        <is>
          <t>Max Area of Island</t>
        </is>
      </c>
      <c r="D67" s="12" t="inlineStr">
        <is>
          <t>Medium</t>
        </is>
      </c>
      <c r="E67" s="4" t="inlineStr">
        <is>
          <t>Graph: Grid BFS/DFS</t>
        </is>
      </c>
      <c r="F67" s="4" t="inlineStr">
        <is>
          <t>Flood fill with area</t>
        </is>
      </c>
      <c r="G67" s="4" t="inlineStr">
        <is>
          <t>Graphs</t>
        </is>
      </c>
      <c r="H67" s="4" t="inlineStr">
        <is>
          <t>array, depth-first-search, breadth-first-search, union-find, matrix</t>
        </is>
      </c>
      <c r="I67" s="4" t="inlineStr">
        <is>
          <t>Solved</t>
        </is>
      </c>
      <c r="J67" s="11" t="n">
        <v>45008.05130787037</v>
      </c>
      <c r="K67" s="11" t="n">
        <v>45008.05408564815</v>
      </c>
      <c r="L67" s="11" t="n">
        <v>45317.18864583333</v>
      </c>
      <c r="M67" s="4" t="n">
        <v>9</v>
      </c>
      <c r="N67" s="4" t="n">
        <v>6</v>
      </c>
      <c r="O67" s="4" t="n">
        <v>1</v>
      </c>
      <c r="P67" s="4">
        <f>IF(AND(N67&gt;0,O67=0),"Yes","No")</f>
        <v/>
      </c>
      <c r="Q67" s="4" t="n">
        <v>0</v>
      </c>
      <c r="R67" s="4" t="n">
        <v>0</v>
      </c>
      <c r="S67" s="4" t="n">
        <v>1</v>
      </c>
      <c r="T67" s="4" t="inlineStr">
        <is>
          <t>C++, Python3</t>
        </is>
      </c>
      <c r="U67" s="4" t="n">
        <v>5.4</v>
      </c>
      <c r="V67" s="9" t="inlineStr">
        <is>
          <t>Submission 1156900936</t>
        </is>
      </c>
      <c r="W67" s="9" t="inlineStr">
        <is>
          <t>Open code</t>
        </is>
      </c>
      <c r="X67" s="4" t="n">
        <v>1</v>
      </c>
      <c r="Y67" s="4" t="inlineStr">
        <is>
          <t>2023-03</t>
        </is>
      </c>
    </row>
    <row r="68">
      <c r="A68" s="4" t="n">
        <v>67</v>
      </c>
      <c r="B68" s="4" t="n">
        <v>815</v>
      </c>
      <c r="C68" s="9" t="inlineStr">
        <is>
          <t>Bus Routes</t>
        </is>
      </c>
      <c r="D68" s="13" t="inlineStr">
        <is>
          <t>Hard</t>
        </is>
      </c>
      <c r="E68" s="4" t="inlineStr">
        <is>
          <t>Graph: General BFS/DFS</t>
        </is>
      </c>
      <c r="F68" s="4" t="inlineStr">
        <is>
          <t>BFS over routes</t>
        </is>
      </c>
      <c r="G68" s="4" t="inlineStr">
        <is>
          <t>Graphs</t>
        </is>
      </c>
      <c r="H68" s="4" t="inlineStr">
        <is>
          <t>array, hash-table, breadth-first-search</t>
        </is>
      </c>
      <c r="I68" s="4" t="inlineStr">
        <is>
          <t>Solved</t>
        </is>
      </c>
      <c r="J68" s="11" t="n">
        <v>45008.09064814815</v>
      </c>
      <c r="K68" s="11" t="n">
        <v>45008.09064814815</v>
      </c>
      <c r="L68" s="11" t="n">
        <v>45008.09087962963</v>
      </c>
      <c r="M68" s="4" t="n">
        <v>2</v>
      </c>
      <c r="N68" s="4" t="n">
        <v>2</v>
      </c>
      <c r="O68" s="4" t="n">
        <v>0</v>
      </c>
      <c r="P68" s="4">
        <f>IF(AND(N68&gt;0,O68=0),"Yes","No")</f>
        <v/>
      </c>
      <c r="Q68" s="4" t="n">
        <v>0</v>
      </c>
      <c r="R68" s="4" t="n">
        <v>0</v>
      </c>
      <c r="S68" s="4" t="n">
        <v>0</v>
      </c>
      <c r="T68" s="4" t="inlineStr">
        <is>
          <t>C++</t>
        </is>
      </c>
      <c r="U68" s="4" t="n">
        <v>28.7</v>
      </c>
      <c r="V68" s="9" t="inlineStr">
        <is>
          <t>Submission 920358035</t>
        </is>
      </c>
      <c r="W68" s="9" t="inlineStr">
        <is>
          <t>Open code</t>
        </is>
      </c>
      <c r="X68" s="4" t="n">
        <v>0</v>
      </c>
      <c r="Y68" s="4" t="inlineStr">
        <is>
          <t>2023-03</t>
        </is>
      </c>
    </row>
    <row r="69">
      <c r="A69" s="4" t="n">
        <v>68</v>
      </c>
      <c r="B69" s="4" t="n">
        <v>934</v>
      </c>
      <c r="C69" s="9" t="inlineStr">
        <is>
          <t>Shortest Bridge</t>
        </is>
      </c>
      <c r="D69" s="12" t="inlineStr">
        <is>
          <t>Medium</t>
        </is>
      </c>
      <c r="E69" s="4" t="inlineStr">
        <is>
          <t>Graph: Grid BFS/DFS</t>
        </is>
      </c>
      <c r="F69" s="4" t="inlineStr">
        <is>
          <t>DFS mark + multi-source BFS</t>
        </is>
      </c>
      <c r="G69" s="4" t="inlineStr">
        <is>
          <t>Graphs</t>
        </is>
      </c>
      <c r="H69" s="4" t="inlineStr">
        <is>
          <t>array, depth-first-search, breadth-first-search, matrix</t>
        </is>
      </c>
      <c r="I69" s="4" t="inlineStr">
        <is>
          <t>Solved</t>
        </is>
      </c>
      <c r="J69" s="11" t="n">
        <v>45008.10582175926</v>
      </c>
      <c r="K69" s="11" t="n">
        <v>45008.10582175926</v>
      </c>
      <c r="L69" s="11" t="n">
        <v>45008.1062962963</v>
      </c>
      <c r="M69" s="4" t="n">
        <v>2</v>
      </c>
      <c r="N69" s="4" t="n">
        <v>2</v>
      </c>
      <c r="O69" s="4" t="n">
        <v>0</v>
      </c>
      <c r="P69" s="4">
        <f>IF(AND(N69&gt;0,O69=0),"Yes","No")</f>
        <v/>
      </c>
      <c r="Q69" s="4" t="n">
        <v>0</v>
      </c>
      <c r="R69" s="4" t="n">
        <v>0</v>
      </c>
      <c r="S69" s="4" t="n">
        <v>0</v>
      </c>
      <c r="T69" s="4" t="inlineStr">
        <is>
          <t>C++</t>
        </is>
      </c>
      <c r="U69" s="4" t="n">
        <v>13.8</v>
      </c>
      <c r="V69" s="9" t="inlineStr">
        <is>
          <t>Submission 920365876</t>
        </is>
      </c>
      <c r="W69" s="9" t="inlineStr">
        <is>
          <t>Open code</t>
        </is>
      </c>
      <c r="X69" s="4" t="n">
        <v>0</v>
      </c>
      <c r="Y69" s="4" t="inlineStr">
        <is>
          <t>2023-03</t>
        </is>
      </c>
    </row>
    <row r="70">
      <c r="A70" s="4" t="n">
        <v>69</v>
      </c>
      <c r="B70" s="4" t="n">
        <v>139</v>
      </c>
      <c r="C70" s="9" t="inlineStr">
        <is>
          <t>Word Break</t>
        </is>
      </c>
      <c r="D70" s="12" t="inlineStr">
        <is>
          <t>Medium</t>
        </is>
      </c>
      <c r="E70" s="4" t="inlineStr">
        <is>
          <t>DP: 1D / Linear</t>
        </is>
      </c>
      <c r="F70" s="4" t="inlineStr">
        <is>
          <t>Word segmentation</t>
        </is>
      </c>
      <c r="G70" s="4" t="inlineStr">
        <is>
          <t>Dynamic Programming</t>
        </is>
      </c>
      <c r="H70" s="4" t="inlineStr">
        <is>
          <t>array, hash-table, string, dynamic-programming, trie, memoization, brute-force-search</t>
        </is>
      </c>
      <c r="I70" s="4" t="inlineStr">
        <is>
          <t>Solved</t>
        </is>
      </c>
      <c r="J70" s="11" t="n">
        <v>45008.56858796296</v>
      </c>
      <c r="K70" s="11" t="n">
        <v>45008.56858796296</v>
      </c>
      <c r="L70" s="11" t="n">
        <v>45331.81553240741</v>
      </c>
      <c r="M70" s="4" t="n">
        <v>16</v>
      </c>
      <c r="N70" s="4" t="n">
        <v>15</v>
      </c>
      <c r="O70" s="4" t="n">
        <v>0</v>
      </c>
      <c r="P70" s="4">
        <f>IF(AND(N70&gt;0,O70=0),"Yes","No")</f>
        <v/>
      </c>
      <c r="Q70" s="4" t="n">
        <v>0</v>
      </c>
      <c r="R70" s="4" t="n">
        <v>0</v>
      </c>
      <c r="S70" s="4" t="n">
        <v>0</v>
      </c>
      <c r="T70" s="4" t="inlineStr">
        <is>
          <t>C++, Python3</t>
        </is>
      </c>
      <c r="U70" s="4" t="n">
        <v>53.6</v>
      </c>
      <c r="V70" s="9" t="inlineStr">
        <is>
          <t>Submission 1170645773</t>
        </is>
      </c>
      <c r="W70" s="9" t="inlineStr">
        <is>
          <t>Open code</t>
        </is>
      </c>
      <c r="X70" s="4" t="n">
        <v>2</v>
      </c>
      <c r="Y70" s="4" t="inlineStr">
        <is>
          <t>2023-03</t>
        </is>
      </c>
    </row>
    <row r="71">
      <c r="A71" s="4" t="n">
        <v>70</v>
      </c>
      <c r="B71" s="4" t="n">
        <v>140</v>
      </c>
      <c r="C71" s="9" t="inlineStr">
        <is>
          <t>Word Break II</t>
        </is>
      </c>
      <c r="D71" s="13" t="inlineStr">
        <is>
          <t>Hard</t>
        </is>
      </c>
      <c r="E71" s="4" t="inlineStr">
        <is>
          <t>Backtracking</t>
        </is>
      </c>
      <c r="F71" s="4" t="inlineStr">
        <is>
          <t>Memoized segmentation</t>
        </is>
      </c>
      <c r="G71" s="4" t="inlineStr">
        <is>
          <t>Recursion &amp; Backtracking</t>
        </is>
      </c>
      <c r="H71" s="4" t="inlineStr">
        <is>
          <t>array, hash-table, string, dynamic-programming, backtracking, trie, memoization</t>
        </is>
      </c>
      <c r="I71" s="4" t="inlineStr">
        <is>
          <t>Solved</t>
        </is>
      </c>
      <c r="J71" s="11" t="n">
        <v>45008.59640046296</v>
      </c>
      <c r="K71" s="11" t="n">
        <v>45008.59640046296</v>
      </c>
      <c r="L71" s="11" t="n">
        <v>45328.49771990741</v>
      </c>
      <c r="M71" s="4" t="n">
        <v>16</v>
      </c>
      <c r="N71" s="4" t="n">
        <v>14</v>
      </c>
      <c r="O71" s="4" t="n">
        <v>0</v>
      </c>
      <c r="P71" s="4">
        <f>IF(AND(N71&gt;0,O71=0),"Yes","No")</f>
        <v/>
      </c>
      <c r="Q71" s="4" t="n">
        <v>0</v>
      </c>
      <c r="R71" s="4" t="n">
        <v>0</v>
      </c>
      <c r="S71" s="4" t="n">
        <v>0</v>
      </c>
      <c r="T71" s="4" t="inlineStr">
        <is>
          <t>C++, Python3</t>
        </is>
      </c>
      <c r="U71" s="4" t="n">
        <v>100</v>
      </c>
      <c r="V71" s="9" t="inlineStr">
        <is>
          <t>Submission 1167527618</t>
        </is>
      </c>
      <c r="W71" s="9" t="inlineStr">
        <is>
          <t>Open code</t>
        </is>
      </c>
      <c r="X71" s="4" t="n">
        <v>2</v>
      </c>
      <c r="Y71" s="4" t="inlineStr">
        <is>
          <t>2023-03</t>
        </is>
      </c>
    </row>
    <row r="72">
      <c r="A72" s="4" t="n">
        <v>71</v>
      </c>
      <c r="B72" s="4" t="n">
        <v>279</v>
      </c>
      <c r="C72" s="9" t="inlineStr">
        <is>
          <t>Perfect Squares</t>
        </is>
      </c>
      <c r="D72" s="12" t="inlineStr">
        <is>
          <t>Medium</t>
        </is>
      </c>
      <c r="E72" s="4" t="inlineStr">
        <is>
          <t>DP: Knapsack / Subset</t>
        </is>
      </c>
      <c r="F72" s="4" t="inlineStr">
        <is>
          <t>Unbounded, min count</t>
        </is>
      </c>
      <c r="G72" s="4" t="inlineStr">
        <is>
          <t>Dynamic Programming</t>
        </is>
      </c>
      <c r="H72" s="4" t="inlineStr">
        <is>
          <t>math, dynamic-programming, breadth-first-search, knapsack-problem, complete-knapsack</t>
        </is>
      </c>
      <c r="I72" s="4" t="inlineStr">
        <is>
          <t>Solved</t>
        </is>
      </c>
      <c r="J72" s="11" t="n">
        <v>45008.62847222222</v>
      </c>
      <c r="K72" s="11" t="n">
        <v>45008.62847222222</v>
      </c>
      <c r="L72" s="11" t="n">
        <v>45008.64555555556</v>
      </c>
      <c r="M72" s="4" t="n">
        <v>3</v>
      </c>
      <c r="N72" s="4" t="n">
        <v>3</v>
      </c>
      <c r="O72" s="4" t="n">
        <v>0</v>
      </c>
      <c r="P72" s="4">
        <f>IF(AND(N72&gt;0,O72=0),"Yes","No")</f>
        <v/>
      </c>
      <c r="Q72" s="4" t="n">
        <v>0</v>
      </c>
      <c r="R72" s="4" t="n">
        <v>0</v>
      </c>
      <c r="S72" s="4" t="n">
        <v>0</v>
      </c>
      <c r="T72" s="4" t="inlineStr">
        <is>
          <t>C++</t>
        </is>
      </c>
      <c r="U72" s="4" t="n">
        <v>96.3</v>
      </c>
      <c r="V72" s="9" t="inlineStr">
        <is>
          <t>Submission 920639644</t>
        </is>
      </c>
      <c r="W72" s="9" t="inlineStr">
        <is>
          <t>Open code</t>
        </is>
      </c>
      <c r="X72" s="4" t="n">
        <v>0</v>
      </c>
      <c r="Y72" s="4" t="inlineStr">
        <is>
          <t>2023-03</t>
        </is>
      </c>
    </row>
    <row r="73">
      <c r="A73" s="4" t="n">
        <v>72</v>
      </c>
      <c r="B73" s="4" t="n">
        <v>300</v>
      </c>
      <c r="C73" s="9" t="inlineStr">
        <is>
          <t>Longest Increasing Subsequence</t>
        </is>
      </c>
      <c r="D73" s="12" t="inlineStr">
        <is>
          <t>Medium</t>
        </is>
      </c>
      <c r="E73" s="4" t="inlineStr">
        <is>
          <t>DP: LIS Family</t>
        </is>
      </c>
      <c r="F73" s="4" t="inlineStr">
        <is>
          <t>LIS (patience sort)</t>
        </is>
      </c>
      <c r="G73" s="4" t="inlineStr">
        <is>
          <t>Dynamic Programming</t>
        </is>
      </c>
      <c r="H73" s="4" t="inlineStr">
        <is>
          <t>array, binary-search, dynamic-programming, longest-increasing-subsequence</t>
        </is>
      </c>
      <c r="I73" s="4" t="inlineStr">
        <is>
          <t>Solved</t>
        </is>
      </c>
      <c r="J73" s="11" t="n">
        <v>45008.68667824074</v>
      </c>
      <c r="K73" s="11" t="n">
        <v>45008.68667824074</v>
      </c>
      <c r="L73" s="11" t="n">
        <v>45050.27410879629</v>
      </c>
      <c r="M73" s="4" t="n">
        <v>7</v>
      </c>
      <c r="N73" s="4" t="n">
        <v>7</v>
      </c>
      <c r="O73" s="4" t="n">
        <v>0</v>
      </c>
      <c r="P73" s="4">
        <f>IF(AND(N73&gt;0,O73=0),"Yes","No")</f>
        <v/>
      </c>
      <c r="Q73" s="4" t="n">
        <v>0</v>
      </c>
      <c r="R73" s="4" t="n">
        <v>0</v>
      </c>
      <c r="S73" s="4" t="n">
        <v>0</v>
      </c>
      <c r="T73" s="4" t="inlineStr">
        <is>
          <t>C++</t>
        </is>
      </c>
      <c r="U73" s="4" t="n">
        <v>40.3</v>
      </c>
      <c r="V73" s="9" t="inlineStr">
        <is>
          <t>Submission 944091398</t>
        </is>
      </c>
      <c r="W73" s="9" t="inlineStr">
        <is>
          <t>Open code</t>
        </is>
      </c>
      <c r="X73" s="4" t="n">
        <v>2</v>
      </c>
      <c r="Y73" s="4" t="inlineStr">
        <is>
          <t>2023-03</t>
        </is>
      </c>
    </row>
    <row r="74">
      <c r="A74" s="4" t="n">
        <v>73</v>
      </c>
      <c r="B74" s="4" t="n">
        <v>354</v>
      </c>
      <c r="C74" s="9" t="inlineStr">
        <is>
          <t>Russian Doll Envelopes</t>
        </is>
      </c>
      <c r="D74" s="13" t="inlineStr">
        <is>
          <t>Hard</t>
        </is>
      </c>
      <c r="E74" s="4" t="inlineStr">
        <is>
          <t>DP: LIS Family</t>
        </is>
      </c>
      <c r="F74" s="4" t="inlineStr">
        <is>
          <t>2D LIS</t>
        </is>
      </c>
      <c r="G74" s="4" t="inlineStr">
        <is>
          <t>Dynamic Programming</t>
        </is>
      </c>
      <c r="H74" s="4" t="inlineStr">
        <is>
          <t>array, binary-search, dynamic-programming, sorting, longest-increasing-subsequence</t>
        </is>
      </c>
      <c r="I74" s="4" t="inlineStr">
        <is>
          <t>Solved</t>
        </is>
      </c>
      <c r="J74" s="11" t="n">
        <v>45008.70851851852</v>
      </c>
      <c r="K74" s="11" t="n">
        <v>45008.73854166667</v>
      </c>
      <c r="L74" s="11" t="n">
        <v>45008.76133101852</v>
      </c>
      <c r="M74" s="4" t="n">
        <v>6</v>
      </c>
      <c r="N74" s="4" t="n">
        <v>3</v>
      </c>
      <c r="O74" s="4" t="n">
        <v>3</v>
      </c>
      <c r="P74" s="4">
        <f>IF(AND(N74&gt;0,O74=0),"Yes","No")</f>
        <v/>
      </c>
      <c r="Q74" s="4" t="n">
        <v>2</v>
      </c>
      <c r="R74" s="4" t="n">
        <v>0</v>
      </c>
      <c r="S74" s="4" t="n">
        <v>1</v>
      </c>
      <c r="T74" s="4" t="inlineStr">
        <is>
          <t>C++</t>
        </is>
      </c>
      <c r="U74" s="4" t="n">
        <v>8</v>
      </c>
      <c r="V74" s="9" t="inlineStr">
        <is>
          <t>Submission 920705425</t>
        </is>
      </c>
      <c r="W74" s="9" t="inlineStr">
        <is>
          <t>Open code</t>
        </is>
      </c>
      <c r="X74" s="4" t="n">
        <v>4</v>
      </c>
      <c r="Y74" s="4" t="inlineStr">
        <is>
          <t>2023-03</t>
        </is>
      </c>
    </row>
    <row r="75">
      <c r="A75" s="4" t="n">
        <v>74</v>
      </c>
      <c r="B75" s="4" t="n">
        <v>568</v>
      </c>
      <c r="C75" s="9" t="inlineStr">
        <is>
          <t>Maximum Vacation Days</t>
        </is>
      </c>
      <c r="D75" s="13" t="inlineStr">
        <is>
          <t>Hard</t>
        </is>
      </c>
      <c r="E75" s="4" t="inlineStr">
        <is>
          <t>DP: Grid / 2D</t>
        </is>
      </c>
      <c r="F75" s="4" t="inlineStr">
        <is>
          <t>Week x city DP</t>
        </is>
      </c>
      <c r="G75" s="4" t="inlineStr">
        <is>
          <t>Dynamic Programming</t>
        </is>
      </c>
      <c r="H75" s="4" t="inlineStr">
        <is>
          <t>array, dynamic-programming, matrix</t>
        </is>
      </c>
      <c r="I75" s="4" t="inlineStr">
        <is>
          <t>Solved</t>
        </is>
      </c>
      <c r="J75" s="11" t="n">
        <v>45008.78752314814</v>
      </c>
      <c r="K75" s="11" t="n">
        <v>45008.78984953704</v>
      </c>
      <c r="L75" s="11" t="n">
        <v>45008.79329861111</v>
      </c>
      <c r="M75" s="4" t="n">
        <v>3</v>
      </c>
      <c r="N75" s="4" t="n">
        <v>2</v>
      </c>
      <c r="O75" s="4" t="n">
        <v>1</v>
      </c>
      <c r="P75" s="4">
        <f>IF(AND(N75&gt;0,O75=0),"Yes","No")</f>
        <v/>
      </c>
      <c r="Q75" s="4" t="n">
        <v>0</v>
      </c>
      <c r="R75" s="4" t="n">
        <v>1</v>
      </c>
      <c r="S75" s="4" t="n">
        <v>0</v>
      </c>
      <c r="T75" s="4" t="inlineStr">
        <is>
          <t>C++</t>
        </is>
      </c>
      <c r="U75" s="4" t="n">
        <v>9.1</v>
      </c>
      <c r="V75" s="9" t="inlineStr">
        <is>
          <t>Submission 920726001</t>
        </is>
      </c>
      <c r="W75" s="9" t="inlineStr">
        <is>
          <t>Open code</t>
        </is>
      </c>
      <c r="X75" s="4" t="n">
        <v>0</v>
      </c>
      <c r="Y75" s="4" t="inlineStr">
        <is>
          <t>2023-03</t>
        </is>
      </c>
    </row>
    <row r="76">
      <c r="A76" s="4" t="n">
        <v>75</v>
      </c>
      <c r="B76" s="4" t="n">
        <v>2421</v>
      </c>
      <c r="C76" s="9" t="inlineStr">
        <is>
          <t>Number of Good Paths</t>
        </is>
      </c>
      <c r="D76" s="13" t="inlineStr">
        <is>
          <t>Hard</t>
        </is>
      </c>
      <c r="E76" s="4" t="inlineStr">
        <is>
          <t>Graph: Union-Find</t>
        </is>
      </c>
      <c r="F76" s="4" t="inlineStr">
        <is>
          <t>Sort by value + DSU</t>
        </is>
      </c>
      <c r="G76" s="4" t="inlineStr">
        <is>
          <t>Graphs</t>
        </is>
      </c>
      <c r="H76" s="4" t="inlineStr">
        <is>
          <t>array, hash-table, tree, union-find, graph, sorting</t>
        </is>
      </c>
      <c r="I76" s="4" t="inlineStr">
        <is>
          <t>Solved</t>
        </is>
      </c>
      <c r="J76" s="11" t="n">
        <v>45008.96503472222</v>
      </c>
      <c r="K76" s="11" t="n">
        <v>45008.96503472222</v>
      </c>
      <c r="L76" s="11" t="n">
        <v>45008.96503472222</v>
      </c>
      <c r="M76" s="4" t="n">
        <v>1</v>
      </c>
      <c r="N76" s="4" t="n">
        <v>1</v>
      </c>
      <c r="O76" s="4" t="n">
        <v>0</v>
      </c>
      <c r="P76" s="4">
        <f>IF(AND(N76&gt;0,O76=0),"Yes","No")</f>
        <v/>
      </c>
      <c r="Q76" s="4" t="n">
        <v>0</v>
      </c>
      <c r="R76" s="4" t="n">
        <v>0</v>
      </c>
      <c r="S76" s="4" t="n">
        <v>0</v>
      </c>
      <c r="T76" s="4" t="inlineStr">
        <is>
          <t>C++</t>
        </is>
      </c>
      <c r="U76" s="4" t="n">
        <v>5.1</v>
      </c>
      <c r="V76" s="9" t="inlineStr">
        <is>
          <t>Submission 920861130</t>
        </is>
      </c>
      <c r="W76" s="9" t="inlineStr">
        <is>
          <t>Open code</t>
        </is>
      </c>
      <c r="X76" s="4" t="n">
        <v>0</v>
      </c>
      <c r="Y76" s="4" t="inlineStr">
        <is>
          <t>2023-03</t>
        </is>
      </c>
    </row>
    <row r="77">
      <c r="A77" s="4" t="n">
        <v>76</v>
      </c>
      <c r="B77" s="4" t="n">
        <v>2402</v>
      </c>
      <c r="C77" s="9" t="inlineStr">
        <is>
          <t>Meeting Rooms III</t>
        </is>
      </c>
      <c r="D77" s="13" t="inlineStr">
        <is>
          <t>Hard</t>
        </is>
      </c>
      <c r="E77" s="4" t="inlineStr">
        <is>
          <t>Heap / Top-K</t>
        </is>
      </c>
      <c r="F77" s="4" t="inlineStr">
        <is>
          <t>Two-heap simulation</t>
        </is>
      </c>
      <c r="G77" s="4" t="inlineStr">
        <is>
          <t>Heaps &amp; Intervals</t>
        </is>
      </c>
      <c r="H77" s="4" t="inlineStr">
        <is>
          <t>array, hash-table, sorting, heap-priority-queue, simulation</t>
        </is>
      </c>
      <c r="I77" s="4" t="inlineStr">
        <is>
          <t>Solved</t>
        </is>
      </c>
      <c r="J77" s="11" t="n">
        <v>45009.01693287037</v>
      </c>
      <c r="K77" s="11" t="n">
        <v>45009.01920138889</v>
      </c>
      <c r="L77" s="11" t="n">
        <v>45051.64372685185</v>
      </c>
      <c r="M77" s="4" t="n">
        <v>7</v>
      </c>
      <c r="N77" s="4" t="n">
        <v>4</v>
      </c>
      <c r="O77" s="4" t="n">
        <v>1</v>
      </c>
      <c r="P77" s="4">
        <f>IF(AND(N77&gt;0,O77=0),"Yes","No")</f>
        <v/>
      </c>
      <c r="Q77" s="4" t="n">
        <v>0</v>
      </c>
      <c r="R77" s="4" t="n">
        <v>1</v>
      </c>
      <c r="S77" s="4" t="n">
        <v>0</v>
      </c>
      <c r="T77" s="4" t="inlineStr">
        <is>
          <t>C++</t>
        </is>
      </c>
      <c r="U77" s="4" t="n">
        <v>5</v>
      </c>
      <c r="V77" s="9" t="inlineStr">
        <is>
          <t>Submission 944879357</t>
        </is>
      </c>
      <c r="W77" s="9" t="inlineStr">
        <is>
          <t>Open code</t>
        </is>
      </c>
      <c r="X77" s="4" t="n">
        <v>0</v>
      </c>
      <c r="Y77" s="4" t="inlineStr">
        <is>
          <t>2023-03</t>
        </is>
      </c>
    </row>
    <row r="78">
      <c r="A78" s="4" t="n">
        <v>77</v>
      </c>
      <c r="B78" s="4" t="n">
        <v>818</v>
      </c>
      <c r="C78" s="9" t="inlineStr">
        <is>
          <t>Race Car</t>
        </is>
      </c>
      <c r="D78" s="13" t="inlineStr">
        <is>
          <t>Hard</t>
        </is>
      </c>
      <c r="E78" s="4" t="inlineStr">
        <is>
          <t>Graph: Shortest Path</t>
        </is>
      </c>
      <c r="F78" s="4" t="inlineStr">
        <is>
          <t>BFS over states</t>
        </is>
      </c>
      <c r="G78" s="4" t="inlineStr">
        <is>
          <t>Graphs</t>
        </is>
      </c>
      <c r="H78" s="4" t="inlineStr">
        <is>
          <t>dynamic-programming, heuristic-search, a-search</t>
        </is>
      </c>
      <c r="I78" s="4" t="inlineStr">
        <is>
          <t>Solved</t>
        </is>
      </c>
      <c r="J78" s="11" t="n">
        <v>45009.04053240741</v>
      </c>
      <c r="K78" s="11" t="n">
        <v>45009.04053240741</v>
      </c>
      <c r="L78" s="11" t="n">
        <v>45009.04053240741</v>
      </c>
      <c r="M78" s="4" t="n">
        <v>1</v>
      </c>
      <c r="N78" s="4" t="n">
        <v>1</v>
      </c>
      <c r="O78" s="4" t="n">
        <v>0</v>
      </c>
      <c r="P78" s="4">
        <f>IF(AND(N78&gt;0,O78=0),"Yes","No")</f>
        <v/>
      </c>
      <c r="Q78" s="4" t="n">
        <v>0</v>
      </c>
      <c r="R78" s="4" t="n">
        <v>0</v>
      </c>
      <c r="S78" s="4" t="n">
        <v>0</v>
      </c>
      <c r="T78" s="4" t="inlineStr">
        <is>
          <t>C++</t>
        </is>
      </c>
      <c r="U78" s="4" t="n">
        <v>45.6</v>
      </c>
      <c r="V78" s="9" t="inlineStr">
        <is>
          <t>Submission 920921933</t>
        </is>
      </c>
      <c r="W78" s="9" t="inlineStr">
        <is>
          <t>Open code</t>
        </is>
      </c>
      <c r="X78" s="4" t="n">
        <v>0</v>
      </c>
      <c r="Y78" s="4" t="inlineStr">
        <is>
          <t>2023-03</t>
        </is>
      </c>
    </row>
    <row r="79">
      <c r="A79" s="4" t="n">
        <v>78</v>
      </c>
      <c r="B79" s="4" t="n">
        <v>1293</v>
      </c>
      <c r="C79" s="9" t="inlineStr">
        <is>
          <t>Shortest Path in a Grid with Obstacles Elimination</t>
        </is>
      </c>
      <c r="D79" s="13" t="inlineStr">
        <is>
          <t>Hard</t>
        </is>
      </c>
      <c r="E79" s="4" t="inlineStr">
        <is>
          <t>Graph: Shortest Path</t>
        </is>
      </c>
      <c r="F79" s="4" t="inlineStr">
        <is>
          <t>BFS with extra state (k)</t>
        </is>
      </c>
      <c r="G79" s="4" t="inlineStr">
        <is>
          <t>Graphs</t>
        </is>
      </c>
      <c r="H79" s="4" t="inlineStr">
        <is>
          <t>array, breadth-first-search, matrix</t>
        </is>
      </c>
      <c r="I79" s="4" t="inlineStr">
        <is>
          <t>Solved</t>
        </is>
      </c>
      <c r="J79" s="11" t="n">
        <v>45009.08947916667</v>
      </c>
      <c r="K79" s="11" t="n">
        <v>45009.09811342593</v>
      </c>
      <c r="L79" s="11" t="n">
        <v>45009.09811342593</v>
      </c>
      <c r="M79" s="4" t="n">
        <v>3</v>
      </c>
      <c r="N79" s="4" t="n">
        <v>1</v>
      </c>
      <c r="O79" s="4" t="n">
        <v>2</v>
      </c>
      <c r="P79" s="4">
        <f>IF(AND(N79&gt;0,O79=0),"Yes","No")</f>
        <v/>
      </c>
      <c r="Q79" s="4" t="n">
        <v>0</v>
      </c>
      <c r="R79" s="4" t="n">
        <v>2</v>
      </c>
      <c r="S79" s="4" t="n">
        <v>0</v>
      </c>
      <c r="T79" s="4" t="inlineStr">
        <is>
          <t>C++</t>
        </is>
      </c>
      <c r="U79" s="4" t="n">
        <v>25</v>
      </c>
      <c r="V79" s="9" t="inlineStr">
        <is>
          <t>Submission 920955793</t>
        </is>
      </c>
      <c r="W79" s="9" t="inlineStr">
        <is>
          <t>Open code</t>
        </is>
      </c>
      <c r="X79" s="4" t="n">
        <v>0</v>
      </c>
      <c r="Y79" s="4" t="inlineStr">
        <is>
          <t>2023-03</t>
        </is>
      </c>
    </row>
    <row r="80">
      <c r="A80" s="4" t="n">
        <v>79</v>
      </c>
      <c r="B80" s="4" t="n">
        <v>1730</v>
      </c>
      <c r="C80" s="9" t="inlineStr">
        <is>
          <t>Shortest Path to Get Food</t>
        </is>
      </c>
      <c r="D80" s="12" t="inlineStr">
        <is>
          <t>Medium</t>
        </is>
      </c>
      <c r="E80" s="4" t="inlineStr">
        <is>
          <t>Graph: Grid BFS/DFS</t>
        </is>
      </c>
      <c r="F80" s="4" t="inlineStr">
        <is>
          <t>BFS</t>
        </is>
      </c>
      <c r="G80" s="4" t="inlineStr">
        <is>
          <t>Graphs</t>
        </is>
      </c>
      <c r="H80" s="4" t="inlineStr">
        <is>
          <t>array, breadth-first-search, matrix</t>
        </is>
      </c>
      <c r="I80" s="4" t="inlineStr">
        <is>
          <t>Solved</t>
        </is>
      </c>
      <c r="J80" s="11" t="n">
        <v>45009.10822916667</v>
      </c>
      <c r="K80" s="11" t="n">
        <v>45009.10822916667</v>
      </c>
      <c r="L80" s="11" t="n">
        <v>45009.10822916667</v>
      </c>
      <c r="M80" s="4" t="n">
        <v>1</v>
      </c>
      <c r="N80" s="4" t="n">
        <v>1</v>
      </c>
      <c r="O80" s="4" t="n">
        <v>0</v>
      </c>
      <c r="P80" s="4">
        <f>IF(AND(N80&gt;0,O80=0),"Yes","No")</f>
        <v/>
      </c>
      <c r="Q80" s="4" t="n">
        <v>0</v>
      </c>
      <c r="R80" s="4" t="n">
        <v>0</v>
      </c>
      <c r="S80" s="4" t="n">
        <v>0</v>
      </c>
      <c r="T80" s="4" t="inlineStr">
        <is>
          <t>C++</t>
        </is>
      </c>
      <c r="U80" s="4" t="n">
        <v>5.2</v>
      </c>
      <c r="V80" s="9" t="inlineStr">
        <is>
          <t>Submission 920961036</t>
        </is>
      </c>
      <c r="W80" s="9" t="inlineStr">
        <is>
          <t>Open code</t>
        </is>
      </c>
      <c r="X80" s="4" t="n">
        <v>0</v>
      </c>
      <c r="Y80" s="4" t="inlineStr">
        <is>
          <t>2023-03</t>
        </is>
      </c>
    </row>
    <row r="81">
      <c r="A81" s="4" t="n">
        <v>80</v>
      </c>
      <c r="B81" s="4" t="n">
        <v>2458</v>
      </c>
      <c r="C81" s="9" t="inlineStr">
        <is>
          <t>Height of Binary Tree After Subtree Removal Queries</t>
        </is>
      </c>
      <c r="D81" s="13" t="inlineStr">
        <is>
          <t>Hard</t>
        </is>
      </c>
      <c r="E81" s="4" t="inlineStr">
        <is>
          <t>Binary Tree (DFS &amp; Recursion)</t>
        </is>
      </c>
      <c r="F81" s="4" t="inlineStr">
        <is>
          <t>Depth/height precompute</t>
        </is>
      </c>
      <c r="G81" s="4" t="inlineStr">
        <is>
          <t>Trees</t>
        </is>
      </c>
      <c r="H81" s="4" t="inlineStr">
        <is>
          <t>array, tree, depth-first-search, breadth-first-search, binary-tree</t>
        </is>
      </c>
      <c r="I81" s="4" t="inlineStr">
        <is>
          <t>Solved</t>
        </is>
      </c>
      <c r="J81" s="11" t="n">
        <v>45009.1203125</v>
      </c>
      <c r="K81" s="11" t="n">
        <v>45009.1203125</v>
      </c>
      <c r="L81" s="11" t="n">
        <v>45009.1203125</v>
      </c>
      <c r="M81" s="4" t="n">
        <v>1</v>
      </c>
      <c r="N81" s="4" t="n">
        <v>1</v>
      </c>
      <c r="O81" s="4" t="n">
        <v>0</v>
      </c>
      <c r="P81" s="4">
        <f>IF(AND(N81&gt;0,O81=0),"Yes","No")</f>
        <v/>
      </c>
      <c r="Q81" s="4" t="n">
        <v>0</v>
      </c>
      <c r="R81" s="4" t="n">
        <v>0</v>
      </c>
      <c r="S81" s="4" t="n">
        <v>0</v>
      </c>
      <c r="T81" s="4" t="inlineStr">
        <is>
          <t>C++</t>
        </is>
      </c>
      <c r="U81" s="4" t="n">
        <v>10.3</v>
      </c>
      <c r="V81" s="9" t="inlineStr">
        <is>
          <t>Submission 920966897</t>
        </is>
      </c>
      <c r="W81" s="9" t="inlineStr">
        <is>
          <t>Open code</t>
        </is>
      </c>
      <c r="X81" s="4" t="n">
        <v>0</v>
      </c>
      <c r="Y81" s="4" t="inlineStr">
        <is>
          <t>2023-03</t>
        </is>
      </c>
    </row>
    <row r="82">
      <c r="A82" s="4" t="n">
        <v>81</v>
      </c>
      <c r="B82" s="4" t="n">
        <v>2345</v>
      </c>
      <c r="C82" s="9" t="inlineStr">
        <is>
          <t>Finding the Number of Visible Mountains</t>
        </is>
      </c>
      <c r="D82" s="12" t="inlineStr">
        <is>
          <t>Medium</t>
        </is>
      </c>
      <c r="E82" s="4" t="inlineStr">
        <is>
          <t>Monotonic Stack / Deque</t>
        </is>
      </c>
      <c r="F82" s="4" t="inlineStr">
        <is>
          <t>Sort + stack</t>
        </is>
      </c>
      <c r="G82" s="4" t="inlineStr">
        <is>
          <t>Stacks &amp; Queues</t>
        </is>
      </c>
      <c r="H82" s="4" t="inlineStr">
        <is>
          <t>array, stack, sorting, monotonic-stack</t>
        </is>
      </c>
      <c r="I82" s="4" t="inlineStr">
        <is>
          <t>Solved</t>
        </is>
      </c>
      <c r="J82" s="11" t="n">
        <v>45009.48621527778</v>
      </c>
      <c r="K82" s="11" t="n">
        <v>45009.56458333333</v>
      </c>
      <c r="L82" s="11" t="n">
        <v>45009.56458333333</v>
      </c>
      <c r="M82" s="4" t="n">
        <v>2</v>
      </c>
      <c r="N82" s="4" t="n">
        <v>1</v>
      </c>
      <c r="O82" s="4" t="n">
        <v>1</v>
      </c>
      <c r="P82" s="4">
        <f>IF(AND(N82&gt;0,O82=0),"Yes","No")</f>
        <v/>
      </c>
      <c r="Q82" s="4" t="n">
        <v>1</v>
      </c>
      <c r="R82" s="4" t="n">
        <v>0</v>
      </c>
      <c r="S82" s="4" t="n">
        <v>0</v>
      </c>
      <c r="T82" s="4" t="inlineStr">
        <is>
          <t>C++</t>
        </is>
      </c>
      <c r="U82" s="4" t="n">
        <v>13.2</v>
      </c>
      <c r="V82" s="9" t="inlineStr">
        <is>
          <t>Submission 921180925</t>
        </is>
      </c>
      <c r="W82" s="9" t="inlineStr">
        <is>
          <t>Open code</t>
        </is>
      </c>
      <c r="X82" s="4" t="n">
        <v>0</v>
      </c>
      <c r="Y82" s="4" t="inlineStr">
        <is>
          <t>2023-03</t>
        </is>
      </c>
    </row>
    <row r="83">
      <c r="A83" s="4" t="n">
        <v>82</v>
      </c>
      <c r="B83" s="4" t="n">
        <v>2426</v>
      </c>
      <c r="C83" s="9" t="inlineStr">
        <is>
          <t>Number of Pairs Satisfying Inequality</t>
        </is>
      </c>
      <c r="D83" s="13" t="inlineStr">
        <is>
          <t>Hard</t>
        </is>
      </c>
      <c r="E83" s="4" t="inlineStr">
        <is>
          <t>Segment Tree / BIT / Ordered Set</t>
        </is>
      </c>
      <c r="F83" s="4" t="inlineStr">
        <is>
          <t>BIT / merge-sort counting</t>
        </is>
      </c>
      <c r="G83" s="4" t="inlineStr">
        <is>
          <t>Advanced Data Structures</t>
        </is>
      </c>
      <c r="H83" s="4" t="inlineStr">
        <is>
          <t>array, binary-search, divide-and-conquer, binary-indexed-tree, segment-tree, merge-sort, ordered-set</t>
        </is>
      </c>
      <c r="I83" s="4" t="inlineStr">
        <is>
          <t>Solved</t>
        </is>
      </c>
      <c r="J83" s="11" t="n">
        <v>45009.60511574074</v>
      </c>
      <c r="K83" s="11" t="n">
        <v>45009.60511574074</v>
      </c>
      <c r="L83" s="11" t="n">
        <v>45009.60511574074</v>
      </c>
      <c r="M83" s="4" t="n">
        <v>1</v>
      </c>
      <c r="N83" s="4" t="n">
        <v>1</v>
      </c>
      <c r="O83" s="4" t="n">
        <v>0</v>
      </c>
      <c r="P83" s="4">
        <f>IF(AND(N83&gt;0,O83=0),"Yes","No")</f>
        <v/>
      </c>
      <c r="Q83" s="4" t="n">
        <v>0</v>
      </c>
      <c r="R83" s="4" t="n">
        <v>0</v>
      </c>
      <c r="S83" s="4" t="n">
        <v>0</v>
      </c>
      <c r="T83" s="4" t="inlineStr">
        <is>
          <t>C++</t>
        </is>
      </c>
      <c r="U83" s="4" t="n">
        <v>23.8</v>
      </c>
      <c r="V83" s="9" t="inlineStr">
        <is>
          <t>Submission 921202242</t>
        </is>
      </c>
      <c r="W83" s="9" t="inlineStr">
        <is>
          <t>Open code</t>
        </is>
      </c>
      <c r="X83" s="4" t="n">
        <v>0</v>
      </c>
      <c r="Y83" s="4" t="inlineStr">
        <is>
          <t>2023-03</t>
        </is>
      </c>
    </row>
    <row r="84">
      <c r="A84" s="4" t="n">
        <v>83</v>
      </c>
      <c r="B84" s="4" t="n">
        <v>729</v>
      </c>
      <c r="C84" s="9" t="inlineStr">
        <is>
          <t>My Calendar I</t>
        </is>
      </c>
      <c r="D84" s="12" t="inlineStr">
        <is>
          <t>Medium</t>
        </is>
      </c>
      <c r="E84" s="4" t="inlineStr">
        <is>
          <t>Intervals &amp; Sweep Line</t>
        </is>
      </c>
      <c r="F84" s="4" t="inlineStr">
        <is>
          <t>Ordered-map booking</t>
        </is>
      </c>
      <c r="G84" s="4" t="inlineStr">
        <is>
          <t>Heaps &amp; Intervals</t>
        </is>
      </c>
      <c r="H84" s="4" t="inlineStr">
        <is>
          <t>array, binary-search, design, segment-tree, ordered-set</t>
        </is>
      </c>
      <c r="I84" s="4" t="inlineStr">
        <is>
          <t>Solved</t>
        </is>
      </c>
      <c r="J84" s="11" t="n">
        <v>45009.61924768519</v>
      </c>
      <c r="K84" s="11" t="n">
        <v>45009.62542824074</v>
      </c>
      <c r="L84" s="11" t="n">
        <v>45763.72459490741</v>
      </c>
      <c r="M84" s="4" t="n">
        <v>8</v>
      </c>
      <c r="N84" s="4" t="n">
        <v>6</v>
      </c>
      <c r="O84" s="4" t="n">
        <v>1</v>
      </c>
      <c r="P84" s="4">
        <f>IF(AND(N84&gt;0,O84=0),"Yes","No")</f>
        <v/>
      </c>
      <c r="Q84" s="4" t="n">
        <v>1</v>
      </c>
      <c r="R84" s="4" t="n">
        <v>0</v>
      </c>
      <c r="S84" s="4" t="n">
        <v>0</v>
      </c>
      <c r="T84" s="4" t="inlineStr">
        <is>
          <t>C++</t>
        </is>
      </c>
      <c r="U84" s="4" t="n">
        <v>18.9</v>
      </c>
      <c r="V84" s="9" t="inlineStr">
        <is>
          <t>Submission 1608484538</t>
        </is>
      </c>
      <c r="W84" s="9" t="inlineStr">
        <is>
          <t>Open code</t>
        </is>
      </c>
      <c r="X84" s="4" t="n">
        <v>3</v>
      </c>
      <c r="Y84" s="4" t="inlineStr">
        <is>
          <t>2023-03</t>
        </is>
      </c>
    </row>
    <row r="85">
      <c r="A85" s="4" t="n">
        <v>84</v>
      </c>
      <c r="B85" s="4" t="n">
        <v>1102</v>
      </c>
      <c r="C85" s="9" t="inlineStr">
        <is>
          <t>Path With Maximum Minimum Value</t>
        </is>
      </c>
      <c r="D85" s="12" t="inlineStr">
        <is>
          <t>Medium</t>
        </is>
      </c>
      <c r="E85" s="4" t="inlineStr">
        <is>
          <t>Graph: Shortest Path</t>
        </is>
      </c>
      <c r="F85" s="4" t="inlineStr">
        <is>
          <t>Max-min Dijkstra</t>
        </is>
      </c>
      <c r="G85" s="4" t="inlineStr">
        <is>
          <t>Graphs</t>
        </is>
      </c>
      <c r="H85" s="4" t="inlineStr">
        <is>
          <t>array, binary-search, depth-first-search, breadth-first-search, union-find, heap-priority-queue, matrix, dijkstra</t>
        </is>
      </c>
      <c r="I85" s="4" t="inlineStr">
        <is>
          <t>Solved</t>
        </is>
      </c>
      <c r="J85" s="11" t="n">
        <v>45009.65811342592</v>
      </c>
      <c r="K85" s="11" t="n">
        <v>45009.65811342592</v>
      </c>
      <c r="L85" s="11" t="n">
        <v>45009.7212037037</v>
      </c>
      <c r="M85" s="4" t="n">
        <v>2</v>
      </c>
      <c r="N85" s="4" t="n">
        <v>2</v>
      </c>
      <c r="O85" s="4" t="n">
        <v>0</v>
      </c>
      <c r="P85" s="4">
        <f>IF(AND(N85&gt;0,O85=0),"Yes","No")</f>
        <v/>
      </c>
      <c r="Q85" s="4" t="n">
        <v>0</v>
      </c>
      <c r="R85" s="4" t="n">
        <v>0</v>
      </c>
      <c r="S85" s="4" t="n">
        <v>0</v>
      </c>
      <c r="T85" s="4" t="inlineStr">
        <is>
          <t>C++</t>
        </is>
      </c>
      <c r="U85" s="4" t="n">
        <v>14.7</v>
      </c>
      <c r="V85" s="9" t="inlineStr">
        <is>
          <t>Submission 921265807</t>
        </is>
      </c>
      <c r="W85" s="9" t="inlineStr">
        <is>
          <t>Open code</t>
        </is>
      </c>
      <c r="X85" s="4" t="n">
        <v>0</v>
      </c>
      <c r="Y85" s="4" t="inlineStr">
        <is>
          <t>2023-03</t>
        </is>
      </c>
    </row>
    <row r="86">
      <c r="A86" s="4" t="n">
        <v>85</v>
      </c>
      <c r="B86" s="4" t="n">
        <v>2101</v>
      </c>
      <c r="C86" s="9" t="inlineStr">
        <is>
          <t>Detonate the Maximum Bombs</t>
        </is>
      </c>
      <c r="D86" s="12" t="inlineStr">
        <is>
          <t>Medium</t>
        </is>
      </c>
      <c r="E86" s="4" t="inlineStr">
        <is>
          <t>Graph: General BFS/DFS</t>
        </is>
      </c>
      <c r="F86" s="4" t="inlineStr">
        <is>
          <t>DFS reachability</t>
        </is>
      </c>
      <c r="G86" s="4" t="inlineStr">
        <is>
          <t>Graphs</t>
        </is>
      </c>
      <c r="H86" s="4" t="inlineStr">
        <is>
          <t>array, math, depth-first-search, breadth-first-search, graph, geometry</t>
        </is>
      </c>
      <c r="I86" s="4" t="inlineStr">
        <is>
          <t>Solved</t>
        </is>
      </c>
      <c r="J86" s="11" t="n">
        <v>45009.76241898148</v>
      </c>
      <c r="K86" s="11" t="n">
        <v>45009.76241898148</v>
      </c>
      <c r="L86" s="11" t="n">
        <v>45009.76241898148</v>
      </c>
      <c r="M86" s="4" t="n">
        <v>1</v>
      </c>
      <c r="N86" s="4" t="n">
        <v>1</v>
      </c>
      <c r="O86" s="4" t="n">
        <v>0</v>
      </c>
      <c r="P86" s="4">
        <f>IF(AND(N86&gt;0,O86=0),"Yes","No")</f>
        <v/>
      </c>
      <c r="Q86" s="4" t="n">
        <v>0</v>
      </c>
      <c r="R86" s="4" t="n">
        <v>0</v>
      </c>
      <c r="S86" s="4" t="n">
        <v>0</v>
      </c>
      <c r="T86" s="4" t="inlineStr">
        <is>
          <t>C++</t>
        </is>
      </c>
      <c r="U86" s="4" t="n">
        <v>5.1</v>
      </c>
      <c r="V86" s="9" t="inlineStr">
        <is>
          <t>Submission 921287381</t>
        </is>
      </c>
      <c r="W86" s="9" t="inlineStr">
        <is>
          <t>Open code</t>
        </is>
      </c>
      <c r="X86" s="4" t="n">
        <v>0</v>
      </c>
      <c r="Y86" s="4" t="inlineStr">
        <is>
          <t>2023-03</t>
        </is>
      </c>
    </row>
    <row r="87">
      <c r="A87" s="4" t="n">
        <v>86</v>
      </c>
      <c r="B87" s="4" t="n">
        <v>528</v>
      </c>
      <c r="C87" s="9" t="inlineStr">
        <is>
          <t>Random Pick with Weight</t>
        </is>
      </c>
      <c r="D87" s="12" t="inlineStr">
        <is>
          <t>Medium</t>
        </is>
      </c>
      <c r="E87" s="4" t="inlineStr">
        <is>
          <t>Prefix Sum &amp; Difference Array</t>
        </is>
      </c>
      <c r="F87" s="4" t="inlineStr">
        <is>
          <t>Prefix sum + binary search</t>
        </is>
      </c>
      <c r="G87" s="4" t="inlineStr">
        <is>
          <t>Arrays &amp; Strings</t>
        </is>
      </c>
      <c r="H87" s="4" t="inlineStr">
        <is>
          <t>array, math, binary-search, prefix-sum, randomized</t>
        </is>
      </c>
      <c r="I87" s="4" t="inlineStr">
        <is>
          <t>Solved</t>
        </is>
      </c>
      <c r="J87" s="11" t="n">
        <v>45009.78828703704</v>
      </c>
      <c r="K87" s="11" t="n">
        <v>45009.79133101852</v>
      </c>
      <c r="L87" s="11" t="n">
        <v>45822.48493055555</v>
      </c>
      <c r="M87" s="4" t="n">
        <v>6</v>
      </c>
      <c r="N87" s="4" t="n">
        <v>4</v>
      </c>
      <c r="O87" s="4" t="n">
        <v>1</v>
      </c>
      <c r="P87" s="4">
        <f>IF(AND(N87&gt;0,O87=0),"Yes","No")</f>
        <v/>
      </c>
      <c r="Q87" s="4" t="n">
        <v>1</v>
      </c>
      <c r="R87" s="4" t="n">
        <v>0</v>
      </c>
      <c r="S87" s="4" t="n">
        <v>0</v>
      </c>
      <c r="T87" s="4" t="inlineStr">
        <is>
          <t>C++, Python3</t>
        </is>
      </c>
      <c r="U87" s="4" t="n">
        <v>40.2</v>
      </c>
      <c r="V87" s="9" t="inlineStr">
        <is>
          <t>Submission 1663551792</t>
        </is>
      </c>
      <c r="W87" s="9" t="inlineStr">
        <is>
          <t>Open code</t>
        </is>
      </c>
      <c r="X87" s="4" t="n">
        <v>0</v>
      </c>
      <c r="Y87" s="4" t="inlineStr">
        <is>
          <t>2023-03</t>
        </is>
      </c>
    </row>
    <row r="88">
      <c r="A88" s="4" t="n">
        <v>87</v>
      </c>
      <c r="B88" s="4" t="n">
        <v>1101</v>
      </c>
      <c r="C88" s="9" t="inlineStr">
        <is>
          <t>The Earliest Moment When Everyone Become Friends</t>
        </is>
      </c>
      <c r="D88" s="12" t="inlineStr">
        <is>
          <t>Medium</t>
        </is>
      </c>
      <c r="E88" s="4" t="inlineStr">
        <is>
          <t>Graph: Union-Find</t>
        </is>
      </c>
      <c r="F88" s="4" t="inlineStr">
        <is>
          <t>Sort by time + DSU</t>
        </is>
      </c>
      <c r="G88" s="4" t="inlineStr">
        <is>
          <t>Graphs</t>
        </is>
      </c>
      <c r="H88" s="4" t="inlineStr">
        <is>
          <t>array, union-find, sorting</t>
        </is>
      </c>
      <c r="I88" s="4" t="inlineStr">
        <is>
          <t>Solved</t>
        </is>
      </c>
      <c r="J88" s="11" t="n">
        <v>45009.8109375</v>
      </c>
      <c r="K88" s="11" t="n">
        <v>45009.8109375</v>
      </c>
      <c r="L88" s="11" t="n">
        <v>45009.8109375</v>
      </c>
      <c r="M88" s="4" t="n">
        <v>1</v>
      </c>
      <c r="N88" s="4" t="n">
        <v>1</v>
      </c>
      <c r="O88" s="4" t="n">
        <v>0</v>
      </c>
      <c r="P88" s="4">
        <f>IF(AND(N88&gt;0,O88=0),"Yes","No")</f>
        <v/>
      </c>
      <c r="Q88" s="4" t="n">
        <v>0</v>
      </c>
      <c r="R88" s="4" t="n">
        <v>0</v>
      </c>
      <c r="S88" s="4" t="n">
        <v>0</v>
      </c>
      <c r="T88" s="4" t="inlineStr">
        <is>
          <t>C++</t>
        </is>
      </c>
      <c r="U88" s="4" t="n">
        <v>5.2</v>
      </c>
      <c r="V88" s="9" t="inlineStr">
        <is>
          <t>Submission 921317555</t>
        </is>
      </c>
      <c r="W88" s="9" t="inlineStr">
        <is>
          <t>Open code</t>
        </is>
      </c>
      <c r="X88" s="4" t="n">
        <v>0</v>
      </c>
      <c r="Y88" s="4" t="inlineStr">
        <is>
          <t>2023-03</t>
        </is>
      </c>
    </row>
    <row r="89">
      <c r="A89" s="4" t="n">
        <v>88</v>
      </c>
      <c r="B89" s="4" t="n">
        <v>1136</v>
      </c>
      <c r="C89" s="9" t="inlineStr">
        <is>
          <t>Parallel Courses</t>
        </is>
      </c>
      <c r="D89" s="12" t="inlineStr">
        <is>
          <t>Medium</t>
        </is>
      </c>
      <c r="E89" s="4" t="inlineStr">
        <is>
          <t>Graph: Topological Sort</t>
        </is>
      </c>
      <c r="F89" s="4" t="inlineStr">
        <is>
          <t>Kahn by levels</t>
        </is>
      </c>
      <c r="G89" s="4" t="inlineStr">
        <is>
          <t>Graphs</t>
        </is>
      </c>
      <c r="H89" s="4" t="inlineStr">
        <is>
          <t>graph, topological-sort, directed-acyclic-graph</t>
        </is>
      </c>
      <c r="I89" s="4" t="inlineStr">
        <is>
          <t>Solved</t>
        </is>
      </c>
      <c r="J89" s="11" t="n">
        <v>45009.83814814815</v>
      </c>
      <c r="K89" s="11" t="n">
        <v>45009.83814814815</v>
      </c>
      <c r="L89" s="11" t="n">
        <v>45009.84766203703</v>
      </c>
      <c r="M89" s="4" t="n">
        <v>2</v>
      </c>
      <c r="N89" s="4" t="n">
        <v>2</v>
      </c>
      <c r="O89" s="4" t="n">
        <v>0</v>
      </c>
      <c r="P89" s="4">
        <f>IF(AND(N89&gt;0,O89=0),"Yes","No")</f>
        <v/>
      </c>
      <c r="Q89" s="4" t="n">
        <v>0</v>
      </c>
      <c r="R89" s="4" t="n">
        <v>0</v>
      </c>
      <c r="S89" s="4" t="n">
        <v>0</v>
      </c>
      <c r="T89" s="4" t="inlineStr">
        <is>
          <t>C++</t>
        </is>
      </c>
      <c r="U89" s="4" t="n">
        <v>5.1</v>
      </c>
      <c r="V89" s="9" t="inlineStr">
        <is>
          <t>Submission 921343418</t>
        </is>
      </c>
      <c r="W89" s="9" t="inlineStr">
        <is>
          <t>Open code</t>
        </is>
      </c>
      <c r="X89" s="4" t="n">
        <v>3</v>
      </c>
      <c r="Y89" s="4" t="inlineStr">
        <is>
          <t>2023-03</t>
        </is>
      </c>
    </row>
    <row r="90">
      <c r="A90" s="4" t="n">
        <v>89</v>
      </c>
      <c r="B90" s="4" t="n">
        <v>1494</v>
      </c>
      <c r="C90" s="9" t="inlineStr">
        <is>
          <t>Parallel Courses II</t>
        </is>
      </c>
      <c r="D90" s="13" t="inlineStr">
        <is>
          <t>Hard</t>
        </is>
      </c>
      <c r="E90" s="4" t="inlineStr">
        <is>
          <t>DP: Bitmask</t>
        </is>
      </c>
      <c r="F90" s="4" t="inlineStr">
        <is>
          <t>Bitmask DP over courses</t>
        </is>
      </c>
      <c r="G90" s="4" t="inlineStr">
        <is>
          <t>Dynamic Programming</t>
        </is>
      </c>
      <c r="H90" s="4" t="inlineStr">
        <is>
          <t>dynamic-programming, bit-manipulation, graph, bitmask, directed-acyclic-graph</t>
        </is>
      </c>
      <c r="I90" s="4" t="inlineStr">
        <is>
          <t>Attempted</t>
        </is>
      </c>
      <c r="J90" s="11" t="n">
        <v>45009.90545138889</v>
      </c>
      <c r="K90" s="11" t="n"/>
      <c r="L90" s="11" t="n">
        <v>45009.90545138889</v>
      </c>
      <c r="M90" s="4" t="n">
        <v>1</v>
      </c>
      <c r="N90" s="4" t="n">
        <v>0</v>
      </c>
      <c r="O90" s="4" t="n">
        <v>1</v>
      </c>
      <c r="P90" s="4">
        <f>IF(AND(N90&gt;0,O90=0),"Yes","No")</f>
        <v/>
      </c>
      <c r="Q90" s="4" t="n">
        <v>1</v>
      </c>
      <c r="R90" s="4" t="n">
        <v>0</v>
      </c>
      <c r="S90" s="4" t="n">
        <v>0</v>
      </c>
      <c r="T90" s="4" t="inlineStr">
        <is>
          <t>C++</t>
        </is>
      </c>
      <c r="U90" s="4" t="n"/>
      <c r="V90" s="4" t="n"/>
      <c r="W90" s="9" t="inlineStr">
        <is>
          <t>Open code</t>
        </is>
      </c>
      <c r="X90" s="4" t="n">
        <v>1</v>
      </c>
      <c r="Y90" s="4" t="inlineStr"/>
    </row>
    <row r="91">
      <c r="A91" s="4" t="n">
        <v>90</v>
      </c>
      <c r="B91" s="4" t="n">
        <v>1105</v>
      </c>
      <c r="C91" s="9" t="inlineStr">
        <is>
          <t>Filling Bookcase Shelves</t>
        </is>
      </c>
      <c r="D91" s="12" t="inlineStr">
        <is>
          <t>Medium</t>
        </is>
      </c>
      <c r="E91" s="4" t="inlineStr">
        <is>
          <t>DP: Partition / Interval (MCM)</t>
        </is>
      </c>
      <c r="F91" s="4" t="inlineStr">
        <is>
          <t>Front partition DP</t>
        </is>
      </c>
      <c r="G91" s="4" t="inlineStr">
        <is>
          <t>Dynamic Programming</t>
        </is>
      </c>
      <c r="H91" s="4" t="inlineStr">
        <is>
          <t>array, dynamic-programming</t>
        </is>
      </c>
      <c r="I91" s="4" t="inlineStr">
        <is>
          <t>Solved</t>
        </is>
      </c>
      <c r="J91" s="11" t="n">
        <v>45010.02641203703</v>
      </c>
      <c r="K91" s="11" t="n">
        <v>45010.03125</v>
      </c>
      <c r="L91" s="11" t="n">
        <v>45010.04006944445</v>
      </c>
      <c r="M91" s="4" t="n">
        <v>4</v>
      </c>
      <c r="N91" s="4" t="n">
        <v>1</v>
      </c>
      <c r="O91" s="4" t="n">
        <v>1</v>
      </c>
      <c r="P91" s="4">
        <f>IF(AND(N91&gt;0,O91=0),"Yes","No")</f>
        <v/>
      </c>
      <c r="Q91" s="4" t="n">
        <v>0</v>
      </c>
      <c r="R91" s="4" t="n">
        <v>1</v>
      </c>
      <c r="S91" s="4" t="n">
        <v>0</v>
      </c>
      <c r="T91" s="4" t="inlineStr">
        <is>
          <t>C++</t>
        </is>
      </c>
      <c r="U91" s="4" t="n">
        <v>5</v>
      </c>
      <c r="V91" s="9" t="inlineStr">
        <is>
          <t>Submission 921478900</t>
        </is>
      </c>
      <c r="W91" s="9" t="inlineStr">
        <is>
          <t>Open code</t>
        </is>
      </c>
      <c r="X91" s="4" t="n">
        <v>0</v>
      </c>
      <c r="Y91" s="4" t="inlineStr">
        <is>
          <t>2023-03</t>
        </is>
      </c>
    </row>
    <row r="92">
      <c r="A92" s="4" t="n">
        <v>91</v>
      </c>
      <c r="B92" s="4" t="n">
        <v>366</v>
      </c>
      <c r="C92" s="9" t="inlineStr">
        <is>
          <t>Find Leaves of Binary Tree</t>
        </is>
      </c>
      <c r="D92" s="12" t="inlineStr">
        <is>
          <t>Medium</t>
        </is>
      </c>
      <c r="E92" s="4" t="inlineStr">
        <is>
          <t>Binary Tree (DFS &amp; Recursion)</t>
        </is>
      </c>
      <c r="F92" s="4" t="inlineStr">
        <is>
          <t>Group by height</t>
        </is>
      </c>
      <c r="G92" s="4" t="inlineStr">
        <is>
          <t>Trees</t>
        </is>
      </c>
      <c r="H92" s="4" t="inlineStr">
        <is>
          <t>tree, depth-first-search, binary-tree, dp-on-trees</t>
        </is>
      </c>
      <c r="I92" s="4" t="inlineStr">
        <is>
          <t>Solved</t>
        </is>
      </c>
      <c r="J92" s="11" t="n">
        <v>45010.05064814815</v>
      </c>
      <c r="K92" s="11" t="n">
        <v>45010.05064814815</v>
      </c>
      <c r="L92" s="11" t="n">
        <v>45010.05064814815</v>
      </c>
      <c r="M92" s="4" t="n">
        <v>1</v>
      </c>
      <c r="N92" s="4" t="n">
        <v>1</v>
      </c>
      <c r="O92" s="4" t="n">
        <v>0</v>
      </c>
      <c r="P92" s="4">
        <f>IF(AND(N92&gt;0,O92=0),"Yes","No")</f>
        <v/>
      </c>
      <c r="Q92" s="4" t="n">
        <v>0</v>
      </c>
      <c r="R92" s="4" t="n">
        <v>0</v>
      </c>
      <c r="S92" s="4" t="n">
        <v>0</v>
      </c>
      <c r="T92" s="4" t="inlineStr">
        <is>
          <t>C++</t>
        </is>
      </c>
      <c r="U92" s="4" t="n">
        <v>0</v>
      </c>
      <c r="V92" s="9" t="inlineStr">
        <is>
          <t>Submission 921490889</t>
        </is>
      </c>
      <c r="W92" s="9" t="inlineStr">
        <is>
          <t>Open code</t>
        </is>
      </c>
      <c r="X92" s="4" t="n">
        <v>0</v>
      </c>
      <c r="Y92" s="4" t="inlineStr">
        <is>
          <t>2023-03</t>
        </is>
      </c>
    </row>
    <row r="93">
      <c r="A93" s="4" t="n">
        <v>92</v>
      </c>
      <c r="B93" s="4" t="n">
        <v>1202</v>
      </c>
      <c r="C93" s="9" t="inlineStr">
        <is>
          <t>Smallest String With Swaps</t>
        </is>
      </c>
      <c r="D93" s="12" t="inlineStr">
        <is>
          <t>Medium</t>
        </is>
      </c>
      <c r="E93" s="4" t="inlineStr">
        <is>
          <t>Graph: Union-Find</t>
        </is>
      </c>
      <c r="F93" s="4" t="inlineStr">
        <is>
          <t>Components + sort</t>
        </is>
      </c>
      <c r="G93" s="4" t="inlineStr">
        <is>
          <t>Graphs</t>
        </is>
      </c>
      <c r="H93" s="4" t="inlineStr">
        <is>
          <t>array, hash-table, string, depth-first-search, breadth-first-search, union-find, sorting</t>
        </is>
      </c>
      <c r="I93" s="4" t="inlineStr">
        <is>
          <t>Solved</t>
        </is>
      </c>
      <c r="J93" s="11" t="n">
        <v>45010.08113425926</v>
      </c>
      <c r="K93" s="11" t="n">
        <v>45010.08113425926</v>
      </c>
      <c r="L93" s="11" t="n">
        <v>45010.08113425926</v>
      </c>
      <c r="M93" s="4" t="n">
        <v>1</v>
      </c>
      <c r="N93" s="4" t="n">
        <v>1</v>
      </c>
      <c r="O93" s="4" t="n">
        <v>0</v>
      </c>
      <c r="P93" s="4">
        <f>IF(AND(N93&gt;0,O93=0),"Yes","No")</f>
        <v/>
      </c>
      <c r="Q93" s="4" t="n">
        <v>0</v>
      </c>
      <c r="R93" s="4" t="n">
        <v>0</v>
      </c>
      <c r="S93" s="4" t="n">
        <v>0</v>
      </c>
      <c r="T93" s="4" t="inlineStr">
        <is>
          <t>C++</t>
        </is>
      </c>
      <c r="U93" s="4" t="n">
        <v>5</v>
      </c>
      <c r="V93" s="9" t="inlineStr">
        <is>
          <t>Submission 921506988</t>
        </is>
      </c>
      <c r="W93" s="9" t="inlineStr">
        <is>
          <t>Open code</t>
        </is>
      </c>
      <c r="X93" s="4" t="n">
        <v>2</v>
      </c>
      <c r="Y93" s="4" t="inlineStr">
        <is>
          <t>2023-03</t>
        </is>
      </c>
    </row>
    <row r="94">
      <c r="A94" s="4" t="n">
        <v>93</v>
      </c>
      <c r="B94" s="4" t="n">
        <v>2034</v>
      </c>
      <c r="C94" s="9" t="inlineStr">
        <is>
          <t xml:space="preserve">Stock Price Fluctuation </t>
        </is>
      </c>
      <c r="D94" s="12" t="inlineStr">
        <is>
          <t>Medium</t>
        </is>
      </c>
      <c r="E94" s="4" t="inlineStr">
        <is>
          <t>Design</t>
        </is>
      </c>
      <c r="F94" s="4" t="inlineStr">
        <is>
          <t>Map + lazy heaps</t>
        </is>
      </c>
      <c r="G94" s="4" t="inlineStr">
        <is>
          <t>Design</t>
        </is>
      </c>
      <c r="H94" s="4" t="inlineStr">
        <is>
          <t>hash-table, design, heap-priority-queue, data-stream, ordered-set</t>
        </is>
      </c>
      <c r="I94" s="4" t="inlineStr">
        <is>
          <t>Solved</t>
        </is>
      </c>
      <c r="J94" s="11" t="n">
        <v>45010.0977199074</v>
      </c>
      <c r="K94" s="11" t="n">
        <v>45010.0977199074</v>
      </c>
      <c r="L94" s="11" t="n">
        <v>45010.0977199074</v>
      </c>
      <c r="M94" s="4" t="n">
        <v>1</v>
      </c>
      <c r="N94" s="4" t="n">
        <v>1</v>
      </c>
      <c r="O94" s="4" t="n">
        <v>0</v>
      </c>
      <c r="P94" s="4">
        <f>IF(AND(N94&gt;0,O94=0),"Yes","No")</f>
        <v/>
      </c>
      <c r="Q94" s="4" t="n">
        <v>0</v>
      </c>
      <c r="R94" s="4" t="n">
        <v>0</v>
      </c>
      <c r="S94" s="4" t="n">
        <v>0</v>
      </c>
      <c r="T94" s="4" t="inlineStr">
        <is>
          <t>C++</t>
        </is>
      </c>
      <c r="U94" s="4" t="n">
        <v>5.1</v>
      </c>
      <c r="V94" s="9" t="inlineStr">
        <is>
          <t>Submission 921515192</t>
        </is>
      </c>
      <c r="W94" s="9" t="inlineStr">
        <is>
          <t>Open code</t>
        </is>
      </c>
      <c r="X94" s="4" t="n">
        <v>0</v>
      </c>
      <c r="Y94" s="4" t="inlineStr">
        <is>
          <t>2023-03</t>
        </is>
      </c>
    </row>
    <row r="95">
      <c r="A95" s="4" t="n">
        <v>94</v>
      </c>
      <c r="B95" s="4" t="n">
        <v>22</v>
      </c>
      <c r="C95" s="9" t="inlineStr">
        <is>
          <t>Generate Parentheses</t>
        </is>
      </c>
      <c r="D95" s="12" t="inlineStr">
        <is>
          <t>Medium</t>
        </is>
      </c>
      <c r="E95" s="4" t="inlineStr">
        <is>
          <t>Backtracking</t>
        </is>
      </c>
      <c r="F95" s="4" t="inlineStr">
        <is>
          <t>Balanced generation</t>
        </is>
      </c>
      <c r="G95" s="4" t="inlineStr">
        <is>
          <t>Recursion &amp; Backtracking</t>
        </is>
      </c>
      <c r="H95" s="4" t="inlineStr">
        <is>
          <t>string, dynamic-programming, backtracking, bracket-sequences</t>
        </is>
      </c>
      <c r="I95" s="4" t="inlineStr">
        <is>
          <t>Solved</t>
        </is>
      </c>
      <c r="J95" s="11" t="n">
        <v>45010.13898148148</v>
      </c>
      <c r="K95" s="11" t="n">
        <v>45010.13898148148</v>
      </c>
      <c r="L95" s="11" t="n">
        <v>45066.61325231481</v>
      </c>
      <c r="M95" s="4" t="n">
        <v>5</v>
      </c>
      <c r="N95" s="4" t="n">
        <v>5</v>
      </c>
      <c r="O95" s="4" t="n">
        <v>0</v>
      </c>
      <c r="P95" s="4">
        <f>IF(AND(N95&gt;0,O95=0),"Yes","No")</f>
        <v/>
      </c>
      <c r="Q95" s="4" t="n">
        <v>0</v>
      </c>
      <c r="R95" s="4" t="n">
        <v>0</v>
      </c>
      <c r="S95" s="4" t="n">
        <v>0</v>
      </c>
      <c r="T95" s="4" t="inlineStr">
        <is>
          <t>C++</t>
        </is>
      </c>
      <c r="U95" s="4" t="n">
        <v>66.5</v>
      </c>
      <c r="V95" s="9" t="inlineStr">
        <is>
          <t>Submission 953809671</t>
        </is>
      </c>
      <c r="W95" s="9" t="inlineStr">
        <is>
          <t>Open code</t>
        </is>
      </c>
      <c r="X95" s="4" t="n">
        <v>0</v>
      </c>
      <c r="Y95" s="4" t="inlineStr">
        <is>
          <t>2023-03</t>
        </is>
      </c>
    </row>
    <row r="96">
      <c r="A96" s="4" t="n">
        <v>95</v>
      </c>
      <c r="B96" s="4" t="n">
        <v>3</v>
      </c>
      <c r="C96" s="9" t="inlineStr">
        <is>
          <t>Longest Substring Without Repeating Characters</t>
        </is>
      </c>
      <c r="D96" s="12" t="inlineStr">
        <is>
          <t>Medium</t>
        </is>
      </c>
      <c r="E96" s="4" t="inlineStr">
        <is>
          <t>Sliding Window</t>
        </is>
      </c>
      <c r="F96" s="4" t="inlineStr">
        <is>
          <t>Variable window, unique chars</t>
        </is>
      </c>
      <c r="G96" s="4" t="inlineStr">
        <is>
          <t>Arrays &amp; Strings</t>
        </is>
      </c>
      <c r="H96" s="4" t="inlineStr">
        <is>
          <t>hash-table, string, sliding-window</t>
        </is>
      </c>
      <c r="I96" s="4" t="inlineStr">
        <is>
          <t>Solved</t>
        </is>
      </c>
      <c r="J96" s="11" t="n">
        <v>45010.50745370371</v>
      </c>
      <c r="K96" s="11" t="n">
        <v>45010.50745370371</v>
      </c>
      <c r="L96" s="11" t="n">
        <v>45248.25388888889</v>
      </c>
      <c r="M96" s="4" t="n">
        <v>2</v>
      </c>
      <c r="N96" s="4" t="n">
        <v>2</v>
      </c>
      <c r="O96" s="4" t="n">
        <v>0</v>
      </c>
      <c r="P96" s="4">
        <f>IF(AND(N96&gt;0,O96=0),"Yes","No")</f>
        <v/>
      </c>
      <c r="Q96" s="4" t="n">
        <v>0</v>
      </c>
      <c r="R96" s="4" t="n">
        <v>0</v>
      </c>
      <c r="S96" s="4" t="n">
        <v>0</v>
      </c>
      <c r="T96" s="4" t="inlineStr">
        <is>
          <t>C++, Python3</t>
        </is>
      </c>
      <c r="U96" s="4" t="n">
        <v>99.90000000000001</v>
      </c>
      <c r="V96" s="9" t="inlineStr">
        <is>
          <t>Submission 1101104428</t>
        </is>
      </c>
      <c r="W96" s="9" t="inlineStr">
        <is>
          <t>Open code</t>
        </is>
      </c>
      <c r="X96" s="4" t="n">
        <v>8</v>
      </c>
      <c r="Y96" s="4" t="inlineStr">
        <is>
          <t>2023-03</t>
        </is>
      </c>
    </row>
    <row r="97">
      <c r="A97" s="4" t="n">
        <v>96</v>
      </c>
      <c r="B97" s="4" t="n">
        <v>33</v>
      </c>
      <c r="C97" s="9" t="inlineStr">
        <is>
          <t>Search in Rotated Sorted Array</t>
        </is>
      </c>
      <c r="D97" s="12" t="inlineStr">
        <is>
          <t>Medium</t>
        </is>
      </c>
      <c r="E97" s="4" t="inlineStr">
        <is>
          <t>Binary Search</t>
        </is>
      </c>
      <c r="F97" s="4" t="inlineStr">
        <is>
          <t>Rotated array</t>
        </is>
      </c>
      <c r="G97" s="4" t="inlineStr">
        <is>
          <t>Searching</t>
        </is>
      </c>
      <c r="H97" s="4" t="inlineStr">
        <is>
          <t>array, binary-search</t>
        </is>
      </c>
      <c r="I97" s="4" t="inlineStr">
        <is>
          <t>Solved</t>
        </is>
      </c>
      <c r="J97" s="11" t="n">
        <v>45010.54008101852</v>
      </c>
      <c r="K97" s="11" t="n">
        <v>45010.54008101852</v>
      </c>
      <c r="L97" s="11" t="n">
        <v>45738.62385416667</v>
      </c>
      <c r="M97" s="4" t="n">
        <v>8</v>
      </c>
      <c r="N97" s="4" t="n">
        <v>7</v>
      </c>
      <c r="O97" s="4" t="n">
        <v>0</v>
      </c>
      <c r="P97" s="4">
        <f>IF(AND(N97&gt;0,O97=0),"Yes","No")</f>
        <v/>
      </c>
      <c r="Q97" s="4" t="n">
        <v>0</v>
      </c>
      <c r="R97" s="4" t="n">
        <v>0</v>
      </c>
      <c r="S97" s="4" t="n">
        <v>0</v>
      </c>
      <c r="T97" s="4" t="inlineStr">
        <is>
          <t>C++, Python3</t>
        </is>
      </c>
      <c r="U97" s="4" t="n">
        <v>100</v>
      </c>
      <c r="V97" s="9" t="inlineStr">
        <is>
          <t>Submission 1138961252</t>
        </is>
      </c>
      <c r="W97" s="9" t="inlineStr">
        <is>
          <t>Open code</t>
        </is>
      </c>
      <c r="X97" s="4" t="n">
        <v>10</v>
      </c>
      <c r="Y97" s="4" t="inlineStr">
        <is>
          <t>2023-03</t>
        </is>
      </c>
    </row>
    <row r="98">
      <c r="A98" s="4" t="n">
        <v>97</v>
      </c>
      <c r="B98" s="4" t="n">
        <v>210</v>
      </c>
      <c r="C98" s="9" t="inlineStr">
        <is>
          <t>Course Schedule II</t>
        </is>
      </c>
      <c r="D98" s="12" t="inlineStr">
        <is>
          <t>Medium</t>
        </is>
      </c>
      <c r="E98" s="4" t="inlineStr">
        <is>
          <t>Graph: Topological Sort</t>
        </is>
      </c>
      <c r="F98" s="4" t="inlineStr">
        <is>
          <t>Kahn order</t>
        </is>
      </c>
      <c r="G98" s="4" t="inlineStr">
        <is>
          <t>Graphs</t>
        </is>
      </c>
      <c r="H98" s="4" t="inlineStr">
        <is>
          <t>depth-first-search, breadth-first-search, graph, topological-sort</t>
        </is>
      </c>
      <c r="I98" s="4" t="inlineStr">
        <is>
          <t>Solved</t>
        </is>
      </c>
      <c r="J98" s="11" t="n">
        <v>45010.56799768518</v>
      </c>
      <c r="K98" s="11" t="n">
        <v>45010.56799768518</v>
      </c>
      <c r="L98" s="11" t="n">
        <v>45010.56799768518</v>
      </c>
      <c r="M98" s="4" t="n">
        <v>1</v>
      </c>
      <c r="N98" s="4" t="n">
        <v>1</v>
      </c>
      <c r="O98" s="4" t="n">
        <v>0</v>
      </c>
      <c r="P98" s="4">
        <f>IF(AND(N98&gt;0,O98=0),"Yes","No")</f>
        <v/>
      </c>
      <c r="Q98" s="4" t="n">
        <v>0</v>
      </c>
      <c r="R98" s="4" t="n">
        <v>0</v>
      </c>
      <c r="S98" s="4" t="n">
        <v>0</v>
      </c>
      <c r="T98" s="4" t="inlineStr">
        <is>
          <t>C++</t>
        </is>
      </c>
      <c r="U98" s="4" t="n">
        <v>5.1</v>
      </c>
      <c r="V98" s="9" t="inlineStr">
        <is>
          <t>Submission 921728668</t>
        </is>
      </c>
      <c r="W98" s="9" t="inlineStr">
        <is>
          <t>Open code</t>
        </is>
      </c>
      <c r="X98" s="4" t="n">
        <v>1</v>
      </c>
      <c r="Y98" s="4" t="inlineStr">
        <is>
          <t>2023-03</t>
        </is>
      </c>
    </row>
    <row r="99">
      <c r="A99" s="4" t="n">
        <v>98</v>
      </c>
      <c r="B99" s="4" t="n">
        <v>328</v>
      </c>
      <c r="C99" s="9" t="inlineStr">
        <is>
          <t>Odd Even Linked List</t>
        </is>
      </c>
      <c r="D99" s="12" t="inlineStr">
        <is>
          <t>Medium</t>
        </is>
      </c>
      <c r="E99" s="4" t="inlineStr">
        <is>
          <t>Linked List</t>
        </is>
      </c>
      <c r="F99" s="4" t="inlineStr">
        <is>
          <t>Re-linking</t>
        </is>
      </c>
      <c r="G99" s="4" t="inlineStr">
        <is>
          <t>Linked List</t>
        </is>
      </c>
      <c r="H99" s="4" t="inlineStr">
        <is>
          <t>linked-list</t>
        </is>
      </c>
      <c r="I99" s="4" t="inlineStr">
        <is>
          <t>Solved</t>
        </is>
      </c>
      <c r="J99" s="11" t="n">
        <v>45010.60443287037</v>
      </c>
      <c r="K99" s="11" t="n">
        <v>45010.60443287037</v>
      </c>
      <c r="L99" s="11" t="n">
        <v>45010.60443287037</v>
      </c>
      <c r="M99" s="4" t="n">
        <v>1</v>
      </c>
      <c r="N99" s="4" t="n">
        <v>1</v>
      </c>
      <c r="O99" s="4" t="n">
        <v>0</v>
      </c>
      <c r="P99" s="4">
        <f>IF(AND(N99&gt;0,O99=0),"Yes","No")</f>
        <v/>
      </c>
      <c r="Q99" s="4" t="n">
        <v>0</v>
      </c>
      <c r="R99" s="4" t="n">
        <v>0</v>
      </c>
      <c r="S99" s="4" t="n">
        <v>0</v>
      </c>
      <c r="T99" s="4" t="inlineStr">
        <is>
          <t>C++</t>
        </is>
      </c>
      <c r="U99" s="4" t="n">
        <v>0.7</v>
      </c>
      <c r="V99" s="9" t="inlineStr">
        <is>
          <t>Submission 921750222</t>
        </is>
      </c>
      <c r="W99" s="9" t="inlineStr">
        <is>
          <t>Open code</t>
        </is>
      </c>
      <c r="X99" s="4" t="n">
        <v>0</v>
      </c>
      <c r="Y99" s="4" t="inlineStr">
        <is>
          <t>2023-03</t>
        </is>
      </c>
    </row>
    <row r="100">
      <c r="A100" s="4" t="n">
        <v>99</v>
      </c>
      <c r="B100" s="4" t="n">
        <v>725</v>
      </c>
      <c r="C100" s="9" t="inlineStr">
        <is>
          <t>Split Linked List in Parts</t>
        </is>
      </c>
      <c r="D100" s="12" t="inlineStr">
        <is>
          <t>Medium</t>
        </is>
      </c>
      <c r="E100" s="4" t="inlineStr">
        <is>
          <t>Linked List</t>
        </is>
      </c>
      <c r="F100" s="4" t="inlineStr">
        <is>
          <t>Split by length</t>
        </is>
      </c>
      <c r="G100" s="4" t="inlineStr">
        <is>
          <t>Linked List</t>
        </is>
      </c>
      <c r="H100" s="4" t="inlineStr">
        <is>
          <t>linked-list</t>
        </is>
      </c>
      <c r="I100" s="4" t="inlineStr">
        <is>
          <t>Solved</t>
        </is>
      </c>
      <c r="J100" s="11" t="n">
        <v>45010.62490740741</v>
      </c>
      <c r="K100" s="11" t="n">
        <v>45010.62516203704</v>
      </c>
      <c r="L100" s="11" t="n">
        <v>45010.62516203704</v>
      </c>
      <c r="M100" s="4" t="n">
        <v>2</v>
      </c>
      <c r="N100" s="4" t="n">
        <v>1</v>
      </c>
      <c r="O100" s="4" t="n">
        <v>1</v>
      </c>
      <c r="P100" s="4">
        <f>IF(AND(N100&gt;0,O100=0),"Yes","No")</f>
        <v/>
      </c>
      <c r="Q100" s="4" t="n">
        <v>1</v>
      </c>
      <c r="R100" s="4" t="n">
        <v>0</v>
      </c>
      <c r="S100" s="4" t="n">
        <v>0</v>
      </c>
      <c r="T100" s="4" t="inlineStr">
        <is>
          <t>C++</t>
        </is>
      </c>
      <c r="U100" s="4" t="n">
        <v>0.1</v>
      </c>
      <c r="V100" s="9" t="inlineStr">
        <is>
          <t>Submission 921762544</t>
        </is>
      </c>
      <c r="W100" s="9" t="inlineStr">
        <is>
          <t>Open code</t>
        </is>
      </c>
      <c r="X100" s="4" t="n">
        <v>0</v>
      </c>
      <c r="Y100" s="4" t="inlineStr">
        <is>
          <t>2023-03</t>
        </is>
      </c>
    </row>
    <row r="101">
      <c r="A101" s="4" t="n">
        <v>100</v>
      </c>
      <c r="B101" s="4" t="n">
        <v>61</v>
      </c>
      <c r="C101" s="9" t="inlineStr">
        <is>
          <t>Rotate List</t>
        </is>
      </c>
      <c r="D101" s="12" t="inlineStr">
        <is>
          <t>Medium</t>
        </is>
      </c>
      <c r="E101" s="4" t="inlineStr">
        <is>
          <t>Linked List</t>
        </is>
      </c>
      <c r="F101" s="4" t="inlineStr">
        <is>
          <t>Rotate by k</t>
        </is>
      </c>
      <c r="G101" s="4" t="inlineStr">
        <is>
          <t>Linked List</t>
        </is>
      </c>
      <c r="H101" s="4" t="inlineStr">
        <is>
          <t>linked-list, two-pointers</t>
        </is>
      </c>
      <c r="I101" s="4" t="inlineStr">
        <is>
          <t>Solved</t>
        </is>
      </c>
      <c r="J101" s="11" t="n">
        <v>45010.63520833333</v>
      </c>
      <c r="K101" s="11" t="n">
        <v>45010.63804398148</v>
      </c>
      <c r="L101" s="11" t="n">
        <v>45010.63804398148</v>
      </c>
      <c r="M101" s="4" t="n">
        <v>4</v>
      </c>
      <c r="N101" s="4" t="n">
        <v>1</v>
      </c>
      <c r="O101" s="4" t="n">
        <v>3</v>
      </c>
      <c r="P101" s="4">
        <f>IF(AND(N101&gt;0,O101=0),"Yes","No")</f>
        <v/>
      </c>
      <c r="Q101" s="4" t="n">
        <v>0</v>
      </c>
      <c r="R101" s="4" t="n">
        <v>0</v>
      </c>
      <c r="S101" s="4" t="n">
        <v>3</v>
      </c>
      <c r="T101" s="4" t="inlineStr">
        <is>
          <t>C++</t>
        </is>
      </c>
      <c r="U101" s="4" t="n">
        <v>0.7</v>
      </c>
      <c r="V101" s="9" t="inlineStr">
        <is>
          <t>Submission 921770509</t>
        </is>
      </c>
      <c r="W101" s="9" t="inlineStr">
        <is>
          <t>Open code</t>
        </is>
      </c>
      <c r="X101" s="4" t="n">
        <v>1</v>
      </c>
      <c r="Y101" s="4" t="inlineStr">
        <is>
          <t>2023-03</t>
        </is>
      </c>
    </row>
    <row r="102">
      <c r="A102" s="4" t="n">
        <v>101</v>
      </c>
      <c r="B102" s="4" t="n">
        <v>148</v>
      </c>
      <c r="C102" s="9" t="inlineStr">
        <is>
          <t>Sort List</t>
        </is>
      </c>
      <c r="D102" s="12" t="inlineStr">
        <is>
          <t>Medium</t>
        </is>
      </c>
      <c r="E102" s="4" t="inlineStr">
        <is>
          <t>Linked List</t>
        </is>
      </c>
      <c r="F102" s="4" t="inlineStr">
        <is>
          <t>Merge sort on list</t>
        </is>
      </c>
      <c r="G102" s="4" t="inlineStr">
        <is>
          <t>Linked List</t>
        </is>
      </c>
      <c r="H102" s="4" t="inlineStr">
        <is>
          <t>linked-list, two-pointers, divide-and-conquer, sorting, merge-sort</t>
        </is>
      </c>
      <c r="I102" s="4" t="inlineStr">
        <is>
          <t>Solved</t>
        </is>
      </c>
      <c r="J102" s="11" t="n">
        <v>45010.65149305556</v>
      </c>
      <c r="K102" s="11" t="n">
        <v>45010.65149305556</v>
      </c>
      <c r="L102" s="11" t="n">
        <v>45010.65149305556</v>
      </c>
      <c r="M102" s="4" t="n">
        <v>1</v>
      </c>
      <c r="N102" s="4" t="n">
        <v>1</v>
      </c>
      <c r="O102" s="4" t="n">
        <v>0</v>
      </c>
      <c r="P102" s="4">
        <f>IF(AND(N102&gt;0,O102=0),"Yes","No")</f>
        <v/>
      </c>
      <c r="Q102" s="4" t="n">
        <v>0</v>
      </c>
      <c r="R102" s="4" t="n">
        <v>0</v>
      </c>
      <c r="S102" s="4" t="n">
        <v>0</v>
      </c>
      <c r="T102" s="4" t="inlineStr">
        <is>
          <t>C++</t>
        </is>
      </c>
      <c r="U102" s="4" t="n">
        <v>5.2</v>
      </c>
      <c r="V102" s="9" t="inlineStr">
        <is>
          <t>Submission 921778877</t>
        </is>
      </c>
      <c r="W102" s="9" t="inlineStr">
        <is>
          <t>Open code</t>
        </is>
      </c>
      <c r="X102" s="4" t="n">
        <v>1</v>
      </c>
      <c r="Y102" s="4" t="inlineStr">
        <is>
          <t>2023-03</t>
        </is>
      </c>
    </row>
    <row r="103">
      <c r="A103" s="4" t="n">
        <v>102</v>
      </c>
      <c r="B103" s="4" t="n">
        <v>101</v>
      </c>
      <c r="C103" s="9" t="inlineStr">
        <is>
          <t>Symmetric Tree</t>
        </is>
      </c>
      <c r="D103" s="10" t="inlineStr">
        <is>
          <t>Easy</t>
        </is>
      </c>
      <c r="E103" s="4" t="inlineStr">
        <is>
          <t>Binary Tree (DFS &amp; Recursion)</t>
        </is>
      </c>
      <c r="F103" s="4" t="inlineStr">
        <is>
          <t>Mirror DFS</t>
        </is>
      </c>
      <c r="G103" s="4" t="inlineStr">
        <is>
          <t>Trees</t>
        </is>
      </c>
      <c r="H103" s="4" t="inlineStr">
        <is>
          <t>tree, depth-first-search, breadth-first-search, binary-tree</t>
        </is>
      </c>
      <c r="I103" s="4" t="inlineStr">
        <is>
          <t>Solved</t>
        </is>
      </c>
      <c r="J103" s="11" t="n">
        <v>45010.65863425926</v>
      </c>
      <c r="K103" s="11" t="n">
        <v>45010.65863425926</v>
      </c>
      <c r="L103" s="11" t="n">
        <v>45010.65925925926</v>
      </c>
      <c r="M103" s="4" t="n">
        <v>2</v>
      </c>
      <c r="N103" s="4" t="n">
        <v>2</v>
      </c>
      <c r="O103" s="4" t="n">
        <v>0</v>
      </c>
      <c r="P103" s="4">
        <f>IF(AND(N103&gt;0,O103=0),"Yes","No")</f>
        <v/>
      </c>
      <c r="Q103" s="4" t="n">
        <v>0</v>
      </c>
      <c r="R103" s="4" t="n">
        <v>0</v>
      </c>
      <c r="S103" s="4" t="n">
        <v>0</v>
      </c>
      <c r="T103" s="4" t="inlineStr">
        <is>
          <t>C++</t>
        </is>
      </c>
      <c r="U103" s="4" t="n">
        <v>0.5</v>
      </c>
      <c r="V103" s="9" t="inlineStr">
        <is>
          <t>Submission 921783664</t>
        </is>
      </c>
      <c r="W103" s="9" t="inlineStr">
        <is>
          <t>Open code</t>
        </is>
      </c>
      <c r="X103" s="4" t="n">
        <v>0</v>
      </c>
      <c r="Y103" s="4" t="inlineStr">
        <is>
          <t>2023-03</t>
        </is>
      </c>
    </row>
    <row r="104">
      <c r="A104" s="4" t="n">
        <v>103</v>
      </c>
      <c r="B104" s="4" t="n">
        <v>104</v>
      </c>
      <c r="C104" s="9" t="inlineStr">
        <is>
          <t>Maximum Depth of Binary Tree</t>
        </is>
      </c>
      <c r="D104" s="10" t="inlineStr">
        <is>
          <t>Easy</t>
        </is>
      </c>
      <c r="E104" s="4" t="inlineStr">
        <is>
          <t>Binary Tree (DFS &amp; Recursion)</t>
        </is>
      </c>
      <c r="F104" s="4" t="inlineStr">
        <is>
          <t>Height DFS</t>
        </is>
      </c>
      <c r="G104" s="4" t="inlineStr">
        <is>
          <t>Trees</t>
        </is>
      </c>
      <c r="H104" s="4" t="inlineStr">
        <is>
          <t>tree, depth-first-search, breadth-first-search, binary-tree</t>
        </is>
      </c>
      <c r="I104" s="4" t="inlineStr">
        <is>
          <t>Solved</t>
        </is>
      </c>
      <c r="J104" s="11" t="n">
        <v>45010.66074074074</v>
      </c>
      <c r="K104" s="11" t="n">
        <v>45010.66074074074</v>
      </c>
      <c r="L104" s="11" t="n">
        <v>45010.66074074074</v>
      </c>
      <c r="M104" s="4" t="n">
        <v>1</v>
      </c>
      <c r="N104" s="4" t="n">
        <v>1</v>
      </c>
      <c r="O104" s="4" t="n">
        <v>0</v>
      </c>
      <c r="P104" s="4">
        <f>IF(AND(N104&gt;0,O104=0),"Yes","No")</f>
        <v/>
      </c>
      <c r="Q104" s="4" t="n">
        <v>0</v>
      </c>
      <c r="R104" s="4" t="n">
        <v>0</v>
      </c>
      <c r="S104" s="4" t="n">
        <v>0</v>
      </c>
      <c r="T104" s="4" t="inlineStr">
        <is>
          <t>C++</t>
        </is>
      </c>
      <c r="U104" s="4" t="n">
        <v>1</v>
      </c>
      <c r="V104" s="9" t="inlineStr">
        <is>
          <t>Submission 921784525</t>
        </is>
      </c>
      <c r="W104" s="9" t="inlineStr">
        <is>
          <t>Open code</t>
        </is>
      </c>
      <c r="X104" s="4" t="n">
        <v>1</v>
      </c>
      <c r="Y104" s="4" t="inlineStr">
        <is>
          <t>2023-03</t>
        </is>
      </c>
    </row>
    <row r="105">
      <c r="A105" s="4" t="n">
        <v>104</v>
      </c>
      <c r="B105" s="4" t="n">
        <v>116</v>
      </c>
      <c r="C105" s="9" t="inlineStr">
        <is>
          <t>Populating Next Right Pointers in Each Node</t>
        </is>
      </c>
      <c r="D105" s="12" t="inlineStr">
        <is>
          <t>Medium</t>
        </is>
      </c>
      <c r="E105" s="4" t="inlineStr">
        <is>
          <t>Binary Tree (BFS / Level Order)</t>
        </is>
      </c>
      <c r="F105" s="4" t="inlineStr">
        <is>
          <t>Level linking</t>
        </is>
      </c>
      <c r="G105" s="4" t="inlineStr">
        <is>
          <t>Trees</t>
        </is>
      </c>
      <c r="H105" s="4" t="inlineStr">
        <is>
          <t>linked-list, tree, depth-first-search, breadth-first-search, binary-tree</t>
        </is>
      </c>
      <c r="I105" s="4" t="inlineStr">
        <is>
          <t>Solved</t>
        </is>
      </c>
      <c r="J105" s="11" t="n">
        <v>45010.66527777778</v>
      </c>
      <c r="K105" s="11" t="n">
        <v>45010.66527777778</v>
      </c>
      <c r="L105" s="11" t="n">
        <v>45010.66527777778</v>
      </c>
      <c r="M105" s="4" t="n">
        <v>1</v>
      </c>
      <c r="N105" s="4" t="n">
        <v>1</v>
      </c>
      <c r="O105" s="4" t="n">
        <v>0</v>
      </c>
      <c r="P105" s="4">
        <f>IF(AND(N105&gt;0,O105=0),"Yes","No")</f>
        <v/>
      </c>
      <c r="Q105" s="4" t="n">
        <v>0</v>
      </c>
      <c r="R105" s="4" t="n">
        <v>0</v>
      </c>
      <c r="S105" s="4" t="n">
        <v>0</v>
      </c>
      <c r="T105" s="4" t="inlineStr">
        <is>
          <t>C++</t>
        </is>
      </c>
      <c r="U105" s="4" t="n">
        <v>11.8</v>
      </c>
      <c r="V105" s="9" t="inlineStr">
        <is>
          <t>Submission 921787275</t>
        </is>
      </c>
      <c r="W105" s="9" t="inlineStr">
        <is>
          <t>Open code</t>
        </is>
      </c>
      <c r="X105" s="4" t="n">
        <v>1</v>
      </c>
      <c r="Y105" s="4" t="inlineStr">
        <is>
          <t>2023-03</t>
        </is>
      </c>
    </row>
    <row r="106">
      <c r="A106" s="4" t="n">
        <v>105</v>
      </c>
      <c r="B106" s="4" t="n">
        <v>130</v>
      </c>
      <c r="C106" s="9" t="inlineStr">
        <is>
          <t>Surrounded Regions</t>
        </is>
      </c>
      <c r="D106" s="12" t="inlineStr">
        <is>
          <t>Medium</t>
        </is>
      </c>
      <c r="E106" s="4" t="inlineStr">
        <is>
          <t>Graph: Grid BFS/DFS</t>
        </is>
      </c>
      <c r="F106" s="4" t="inlineStr">
        <is>
          <t>Border flood fill</t>
        </is>
      </c>
      <c r="G106" s="4" t="inlineStr">
        <is>
          <t>Graphs</t>
        </is>
      </c>
      <c r="H106" s="4" t="inlineStr">
        <is>
          <t>array, depth-first-search, breadth-first-search, union-find, matrix</t>
        </is>
      </c>
      <c r="I106" s="4" t="inlineStr">
        <is>
          <t>Solved</t>
        </is>
      </c>
      <c r="J106" s="11" t="n">
        <v>45010.69734953704</v>
      </c>
      <c r="K106" s="11" t="n">
        <v>45010.69734953704</v>
      </c>
      <c r="L106" s="11" t="n">
        <v>45045.42936342592</v>
      </c>
      <c r="M106" s="4" t="n">
        <v>6</v>
      </c>
      <c r="N106" s="4" t="n">
        <v>5</v>
      </c>
      <c r="O106" s="4" t="n">
        <v>0</v>
      </c>
      <c r="P106" s="4">
        <f>IF(AND(N106&gt;0,O106=0),"Yes","No")</f>
        <v/>
      </c>
      <c r="Q106" s="4" t="n">
        <v>0</v>
      </c>
      <c r="R106" s="4" t="n">
        <v>0</v>
      </c>
      <c r="S106" s="4" t="n">
        <v>0</v>
      </c>
      <c r="T106" s="4" t="inlineStr">
        <is>
          <t>C++</t>
        </is>
      </c>
      <c r="U106" s="4" t="n">
        <v>5.1</v>
      </c>
      <c r="V106" s="9" t="inlineStr">
        <is>
          <t>Submission 941385744</t>
        </is>
      </c>
      <c r="W106" s="9" t="inlineStr">
        <is>
          <t>Open code</t>
        </is>
      </c>
      <c r="X106" s="4" t="n">
        <v>0</v>
      </c>
      <c r="Y106" s="4" t="inlineStr">
        <is>
          <t>2023-03</t>
        </is>
      </c>
    </row>
    <row r="107">
      <c r="A107" s="4" t="n">
        <v>106</v>
      </c>
      <c r="B107" s="4" t="n">
        <v>329</v>
      </c>
      <c r="C107" s="9" t="inlineStr">
        <is>
          <t>Longest Increasing Path in a Matrix</t>
        </is>
      </c>
      <c r="D107" s="13" t="inlineStr">
        <is>
          <t>Hard</t>
        </is>
      </c>
      <c r="E107" s="4" t="inlineStr">
        <is>
          <t>DP: Grid / 2D</t>
        </is>
      </c>
      <c r="F107" s="4" t="inlineStr">
        <is>
          <t>Memoized DFS on grid</t>
        </is>
      </c>
      <c r="G107" s="4" t="inlineStr">
        <is>
          <t>Dynamic Programming</t>
        </is>
      </c>
      <c r="H107" s="4" t="inlineStr">
        <is>
          <t>array, dynamic-programming, depth-first-search, breadth-first-search, graph, topological-sort, memoization, matrix, directed-acyclic-graph</t>
        </is>
      </c>
      <c r="I107" s="4" t="inlineStr">
        <is>
          <t>Solved</t>
        </is>
      </c>
      <c r="J107" s="11" t="n">
        <v>45010.70930555555</v>
      </c>
      <c r="K107" s="11" t="n">
        <v>45010.71231481482</v>
      </c>
      <c r="L107" s="11" t="n">
        <v>45306.95439814815</v>
      </c>
      <c r="M107" s="4" t="n">
        <v>8</v>
      </c>
      <c r="N107" s="4" t="n">
        <v>4</v>
      </c>
      <c r="O107" s="4" t="n">
        <v>1</v>
      </c>
      <c r="P107" s="4">
        <f>IF(AND(N107&gt;0,O107=0),"Yes","No")</f>
        <v/>
      </c>
      <c r="Q107" s="4" t="n">
        <v>0</v>
      </c>
      <c r="R107" s="4" t="n">
        <v>1</v>
      </c>
      <c r="S107" s="4" t="n">
        <v>0</v>
      </c>
      <c r="T107" s="4" t="inlineStr">
        <is>
          <t>C++, Python3</t>
        </is>
      </c>
      <c r="U107" s="4" t="n">
        <v>5.8</v>
      </c>
      <c r="V107" s="9" t="inlineStr">
        <is>
          <t>Submission 1147068669</t>
        </is>
      </c>
      <c r="W107" s="9" t="inlineStr">
        <is>
          <t>Open code</t>
        </is>
      </c>
      <c r="X107" s="4" t="n">
        <v>1</v>
      </c>
      <c r="Y107" s="4" t="inlineStr">
        <is>
          <t>2023-03</t>
        </is>
      </c>
    </row>
    <row r="108">
      <c r="A108" s="4" t="n">
        <v>107</v>
      </c>
      <c r="B108" s="4" t="n">
        <v>269</v>
      </c>
      <c r="C108" s="9" t="inlineStr">
        <is>
          <t>Alien Dictionary</t>
        </is>
      </c>
      <c r="D108" s="13" t="inlineStr">
        <is>
          <t>Hard</t>
        </is>
      </c>
      <c r="E108" s="4" t="inlineStr">
        <is>
          <t>Graph: Topological Sort</t>
        </is>
      </c>
      <c r="F108" s="4" t="inlineStr">
        <is>
          <t>Order from word pairs</t>
        </is>
      </c>
      <c r="G108" s="4" t="inlineStr">
        <is>
          <t>Graphs</t>
        </is>
      </c>
      <c r="H108" s="4" t="inlineStr">
        <is>
          <t>array, string, depth-first-search, breadth-first-search, graph, topological-sort, directed-acyclic-graph</t>
        </is>
      </c>
      <c r="I108" s="4" t="inlineStr">
        <is>
          <t>Solved</t>
        </is>
      </c>
      <c r="J108" s="11" t="n">
        <v>45010.81021990741</v>
      </c>
      <c r="K108" s="11" t="n">
        <v>45010.81021990741</v>
      </c>
      <c r="L108" s="11" t="n">
        <v>45258.93108796296</v>
      </c>
      <c r="M108" s="4" t="n">
        <v>20</v>
      </c>
      <c r="N108" s="4" t="n">
        <v>6</v>
      </c>
      <c r="O108" s="4" t="n">
        <v>0</v>
      </c>
      <c r="P108" s="4">
        <f>IF(AND(N108&gt;0,O108=0),"Yes","No")</f>
        <v/>
      </c>
      <c r="Q108" s="4" t="n">
        <v>0</v>
      </c>
      <c r="R108" s="4" t="n">
        <v>0</v>
      </c>
      <c r="S108" s="4" t="n">
        <v>0</v>
      </c>
      <c r="T108" s="4" t="inlineStr">
        <is>
          <t>C++, Python3</t>
        </is>
      </c>
      <c r="U108" s="4" t="n">
        <v>18.8</v>
      </c>
      <c r="V108" s="9" t="inlineStr">
        <is>
          <t>Submission 1100937709</t>
        </is>
      </c>
      <c r="W108" s="9" t="inlineStr">
        <is>
          <t>Open code</t>
        </is>
      </c>
      <c r="X108" s="4" t="n">
        <v>3</v>
      </c>
      <c r="Y108" s="4" t="inlineStr">
        <is>
          <t>2023-03</t>
        </is>
      </c>
    </row>
    <row r="109">
      <c r="A109" s="4" t="n">
        <v>108</v>
      </c>
      <c r="B109" s="4" t="n">
        <v>2316</v>
      </c>
      <c r="C109" s="9" t="inlineStr">
        <is>
          <t>Count Unreachable Pairs of Nodes in an Undirected Graph</t>
        </is>
      </c>
      <c r="D109" s="12" t="inlineStr">
        <is>
          <t>Medium</t>
        </is>
      </c>
      <c r="E109" s="4" t="inlineStr">
        <is>
          <t>Graph: Union-Find</t>
        </is>
      </c>
      <c r="F109" s="4" t="inlineStr">
        <is>
          <t>Component sizes</t>
        </is>
      </c>
      <c r="G109" s="4" t="inlineStr">
        <is>
          <t>Graphs</t>
        </is>
      </c>
      <c r="H109" s="4" t="inlineStr">
        <is>
          <t>depth-first-search, breadth-first-search, union-find, graph</t>
        </is>
      </c>
      <c r="I109" s="4" t="inlineStr">
        <is>
          <t>Solved</t>
        </is>
      </c>
      <c r="J109" s="11" t="n">
        <v>45010.8596412037</v>
      </c>
      <c r="K109" s="11" t="n">
        <v>45010.86003472222</v>
      </c>
      <c r="L109" s="11" t="n">
        <v>45010.86003472222</v>
      </c>
      <c r="M109" s="4" t="n">
        <v>2</v>
      </c>
      <c r="N109" s="4" t="n">
        <v>1</v>
      </c>
      <c r="O109" s="4" t="n">
        <v>1</v>
      </c>
      <c r="P109" s="4">
        <f>IF(AND(N109&gt;0,O109=0),"Yes","No")</f>
        <v/>
      </c>
      <c r="Q109" s="4" t="n">
        <v>0</v>
      </c>
      <c r="R109" s="4" t="n">
        <v>0</v>
      </c>
      <c r="S109" s="4" t="n">
        <v>1</v>
      </c>
      <c r="T109" s="4" t="inlineStr">
        <is>
          <t>C++</t>
        </is>
      </c>
      <c r="U109" s="4" t="n">
        <v>5.1</v>
      </c>
      <c r="V109" s="9" t="inlineStr">
        <is>
          <t>Submission 921905561</t>
        </is>
      </c>
      <c r="W109" s="9" t="inlineStr">
        <is>
          <t>Open code</t>
        </is>
      </c>
      <c r="X109" s="4" t="n">
        <v>0</v>
      </c>
      <c r="Y109" s="4" t="inlineStr">
        <is>
          <t>2023-03</t>
        </is>
      </c>
    </row>
    <row r="110">
      <c r="A110" s="4" t="n">
        <v>109</v>
      </c>
      <c r="B110" s="4" t="n">
        <v>1740</v>
      </c>
      <c r="C110" s="9" t="inlineStr">
        <is>
          <t>Find Distance in a Binary Tree</t>
        </is>
      </c>
      <c r="D110" s="12" t="inlineStr">
        <is>
          <t>Medium</t>
        </is>
      </c>
      <c r="E110" s="4" t="inlineStr">
        <is>
          <t>Binary Tree (DFS &amp; Recursion)</t>
        </is>
      </c>
      <c r="F110" s="4" t="inlineStr">
        <is>
          <t>LCA + depth</t>
        </is>
      </c>
      <c r="G110" s="4" t="inlineStr">
        <is>
          <t>Trees</t>
        </is>
      </c>
      <c r="H110" s="4" t="inlineStr">
        <is>
          <t>hash-table, tree, depth-first-search, breadth-first-search, binary-tree, binary-lifting, lowest-common-ancestor</t>
        </is>
      </c>
      <c r="I110" s="4" t="inlineStr">
        <is>
          <t>Solved</t>
        </is>
      </c>
      <c r="J110" s="11" t="n">
        <v>45010.88097222222</v>
      </c>
      <c r="K110" s="11" t="n">
        <v>45010.88097222222</v>
      </c>
      <c r="L110" s="11" t="n">
        <v>45010.88555555556</v>
      </c>
      <c r="M110" s="4" t="n">
        <v>4</v>
      </c>
      <c r="N110" s="4" t="n">
        <v>4</v>
      </c>
      <c r="O110" s="4" t="n">
        <v>0</v>
      </c>
      <c r="P110" s="4">
        <f>IF(AND(N110&gt;0,O110=0),"Yes","No")</f>
        <v/>
      </c>
      <c r="Q110" s="4" t="n">
        <v>0</v>
      </c>
      <c r="R110" s="4" t="n">
        <v>0</v>
      </c>
      <c r="S110" s="4" t="n">
        <v>0</v>
      </c>
      <c r="T110" s="4" t="inlineStr">
        <is>
          <t>C++</t>
        </is>
      </c>
      <c r="U110" s="4" t="n">
        <v>11.5</v>
      </c>
      <c r="V110" s="9" t="inlineStr">
        <is>
          <t>Submission 921922599</t>
        </is>
      </c>
      <c r="W110" s="9" t="inlineStr">
        <is>
          <t>Open code</t>
        </is>
      </c>
      <c r="X110" s="4" t="n">
        <v>0</v>
      </c>
      <c r="Y110" s="4" t="inlineStr">
        <is>
          <t>2023-03</t>
        </is>
      </c>
    </row>
    <row r="111">
      <c r="A111" s="4" t="n">
        <v>110</v>
      </c>
      <c r="B111" s="4" t="n">
        <v>987</v>
      </c>
      <c r="C111" s="9" t="inlineStr">
        <is>
          <t>Vertical Order Traversal of a Binary Tree</t>
        </is>
      </c>
      <c r="D111" s="13" t="inlineStr">
        <is>
          <t>Hard</t>
        </is>
      </c>
      <c r="E111" s="4" t="inlineStr">
        <is>
          <t>Binary Tree (BFS / Level Order)</t>
        </is>
      </c>
      <c r="F111" s="4" t="inlineStr">
        <is>
          <t>Column ordering + sort</t>
        </is>
      </c>
      <c r="G111" s="4" t="inlineStr">
        <is>
          <t>Trees</t>
        </is>
      </c>
      <c r="H111" s="4" t="inlineStr">
        <is>
          <t>hash-table, tree, depth-first-search, breadth-first-search, sorting, binary-tree</t>
        </is>
      </c>
      <c r="I111" s="4" t="inlineStr">
        <is>
          <t>Solved</t>
        </is>
      </c>
      <c r="J111" s="11" t="n">
        <v>45010.90381944444</v>
      </c>
      <c r="K111" s="11" t="n">
        <v>45010.90381944444</v>
      </c>
      <c r="L111" s="11" t="n">
        <v>45290.28969907408</v>
      </c>
      <c r="M111" s="4" t="n">
        <v>9</v>
      </c>
      <c r="N111" s="4" t="n">
        <v>6</v>
      </c>
      <c r="O111" s="4" t="n">
        <v>0</v>
      </c>
      <c r="P111" s="4">
        <f>IF(AND(N111&gt;0,O111=0),"Yes","No")</f>
        <v/>
      </c>
      <c r="Q111" s="4" t="n">
        <v>0</v>
      </c>
      <c r="R111" s="4" t="n">
        <v>0</v>
      </c>
      <c r="S111" s="4" t="n">
        <v>0</v>
      </c>
      <c r="T111" s="4" t="inlineStr">
        <is>
          <t>C++, Python3</t>
        </is>
      </c>
      <c r="U111" s="4" t="n">
        <v>21.7</v>
      </c>
      <c r="V111" s="9" t="inlineStr">
        <is>
          <t>Submission 1131817657</t>
        </is>
      </c>
      <c r="W111" s="9" t="inlineStr">
        <is>
          <t>Open code</t>
        </is>
      </c>
      <c r="X111" s="4" t="n">
        <v>0</v>
      </c>
      <c r="Y111" s="4" t="inlineStr">
        <is>
          <t>2023-03</t>
        </is>
      </c>
    </row>
    <row r="112">
      <c r="A112" s="4" t="n">
        <v>111</v>
      </c>
      <c r="B112" s="4" t="n">
        <v>427</v>
      </c>
      <c r="C112" s="9" t="inlineStr">
        <is>
          <t>Construct Quad Tree</t>
        </is>
      </c>
      <c r="D112" s="12" t="inlineStr">
        <is>
          <t>Medium</t>
        </is>
      </c>
      <c r="E112" s="4" t="inlineStr">
        <is>
          <t>Binary Tree (DFS &amp; Recursion)</t>
        </is>
      </c>
      <c r="F112" s="4" t="inlineStr">
        <is>
          <t>Divide and conquer</t>
        </is>
      </c>
      <c r="G112" s="4" t="inlineStr">
        <is>
          <t>Trees</t>
        </is>
      </c>
      <c r="H112" s="4" t="inlineStr">
        <is>
          <t>array, divide-and-conquer, tree, matrix</t>
        </is>
      </c>
      <c r="I112" s="4" t="inlineStr">
        <is>
          <t>Solved</t>
        </is>
      </c>
      <c r="J112" s="11" t="n">
        <v>45010.94716435186</v>
      </c>
      <c r="K112" s="11" t="n">
        <v>45010.94716435186</v>
      </c>
      <c r="L112" s="11" t="n">
        <v>45010.9482175926</v>
      </c>
      <c r="M112" s="4" t="n">
        <v>2</v>
      </c>
      <c r="N112" s="4" t="n">
        <v>2</v>
      </c>
      <c r="O112" s="4" t="n">
        <v>0</v>
      </c>
      <c r="P112" s="4">
        <f>IF(AND(N112&gt;0,O112=0),"Yes","No")</f>
        <v/>
      </c>
      <c r="Q112" s="4" t="n">
        <v>0</v>
      </c>
      <c r="R112" s="4" t="n">
        <v>0</v>
      </c>
      <c r="S112" s="4" t="n">
        <v>0</v>
      </c>
      <c r="T112" s="4" t="inlineStr">
        <is>
          <t>C++</t>
        </is>
      </c>
      <c r="U112" s="4" t="n">
        <v>15.2</v>
      </c>
      <c r="V112" s="9" t="inlineStr">
        <is>
          <t>Submission 921968887</t>
        </is>
      </c>
      <c r="W112" s="9" t="inlineStr">
        <is>
          <t>Open code</t>
        </is>
      </c>
      <c r="X112" s="4" t="n">
        <v>0</v>
      </c>
      <c r="Y112" s="4" t="inlineStr">
        <is>
          <t>2023-03</t>
        </is>
      </c>
    </row>
    <row r="113">
      <c r="A113" s="4" t="n">
        <v>112</v>
      </c>
      <c r="B113" s="4" t="n">
        <v>465</v>
      </c>
      <c r="C113" s="9" t="inlineStr">
        <is>
          <t>Optimal Account Balancing</t>
        </is>
      </c>
      <c r="D113" s="13" t="inlineStr">
        <is>
          <t>Hard</t>
        </is>
      </c>
      <c r="E113" s="4" t="inlineStr">
        <is>
          <t>Backtracking</t>
        </is>
      </c>
      <c r="F113" s="4" t="inlineStr">
        <is>
          <t>Debt-settlement search</t>
        </is>
      </c>
      <c r="G113" s="4" t="inlineStr">
        <is>
          <t>Recursion &amp; Backtracking</t>
        </is>
      </c>
      <c r="H113" s="4" t="inlineStr">
        <is>
          <t>array, dynamic-programming, backtracking, bit-manipulation, bitmask</t>
        </is>
      </c>
      <c r="I113" s="4" t="inlineStr">
        <is>
          <t>Solved</t>
        </is>
      </c>
      <c r="J113" s="11" t="n">
        <v>45011.02782407407</v>
      </c>
      <c r="K113" s="11" t="n">
        <v>45011.02782407407</v>
      </c>
      <c r="L113" s="11" t="n">
        <v>45011.03064814815</v>
      </c>
      <c r="M113" s="4" t="n">
        <v>3</v>
      </c>
      <c r="N113" s="4" t="n">
        <v>2</v>
      </c>
      <c r="O113" s="4" t="n">
        <v>0</v>
      </c>
      <c r="P113" s="4">
        <f>IF(AND(N113&gt;0,O113=0),"Yes","No")</f>
        <v/>
      </c>
      <c r="Q113" s="4" t="n">
        <v>0</v>
      </c>
      <c r="R113" s="4" t="n">
        <v>0</v>
      </c>
      <c r="S113" s="4" t="n">
        <v>0</v>
      </c>
      <c r="T113" s="4" t="inlineStr">
        <is>
          <t>C++</t>
        </is>
      </c>
      <c r="U113" s="4" t="n">
        <v>15.1</v>
      </c>
      <c r="V113" s="9" t="inlineStr">
        <is>
          <t>Submission 922031653</t>
        </is>
      </c>
      <c r="W113" s="9" t="inlineStr">
        <is>
          <t>Open code</t>
        </is>
      </c>
      <c r="X113" s="4" t="n">
        <v>0</v>
      </c>
      <c r="Y113" s="4" t="inlineStr">
        <is>
          <t>2023-03</t>
        </is>
      </c>
    </row>
    <row r="114">
      <c r="A114" s="4" t="n">
        <v>113</v>
      </c>
      <c r="B114" s="4" t="n">
        <v>1842</v>
      </c>
      <c r="C114" s="9" t="inlineStr">
        <is>
          <t>Next Palindrome Using Same Digits</t>
        </is>
      </c>
      <c r="D114" s="13" t="inlineStr">
        <is>
          <t>Hard</t>
        </is>
      </c>
      <c r="E114" s="4" t="inlineStr">
        <is>
          <t>Two Pointers</t>
        </is>
      </c>
      <c r="F114" s="4" t="inlineStr">
        <is>
          <t>Next permutation on half</t>
        </is>
      </c>
      <c r="G114" s="4" t="inlineStr">
        <is>
          <t>Arrays &amp; Strings</t>
        </is>
      </c>
      <c r="H114" s="4" t="inlineStr">
        <is>
          <t>two-pointers, string</t>
        </is>
      </c>
      <c r="I114" s="4" t="inlineStr">
        <is>
          <t>Solved</t>
        </is>
      </c>
      <c r="J114" s="11" t="n">
        <v>45011.06364583333</v>
      </c>
      <c r="K114" s="11" t="n">
        <v>45011.06364583333</v>
      </c>
      <c r="L114" s="11" t="n">
        <v>45011.06364583333</v>
      </c>
      <c r="M114" s="4" t="n">
        <v>1</v>
      </c>
      <c r="N114" s="4" t="n">
        <v>1</v>
      </c>
      <c r="O114" s="4" t="n">
        <v>0</v>
      </c>
      <c r="P114" s="4">
        <f>IF(AND(N114&gt;0,O114=0),"Yes","No")</f>
        <v/>
      </c>
      <c r="Q114" s="4" t="n">
        <v>0</v>
      </c>
      <c r="R114" s="4" t="n">
        <v>0</v>
      </c>
      <c r="S114" s="4" t="n">
        <v>0</v>
      </c>
      <c r="T114" s="4" t="inlineStr">
        <is>
          <t>C++</t>
        </is>
      </c>
      <c r="U114" s="4" t="n">
        <v>0</v>
      </c>
      <c r="V114" s="9" t="inlineStr">
        <is>
          <t>Submission 922051842</t>
        </is>
      </c>
      <c r="W114" s="9" t="inlineStr">
        <is>
          <t>Open code</t>
        </is>
      </c>
      <c r="X114" s="4" t="n">
        <v>0</v>
      </c>
      <c r="Y114" s="4" t="inlineStr">
        <is>
          <t>2023-03</t>
        </is>
      </c>
    </row>
    <row r="115">
      <c r="A115" s="4" t="n">
        <v>114</v>
      </c>
      <c r="B115" s="4" t="n">
        <v>31</v>
      </c>
      <c r="C115" s="9" t="inlineStr">
        <is>
          <t>Next Permutation</t>
        </is>
      </c>
      <c r="D115" s="12" t="inlineStr">
        <is>
          <t>Medium</t>
        </is>
      </c>
      <c r="E115" s="4" t="inlineStr">
        <is>
          <t>Two Pointers</t>
        </is>
      </c>
      <c r="F115" s="4" t="inlineStr">
        <is>
          <t>Next permutation</t>
        </is>
      </c>
      <c r="G115" s="4" t="inlineStr">
        <is>
          <t>Arrays &amp; Strings</t>
        </is>
      </c>
      <c r="H115" s="4" t="inlineStr">
        <is>
          <t>array, two-pointers</t>
        </is>
      </c>
      <c r="I115" s="4" t="inlineStr">
        <is>
          <t>Solved</t>
        </is>
      </c>
      <c r="J115" s="11" t="n">
        <v>45011.07887731482</v>
      </c>
      <c r="K115" s="11" t="n">
        <v>45011.0905787037</v>
      </c>
      <c r="L115" s="11" t="n">
        <v>45376.86846064815</v>
      </c>
      <c r="M115" s="4" t="n">
        <v>5</v>
      </c>
      <c r="N115" s="4" t="n">
        <v>3</v>
      </c>
      <c r="O115" s="4" t="n">
        <v>1</v>
      </c>
      <c r="P115" s="4">
        <f>IF(AND(N115&gt;0,O115=0),"Yes","No")</f>
        <v/>
      </c>
      <c r="Q115" s="4" t="n">
        <v>1</v>
      </c>
      <c r="R115" s="4" t="n">
        <v>0</v>
      </c>
      <c r="S115" s="4" t="n">
        <v>0</v>
      </c>
      <c r="T115" s="4" t="inlineStr">
        <is>
          <t>C++, Python, Python3</t>
        </is>
      </c>
      <c r="U115" s="4" t="n">
        <v>1.8</v>
      </c>
      <c r="V115" s="9" t="inlineStr">
        <is>
          <t>Submission 1213568405</t>
        </is>
      </c>
      <c r="W115" s="9" t="inlineStr">
        <is>
          <t>Open code</t>
        </is>
      </c>
      <c r="X115" s="4" t="n">
        <v>2</v>
      </c>
      <c r="Y115" s="4" t="inlineStr">
        <is>
          <t>2023-03</t>
        </is>
      </c>
    </row>
    <row r="116">
      <c r="A116" s="4" t="n">
        <v>115</v>
      </c>
      <c r="B116" s="4" t="n">
        <v>2360</v>
      </c>
      <c r="C116" s="9" t="inlineStr">
        <is>
          <t>Longest Cycle in a Graph</t>
        </is>
      </c>
      <c r="D116" s="13" t="inlineStr">
        <is>
          <t>Hard</t>
        </is>
      </c>
      <c r="E116" s="4" t="inlineStr">
        <is>
          <t>Graph: General BFS/DFS</t>
        </is>
      </c>
      <c r="F116" s="4" t="inlineStr">
        <is>
          <t>Cycle in functional graph</t>
        </is>
      </c>
      <c r="G116" s="4" t="inlineStr">
        <is>
          <t>Graphs</t>
        </is>
      </c>
      <c r="H116" s="4" t="inlineStr">
        <is>
          <t>depth-first-search, breadth-first-search, graph, topological-sort, kosarajus-algorithm, tarjans-scc-algorithm</t>
        </is>
      </c>
      <c r="I116" s="4" t="inlineStr">
        <is>
          <t>Solved</t>
        </is>
      </c>
      <c r="J116" s="11" t="n">
        <v>45011.80487268518</v>
      </c>
      <c r="K116" s="11" t="n">
        <v>45011.80487268518</v>
      </c>
      <c r="L116" s="11" t="n">
        <v>45011.80657407407</v>
      </c>
      <c r="M116" s="4" t="n">
        <v>2</v>
      </c>
      <c r="N116" s="4" t="n">
        <v>2</v>
      </c>
      <c r="O116" s="4" t="n">
        <v>0</v>
      </c>
      <c r="P116" s="4">
        <f>IF(AND(N116&gt;0,O116=0),"Yes","No")</f>
        <v/>
      </c>
      <c r="Q116" s="4" t="n">
        <v>0</v>
      </c>
      <c r="R116" s="4" t="n">
        <v>0</v>
      </c>
      <c r="S116" s="4" t="n">
        <v>0</v>
      </c>
      <c r="T116" s="4" t="inlineStr">
        <is>
          <t>C++</t>
        </is>
      </c>
      <c r="U116" s="4" t="n">
        <v>9.199999999999999</v>
      </c>
      <c r="V116" s="9" t="inlineStr">
        <is>
          <t>Submission 922457026</t>
        </is>
      </c>
      <c r="W116" s="9" t="inlineStr">
        <is>
          <t>Open code</t>
        </is>
      </c>
      <c r="X116" s="4" t="n">
        <v>0</v>
      </c>
      <c r="Y116" s="4" t="inlineStr">
        <is>
          <t>2023-03</t>
        </is>
      </c>
    </row>
    <row r="117">
      <c r="A117" s="4" t="n">
        <v>116</v>
      </c>
      <c r="B117" s="4" t="n">
        <v>1531</v>
      </c>
      <c r="C117" s="9" t="inlineStr">
        <is>
          <t>String Compression II</t>
        </is>
      </c>
      <c r="D117" s="13" t="inlineStr">
        <is>
          <t>Hard</t>
        </is>
      </c>
      <c r="E117" s="4" t="inlineStr">
        <is>
          <t>DP: Strings (LCS, Edit, Matching)</t>
        </is>
      </c>
      <c r="F117" s="4" t="inlineStr">
        <is>
          <t>Run-length DP</t>
        </is>
      </c>
      <c r="G117" s="4" t="inlineStr">
        <is>
          <t>Dynamic Programming</t>
        </is>
      </c>
      <c r="H117" s="4" t="inlineStr">
        <is>
          <t>string, dynamic-programming</t>
        </is>
      </c>
      <c r="I117" s="4" t="inlineStr">
        <is>
          <t>Solved</t>
        </is>
      </c>
      <c r="J117" s="11" t="n">
        <v>45011.97560185185</v>
      </c>
      <c r="K117" s="11" t="n">
        <v>45011.98189814815</v>
      </c>
      <c r="L117" s="11" t="n">
        <v>45015.95282407408</v>
      </c>
      <c r="M117" s="4" t="n">
        <v>5</v>
      </c>
      <c r="N117" s="4" t="n">
        <v>3</v>
      </c>
      <c r="O117" s="4" t="n">
        <v>2</v>
      </c>
      <c r="P117" s="4">
        <f>IF(AND(N117&gt;0,O117=0),"Yes","No")</f>
        <v/>
      </c>
      <c r="Q117" s="4" t="n">
        <v>0</v>
      </c>
      <c r="R117" s="4" t="n">
        <v>2</v>
      </c>
      <c r="S117" s="4" t="n">
        <v>0</v>
      </c>
      <c r="T117" s="4" t="inlineStr">
        <is>
          <t>C++</t>
        </is>
      </c>
      <c r="U117" s="4" t="n">
        <v>5.4</v>
      </c>
      <c r="V117" s="9" t="inlineStr">
        <is>
          <t>Submission 924946354</t>
        </is>
      </c>
      <c r="W117" s="9" t="inlineStr">
        <is>
          <t>Open code</t>
        </is>
      </c>
      <c r="X117" s="4" t="n">
        <v>0</v>
      </c>
      <c r="Y117" s="4" t="inlineStr">
        <is>
          <t>2023-03</t>
        </is>
      </c>
    </row>
    <row r="118">
      <c r="A118" s="4" t="n">
        <v>117</v>
      </c>
      <c r="B118" s="4" t="n">
        <v>1743</v>
      </c>
      <c r="C118" s="9" t="inlineStr">
        <is>
          <t>Restore the Array From Adjacent Pairs</t>
        </is>
      </c>
      <c r="D118" s="12" t="inlineStr">
        <is>
          <t>Medium</t>
        </is>
      </c>
      <c r="E118" s="4" t="inlineStr">
        <is>
          <t>Graph: General BFS/DFS</t>
        </is>
      </c>
      <c r="F118" s="4" t="inlineStr">
        <is>
          <t>Walk from degree-1 end</t>
        </is>
      </c>
      <c r="G118" s="4" t="inlineStr">
        <is>
          <t>Graphs</t>
        </is>
      </c>
      <c r="H118" s="4" t="inlineStr">
        <is>
          <t>array, hash-table, depth-first-search</t>
        </is>
      </c>
      <c r="I118" s="4" t="inlineStr">
        <is>
          <t>Solved</t>
        </is>
      </c>
      <c r="J118" s="11" t="n">
        <v>45012.00834490741</v>
      </c>
      <c r="K118" s="11" t="n">
        <v>45012.00834490741</v>
      </c>
      <c r="L118" s="11" t="n">
        <v>45012.00834490741</v>
      </c>
      <c r="M118" s="4" t="n">
        <v>1</v>
      </c>
      <c r="N118" s="4" t="n">
        <v>1</v>
      </c>
      <c r="O118" s="4" t="n">
        <v>0</v>
      </c>
      <c r="P118" s="4">
        <f>IF(AND(N118&gt;0,O118=0),"Yes","No")</f>
        <v/>
      </c>
      <c r="Q118" s="4" t="n">
        <v>0</v>
      </c>
      <c r="R118" s="4" t="n">
        <v>0</v>
      </c>
      <c r="S118" s="4" t="n">
        <v>0</v>
      </c>
      <c r="T118" s="4" t="inlineStr">
        <is>
          <t>C++</t>
        </is>
      </c>
      <c r="U118" s="4" t="n">
        <v>5.1</v>
      </c>
      <c r="V118" s="9" t="inlineStr">
        <is>
          <t>Submission 922602314</t>
        </is>
      </c>
      <c r="W118" s="9" t="inlineStr">
        <is>
          <t>Open code</t>
        </is>
      </c>
      <c r="X118" s="4" t="n">
        <v>0</v>
      </c>
      <c r="Y118" s="4" t="inlineStr">
        <is>
          <t>2023-03</t>
        </is>
      </c>
    </row>
    <row r="119">
      <c r="A119" s="4" t="n">
        <v>118</v>
      </c>
      <c r="B119" s="4" t="n">
        <v>362</v>
      </c>
      <c r="C119" s="9" t="inlineStr">
        <is>
          <t>Design Hit Counter</t>
        </is>
      </c>
      <c r="D119" s="12" t="inlineStr">
        <is>
          <t>Medium</t>
        </is>
      </c>
      <c r="E119" s="4" t="inlineStr">
        <is>
          <t>Design</t>
        </is>
      </c>
      <c r="F119" s="4" t="inlineStr">
        <is>
          <t>Queue / circular buckets</t>
        </is>
      </c>
      <c r="G119" s="4" t="inlineStr">
        <is>
          <t>Design</t>
        </is>
      </c>
      <c r="H119" s="4" t="inlineStr">
        <is>
          <t>array, binary-search, design, queue, data-stream</t>
        </is>
      </c>
      <c r="I119" s="4" t="inlineStr">
        <is>
          <t>Solved</t>
        </is>
      </c>
      <c r="J119" s="11" t="n">
        <v>45012.02405092592</v>
      </c>
      <c r="K119" s="11" t="n">
        <v>45012.02405092592</v>
      </c>
      <c r="L119" s="11" t="n">
        <v>45042.68216435185</v>
      </c>
      <c r="M119" s="4" t="n">
        <v>3</v>
      </c>
      <c r="N119" s="4" t="n">
        <v>3</v>
      </c>
      <c r="O119" s="4" t="n">
        <v>0</v>
      </c>
      <c r="P119" s="4">
        <f>IF(AND(N119&gt;0,O119=0),"Yes","No")</f>
        <v/>
      </c>
      <c r="Q119" s="4" t="n">
        <v>0</v>
      </c>
      <c r="R119" s="4" t="n">
        <v>0</v>
      </c>
      <c r="S119" s="4" t="n">
        <v>0</v>
      </c>
      <c r="T119" s="4" t="inlineStr">
        <is>
          <t>C++</t>
        </is>
      </c>
      <c r="U119" s="4" t="n">
        <v>100</v>
      </c>
      <c r="V119" s="9" t="inlineStr">
        <is>
          <t>Submission 940010613</t>
        </is>
      </c>
      <c r="W119" s="9" t="inlineStr">
        <is>
          <t>Open code</t>
        </is>
      </c>
      <c r="X119" s="4" t="n">
        <v>0</v>
      </c>
      <c r="Y119" s="4" t="inlineStr">
        <is>
          <t>2023-03</t>
        </is>
      </c>
    </row>
    <row r="120">
      <c r="A120" s="4" t="n">
        <v>119</v>
      </c>
      <c r="B120" s="4" t="n">
        <v>1328</v>
      </c>
      <c r="C120" s="9" t="inlineStr">
        <is>
          <t>Break a Palindrome</t>
        </is>
      </c>
      <c r="D120" s="12" t="inlineStr">
        <is>
          <t>Medium</t>
        </is>
      </c>
      <c r="E120" s="4" t="inlineStr">
        <is>
          <t>Greedy</t>
        </is>
      </c>
      <c r="F120" s="4" t="inlineStr">
        <is>
          <t>Greedy character change</t>
        </is>
      </c>
      <c r="G120" s="4" t="inlineStr">
        <is>
          <t>Greedy</t>
        </is>
      </c>
      <c r="H120" s="4" t="inlineStr">
        <is>
          <t>string, greedy</t>
        </is>
      </c>
      <c r="I120" s="4" t="inlineStr">
        <is>
          <t>Solved</t>
        </is>
      </c>
      <c r="J120" s="11" t="n">
        <v>45012.0312962963</v>
      </c>
      <c r="K120" s="11" t="n">
        <v>45012.0312962963</v>
      </c>
      <c r="L120" s="11" t="n">
        <v>45012.0312962963</v>
      </c>
      <c r="M120" s="4" t="n">
        <v>1</v>
      </c>
      <c r="N120" s="4" t="n">
        <v>1</v>
      </c>
      <c r="O120" s="4" t="n">
        <v>0</v>
      </c>
      <c r="P120" s="4">
        <f>IF(AND(N120&gt;0,O120=0),"Yes","No")</f>
        <v/>
      </c>
      <c r="Q120" s="4" t="n">
        <v>0</v>
      </c>
      <c r="R120" s="4" t="n">
        <v>0</v>
      </c>
      <c r="S120" s="4" t="n">
        <v>0</v>
      </c>
      <c r="T120" s="4" t="inlineStr">
        <is>
          <t>C++</t>
        </is>
      </c>
      <c r="U120" s="4" t="n">
        <v>100</v>
      </c>
      <c r="V120" s="9" t="inlineStr">
        <is>
          <t>Submission 922617647</t>
        </is>
      </c>
      <c r="W120" s="9" t="inlineStr">
        <is>
          <t>Open code</t>
        </is>
      </c>
      <c r="X120" s="4" t="n">
        <v>0</v>
      </c>
      <c r="Y120" s="4" t="inlineStr">
        <is>
          <t>2023-03</t>
        </is>
      </c>
    </row>
    <row r="121">
      <c r="A121" s="4" t="n">
        <v>120</v>
      </c>
      <c r="B121" s="4" t="n">
        <v>79</v>
      </c>
      <c r="C121" s="9" t="inlineStr">
        <is>
          <t>Word Search</t>
        </is>
      </c>
      <c r="D121" s="12" t="inlineStr">
        <is>
          <t>Medium</t>
        </is>
      </c>
      <c r="E121" s="4" t="inlineStr">
        <is>
          <t>Backtracking</t>
        </is>
      </c>
      <c r="F121" s="4" t="inlineStr">
        <is>
          <t>Grid DFS backtracking</t>
        </is>
      </c>
      <c r="G121" s="4" t="inlineStr">
        <is>
          <t>Recursion &amp; Backtracking</t>
        </is>
      </c>
      <c r="H121" s="4" t="inlineStr">
        <is>
          <t>array, string, backtracking, depth-first-search, matrix</t>
        </is>
      </c>
      <c r="I121" s="4" t="inlineStr">
        <is>
          <t>Solved</t>
        </is>
      </c>
      <c r="J121" s="11" t="n">
        <v>45012.04930555556</v>
      </c>
      <c r="K121" s="11" t="n">
        <v>45012.05560185185</v>
      </c>
      <c r="L121" s="11" t="n">
        <v>45315.02365740741</v>
      </c>
      <c r="M121" s="4" t="n">
        <v>15</v>
      </c>
      <c r="N121" s="4" t="n">
        <v>7</v>
      </c>
      <c r="O121" s="4" t="n">
        <v>3</v>
      </c>
      <c r="P121" s="4">
        <f>IF(AND(N121&gt;0,O121=0),"Yes","No")</f>
        <v/>
      </c>
      <c r="Q121" s="4" t="n">
        <v>0</v>
      </c>
      <c r="R121" s="4" t="n">
        <v>3</v>
      </c>
      <c r="S121" s="4" t="n">
        <v>0</v>
      </c>
      <c r="T121" s="4" t="inlineStr">
        <is>
          <t>C++, Python3</t>
        </is>
      </c>
      <c r="U121" s="4" t="n">
        <v>48.1</v>
      </c>
      <c r="V121" s="9" t="inlineStr">
        <is>
          <t>Submission 1154897690</t>
        </is>
      </c>
      <c r="W121" s="9" t="inlineStr">
        <is>
          <t>Open code</t>
        </is>
      </c>
      <c r="X121" s="4" t="n">
        <v>2</v>
      </c>
      <c r="Y121" s="4" t="inlineStr">
        <is>
          <t>2023-03</t>
        </is>
      </c>
    </row>
    <row r="122">
      <c r="A122" s="4" t="n">
        <v>121</v>
      </c>
      <c r="B122" s="4" t="n">
        <v>212</v>
      </c>
      <c r="C122" s="9" t="inlineStr">
        <is>
          <t>Word Search II</t>
        </is>
      </c>
      <c r="D122" s="13" t="inlineStr">
        <is>
          <t>Hard</t>
        </is>
      </c>
      <c r="E122" s="4" t="inlineStr">
        <is>
          <t>Trie</t>
        </is>
      </c>
      <c r="F122" s="4" t="inlineStr">
        <is>
          <t>Trie + grid backtracking</t>
        </is>
      </c>
      <c r="G122" s="4" t="inlineStr">
        <is>
          <t>Trees</t>
        </is>
      </c>
      <c r="H122" s="4" t="inlineStr">
        <is>
          <t>array, string, backtracking, trie, matrix</t>
        </is>
      </c>
      <c r="I122" s="4" t="inlineStr">
        <is>
          <t>Solved</t>
        </is>
      </c>
      <c r="J122" s="11" t="n">
        <v>45012.071875</v>
      </c>
      <c r="K122" s="11" t="n">
        <v>45012.071875</v>
      </c>
      <c r="L122" s="11" t="n">
        <v>45333.48953703704</v>
      </c>
      <c r="M122" s="4" t="n">
        <v>18</v>
      </c>
      <c r="N122" s="4" t="n">
        <v>5</v>
      </c>
      <c r="O122" s="4" t="n">
        <v>0</v>
      </c>
      <c r="P122" s="4">
        <f>IF(AND(N122&gt;0,O122=0),"Yes","No")</f>
        <v/>
      </c>
      <c r="Q122" s="4" t="n">
        <v>0</v>
      </c>
      <c r="R122" s="4" t="n">
        <v>0</v>
      </c>
      <c r="S122" s="4" t="n">
        <v>0</v>
      </c>
      <c r="T122" s="4" t="inlineStr">
        <is>
          <t>C++, Python3</t>
        </is>
      </c>
      <c r="U122" s="4" t="n">
        <v>43.7</v>
      </c>
      <c r="V122" s="9" t="inlineStr">
        <is>
          <t>Submission 1172054968</t>
        </is>
      </c>
      <c r="W122" s="9" t="inlineStr">
        <is>
          <t>Open code</t>
        </is>
      </c>
      <c r="X122" s="4" t="n">
        <v>1</v>
      </c>
      <c r="Y122" s="4" t="inlineStr">
        <is>
          <t>2023-03</t>
        </is>
      </c>
    </row>
    <row r="123">
      <c r="A123" s="4" t="n">
        <v>122</v>
      </c>
      <c r="B123" s="4" t="n">
        <v>1603</v>
      </c>
      <c r="C123" s="9" t="inlineStr">
        <is>
          <t>Design Parking System</t>
        </is>
      </c>
      <c r="D123" s="10" t="inlineStr">
        <is>
          <t>Easy</t>
        </is>
      </c>
      <c r="E123" s="4" t="inlineStr">
        <is>
          <t>Design</t>
        </is>
      </c>
      <c r="F123" s="4" t="inlineStr">
        <is>
          <t>Counters</t>
        </is>
      </c>
      <c r="G123" s="4" t="inlineStr">
        <is>
          <t>Design</t>
        </is>
      </c>
      <c r="H123" s="4" t="inlineStr">
        <is>
          <t>design, simulation, counting</t>
        </is>
      </c>
      <c r="I123" s="4" t="inlineStr">
        <is>
          <t>Solved</t>
        </is>
      </c>
      <c r="J123" s="11" t="n">
        <v>45015.58203703703</v>
      </c>
      <c r="K123" s="11" t="n">
        <v>45015.58203703703</v>
      </c>
      <c r="L123" s="11" t="n">
        <v>45015.58203703703</v>
      </c>
      <c r="M123" s="4" t="n">
        <v>1</v>
      </c>
      <c r="N123" s="4" t="n">
        <v>1</v>
      </c>
      <c r="O123" s="4" t="n">
        <v>0</v>
      </c>
      <c r="P123" s="4">
        <f>IF(AND(N123&gt;0,O123=0),"Yes","No")</f>
        <v/>
      </c>
      <c r="Q123" s="4" t="n">
        <v>0</v>
      </c>
      <c r="R123" s="4" t="n">
        <v>0</v>
      </c>
      <c r="S123" s="4" t="n">
        <v>0</v>
      </c>
      <c r="T123" s="4" t="inlineStr">
        <is>
          <t>C++</t>
        </is>
      </c>
      <c r="U123" s="4" t="n">
        <v>5</v>
      </c>
      <c r="V123" s="9" t="inlineStr">
        <is>
          <t>Submission 924700966</t>
        </is>
      </c>
      <c r="W123" s="9" t="inlineStr">
        <is>
          <t>Open code</t>
        </is>
      </c>
      <c r="X123" s="4" t="n">
        <v>0</v>
      </c>
      <c r="Y123" s="4" t="inlineStr">
        <is>
          <t>2023-03</t>
        </is>
      </c>
    </row>
    <row r="124">
      <c r="A124" s="4" t="n">
        <v>123</v>
      </c>
      <c r="B124" s="4" t="n">
        <v>855</v>
      </c>
      <c r="C124" s="9" t="inlineStr">
        <is>
          <t>Exam Room</t>
        </is>
      </c>
      <c r="D124" s="12" t="inlineStr">
        <is>
          <t>Medium</t>
        </is>
      </c>
      <c r="E124" s="4" t="inlineStr">
        <is>
          <t>Design</t>
        </is>
      </c>
      <c r="F124" s="4" t="inlineStr">
        <is>
          <t>Ordered set of seats</t>
        </is>
      </c>
      <c r="G124" s="4" t="inlineStr">
        <is>
          <t>Design</t>
        </is>
      </c>
      <c r="H124" s="4" t="inlineStr">
        <is>
          <t>design, heap-priority-queue, ordered-set</t>
        </is>
      </c>
      <c r="I124" s="4" t="inlineStr">
        <is>
          <t>Solved</t>
        </is>
      </c>
      <c r="J124" s="11" t="n">
        <v>45015.96856481482</v>
      </c>
      <c r="K124" s="11" t="n">
        <v>45015.96856481482</v>
      </c>
      <c r="L124" s="11" t="n">
        <v>45015.96856481482</v>
      </c>
      <c r="M124" s="4" t="n">
        <v>1</v>
      </c>
      <c r="N124" s="4" t="n">
        <v>1</v>
      </c>
      <c r="O124" s="4" t="n">
        <v>0</v>
      </c>
      <c r="P124" s="4">
        <f>IF(AND(N124&gt;0,O124=0),"Yes","No")</f>
        <v/>
      </c>
      <c r="Q124" s="4" t="n">
        <v>0</v>
      </c>
      <c r="R124" s="4" t="n">
        <v>0</v>
      </c>
      <c r="S124" s="4" t="n">
        <v>0</v>
      </c>
      <c r="T124" s="4" t="inlineStr">
        <is>
          <t>C++</t>
        </is>
      </c>
      <c r="U124" s="4" t="n">
        <v>76.5</v>
      </c>
      <c r="V124" s="9" t="inlineStr">
        <is>
          <t>Submission 924960225</t>
        </is>
      </c>
      <c r="W124" s="9" t="inlineStr">
        <is>
          <t>Open code</t>
        </is>
      </c>
      <c r="X124" s="4" t="n">
        <v>0</v>
      </c>
      <c r="Y124" s="4" t="inlineStr">
        <is>
          <t>2023-03</t>
        </is>
      </c>
    </row>
    <row r="125">
      <c r="A125" s="4" t="n">
        <v>124</v>
      </c>
      <c r="B125" s="4" t="n">
        <v>428</v>
      </c>
      <c r="C125" s="9" t="inlineStr">
        <is>
          <t>Serialize and Deserialize N-ary Tree</t>
        </is>
      </c>
      <c r="D125" s="13" t="inlineStr">
        <is>
          <t>Hard</t>
        </is>
      </c>
      <c r="E125" s="4" t="inlineStr">
        <is>
          <t>Binary Tree (DFS &amp; Recursion)</t>
        </is>
      </c>
      <c r="F125" s="4" t="inlineStr">
        <is>
          <t>Serialization</t>
        </is>
      </c>
      <c r="G125" s="4" t="inlineStr">
        <is>
          <t>Trees</t>
        </is>
      </c>
      <c r="H125" s="4" t="inlineStr">
        <is>
          <t>string, tree, depth-first-search, breadth-first-search</t>
        </is>
      </c>
      <c r="I125" s="4" t="inlineStr">
        <is>
          <t>Solved</t>
        </is>
      </c>
      <c r="J125" s="11" t="n">
        <v>45015.9909837963</v>
      </c>
      <c r="K125" s="11" t="n">
        <v>45015.9909837963</v>
      </c>
      <c r="L125" s="11" t="n">
        <v>45332.82005787037</v>
      </c>
      <c r="M125" s="4" t="n">
        <v>3</v>
      </c>
      <c r="N125" s="4" t="n">
        <v>3</v>
      </c>
      <c r="O125" s="4" t="n">
        <v>0</v>
      </c>
      <c r="P125" s="4">
        <f>IF(AND(N125&gt;0,O125=0),"Yes","No")</f>
        <v/>
      </c>
      <c r="Q125" s="4" t="n">
        <v>0</v>
      </c>
      <c r="R125" s="4" t="n">
        <v>0</v>
      </c>
      <c r="S125" s="4" t="n">
        <v>0</v>
      </c>
      <c r="T125" s="4" t="inlineStr">
        <is>
          <t>C++, Python3</t>
        </is>
      </c>
      <c r="U125" s="4" t="n">
        <v>100</v>
      </c>
      <c r="V125" s="9" t="inlineStr">
        <is>
          <t>Submission 1171450469</t>
        </is>
      </c>
      <c r="W125" s="9" t="inlineStr">
        <is>
          <t>Open code</t>
        </is>
      </c>
      <c r="X125" s="4" t="n">
        <v>0</v>
      </c>
      <c r="Y125" s="4" t="inlineStr">
        <is>
          <t>2023-03</t>
        </is>
      </c>
    </row>
    <row r="126">
      <c r="A126" s="4" t="n">
        <v>125</v>
      </c>
      <c r="B126" s="4" t="n">
        <v>1423</v>
      </c>
      <c r="C126" s="9" t="inlineStr">
        <is>
          <t>Maximum Points You Can Obtain from Cards</t>
        </is>
      </c>
      <c r="D126" s="12" t="inlineStr">
        <is>
          <t>Medium</t>
        </is>
      </c>
      <c r="E126" s="4" t="inlineStr">
        <is>
          <t>Sliding Window</t>
        </is>
      </c>
      <c r="F126" s="4" t="inlineStr">
        <is>
          <t>Fixed window (complement)</t>
        </is>
      </c>
      <c r="G126" s="4" t="inlineStr">
        <is>
          <t>Arrays &amp; Strings</t>
        </is>
      </c>
      <c r="H126" s="4" t="inlineStr">
        <is>
          <t>array, sliding-window, prefix-sum</t>
        </is>
      </c>
      <c r="I126" s="4" t="inlineStr">
        <is>
          <t>Solved</t>
        </is>
      </c>
      <c r="J126" s="11" t="n">
        <v>45016.54087962963</v>
      </c>
      <c r="K126" s="11" t="n">
        <v>45016.54087962963</v>
      </c>
      <c r="L126" s="11" t="n">
        <v>45016.54087962963</v>
      </c>
      <c r="M126" s="4" t="n">
        <v>1</v>
      </c>
      <c r="N126" s="4" t="n">
        <v>1</v>
      </c>
      <c r="O126" s="4" t="n">
        <v>0</v>
      </c>
      <c r="P126" s="4">
        <f>IF(AND(N126&gt;0,O126=0),"Yes","No")</f>
        <v/>
      </c>
      <c r="Q126" s="4" t="n">
        <v>0</v>
      </c>
      <c r="R126" s="4" t="n">
        <v>0</v>
      </c>
      <c r="S126" s="4" t="n">
        <v>0</v>
      </c>
      <c r="T126" s="4" t="inlineStr">
        <is>
          <t>C++</t>
        </is>
      </c>
      <c r="U126" s="4" t="n">
        <v>3.1</v>
      </c>
      <c r="V126" s="9" t="inlineStr">
        <is>
          <t>Submission 925250833</t>
        </is>
      </c>
      <c r="W126" s="9" t="inlineStr">
        <is>
          <t>Open code</t>
        </is>
      </c>
      <c r="X126" s="4" t="n">
        <v>1</v>
      </c>
      <c r="Y126" s="4" t="inlineStr">
        <is>
          <t>2023-03</t>
        </is>
      </c>
    </row>
    <row r="127">
      <c r="A127" s="4" t="n">
        <v>126</v>
      </c>
      <c r="B127" s="4" t="n">
        <v>2332</v>
      </c>
      <c r="C127" s="9" t="inlineStr">
        <is>
          <t>The Latest Time to Catch a Bus</t>
        </is>
      </c>
      <c r="D127" s="12" t="inlineStr">
        <is>
          <t>Medium</t>
        </is>
      </c>
      <c r="E127" s="4" t="inlineStr">
        <is>
          <t>Two Pointers</t>
        </is>
      </c>
      <c r="F127" s="4" t="inlineStr">
        <is>
          <t>Sort + simulation</t>
        </is>
      </c>
      <c r="G127" s="4" t="inlineStr">
        <is>
          <t>Arrays &amp; Strings</t>
        </is>
      </c>
      <c r="H127" s="4" t="inlineStr">
        <is>
          <t>array, two-pointers, binary-search, sorting</t>
        </is>
      </c>
      <c r="I127" s="4" t="inlineStr">
        <is>
          <t>Solved</t>
        </is>
      </c>
      <c r="J127" s="11" t="n">
        <v>45017.47821759259</v>
      </c>
      <c r="K127" s="11" t="n">
        <v>45017.47821759259</v>
      </c>
      <c r="L127" s="11" t="n">
        <v>45017.47821759259</v>
      </c>
      <c r="M127" s="4" t="n">
        <v>1</v>
      </c>
      <c r="N127" s="4" t="n">
        <v>1</v>
      </c>
      <c r="O127" s="4" t="n">
        <v>0</v>
      </c>
      <c r="P127" s="4">
        <f>IF(AND(N127&gt;0,O127=0),"Yes","No")</f>
        <v/>
      </c>
      <c r="Q127" s="4" t="n">
        <v>0</v>
      </c>
      <c r="R127" s="4" t="n">
        <v>0</v>
      </c>
      <c r="S127" s="4" t="n">
        <v>0</v>
      </c>
      <c r="T127" s="4" t="inlineStr">
        <is>
          <t>C++</t>
        </is>
      </c>
      <c r="U127" s="4" t="n">
        <v>0</v>
      </c>
      <c r="V127" s="9" t="inlineStr">
        <is>
          <t>Submission 925726128</t>
        </is>
      </c>
      <c r="W127" s="9" t="inlineStr">
        <is>
          <t>Open code</t>
        </is>
      </c>
      <c r="X127" s="4" t="n">
        <v>0</v>
      </c>
      <c r="Y127" s="4" t="inlineStr">
        <is>
          <t>2023-04</t>
        </is>
      </c>
    </row>
    <row r="128">
      <c r="A128" s="4" t="n">
        <v>127</v>
      </c>
      <c r="B128" s="4" t="n">
        <v>1657</v>
      </c>
      <c r="C128" s="9" t="inlineStr">
        <is>
          <t>Determine if Two Strings Are Close</t>
        </is>
      </c>
      <c r="D128" s="12" t="inlineStr">
        <is>
          <t>Medium</t>
        </is>
      </c>
      <c r="E128" s="4" t="inlineStr">
        <is>
          <t>Arrays, Hashing &amp; Sorting</t>
        </is>
      </c>
      <c r="F128" s="4" t="inlineStr">
        <is>
          <t>Frequency multisets</t>
        </is>
      </c>
      <c r="G128" s="4" t="inlineStr">
        <is>
          <t>Arrays &amp; Strings</t>
        </is>
      </c>
      <c r="H128" s="4" t="inlineStr">
        <is>
          <t>hash-table, string, sorting, counting</t>
        </is>
      </c>
      <c r="I128" s="4" t="inlineStr">
        <is>
          <t>Solved</t>
        </is>
      </c>
      <c r="J128" s="11" t="n">
        <v>45017.5681712963</v>
      </c>
      <c r="K128" s="11" t="n">
        <v>45017.57</v>
      </c>
      <c r="L128" s="11" t="n">
        <v>45178.00407407407</v>
      </c>
      <c r="M128" s="4" t="n">
        <v>7</v>
      </c>
      <c r="N128" s="4" t="n">
        <v>4</v>
      </c>
      <c r="O128" s="4" t="n">
        <v>1</v>
      </c>
      <c r="P128" s="4">
        <f>IF(AND(N128&gt;0,O128=0),"Yes","No")</f>
        <v/>
      </c>
      <c r="Q128" s="4" t="n">
        <v>1</v>
      </c>
      <c r="R128" s="4" t="n">
        <v>0</v>
      </c>
      <c r="S128" s="4" t="n">
        <v>0</v>
      </c>
      <c r="T128" s="4" t="inlineStr">
        <is>
          <t>C++</t>
        </is>
      </c>
      <c r="U128" s="4" t="n">
        <v>5</v>
      </c>
      <c r="V128" s="9" t="inlineStr">
        <is>
          <t>Submission 1044153250</t>
        </is>
      </c>
      <c r="W128" s="9" t="inlineStr">
        <is>
          <t>Open code</t>
        </is>
      </c>
      <c r="X128" s="4" t="n">
        <v>0</v>
      </c>
      <c r="Y128" s="4" t="inlineStr">
        <is>
          <t>2023-04</t>
        </is>
      </c>
    </row>
    <row r="129">
      <c r="A129" s="4" t="n">
        <v>128</v>
      </c>
      <c r="B129" s="4" t="n">
        <v>539</v>
      </c>
      <c r="C129" s="9" t="inlineStr">
        <is>
          <t>Minimum Time Difference</t>
        </is>
      </c>
      <c r="D129" s="12" t="inlineStr">
        <is>
          <t>Medium</t>
        </is>
      </c>
      <c r="E129" s="4" t="inlineStr">
        <is>
          <t>Arrays, Hashing &amp; Sorting</t>
        </is>
      </c>
      <c r="F129" s="4" t="inlineStr">
        <is>
          <t>Sort, circular difference</t>
        </is>
      </c>
      <c r="G129" s="4" t="inlineStr">
        <is>
          <t>Arrays &amp; Strings</t>
        </is>
      </c>
      <c r="H129" s="4" t="inlineStr">
        <is>
          <t>array, math, string, sorting</t>
        </is>
      </c>
      <c r="I129" s="4" t="inlineStr">
        <is>
          <t>Solved</t>
        </is>
      </c>
      <c r="J129" s="11" t="n">
        <v>45017.5816087963</v>
      </c>
      <c r="K129" s="11" t="n">
        <v>45017.58865740741</v>
      </c>
      <c r="L129" s="11" t="n">
        <v>45017.58865740741</v>
      </c>
      <c r="M129" s="4" t="n">
        <v>2</v>
      </c>
      <c r="N129" s="4" t="n">
        <v>1</v>
      </c>
      <c r="O129" s="4" t="n">
        <v>1</v>
      </c>
      <c r="P129" s="4">
        <f>IF(AND(N129&gt;0,O129=0),"Yes","No")</f>
        <v/>
      </c>
      <c r="Q129" s="4" t="n">
        <v>1</v>
      </c>
      <c r="R129" s="4" t="n">
        <v>0</v>
      </c>
      <c r="S129" s="4" t="n">
        <v>0</v>
      </c>
      <c r="T129" s="4" t="inlineStr">
        <is>
          <t>C++</t>
        </is>
      </c>
      <c r="U129" s="4" t="n">
        <v>7.3</v>
      </c>
      <c r="V129" s="9" t="inlineStr">
        <is>
          <t>Submission 925793890</t>
        </is>
      </c>
      <c r="W129" s="9" t="inlineStr">
        <is>
          <t>Open code</t>
        </is>
      </c>
      <c r="X129" s="4" t="n">
        <v>0</v>
      </c>
      <c r="Y129" s="4" t="inlineStr">
        <is>
          <t>2023-04</t>
        </is>
      </c>
    </row>
    <row r="130">
      <c r="A130" s="4" t="n">
        <v>129</v>
      </c>
      <c r="B130" s="4" t="n">
        <v>772</v>
      </c>
      <c r="C130" s="9" t="inlineStr">
        <is>
          <t>Basic Calculator III</t>
        </is>
      </c>
      <c r="D130" s="13" t="inlineStr">
        <is>
          <t>Hard</t>
        </is>
      </c>
      <c r="E130" s="4" t="inlineStr">
        <is>
          <t>Stack</t>
        </is>
      </c>
      <c r="F130" s="4" t="inlineStr">
        <is>
          <t>Expression parsing with parentheses</t>
        </is>
      </c>
      <c r="G130" s="4" t="inlineStr">
        <is>
          <t>Stacks &amp; Queues</t>
        </is>
      </c>
      <c r="H130" s="4" t="inlineStr">
        <is>
          <t>math, string, stack, recursion</t>
        </is>
      </c>
      <c r="I130" s="4" t="inlineStr">
        <is>
          <t>Solved</t>
        </is>
      </c>
      <c r="J130" s="11" t="n">
        <v>45017.75821759259</v>
      </c>
      <c r="K130" s="11" t="n">
        <v>45017.75821759259</v>
      </c>
      <c r="L130" s="11" t="n">
        <v>45331.88569444444</v>
      </c>
      <c r="M130" s="4" t="n">
        <v>10</v>
      </c>
      <c r="N130" s="4" t="n">
        <v>5</v>
      </c>
      <c r="O130" s="4" t="n">
        <v>0</v>
      </c>
      <c r="P130" s="4">
        <f>IF(AND(N130&gt;0,O130=0),"Yes","No")</f>
        <v/>
      </c>
      <c r="Q130" s="4" t="n">
        <v>0</v>
      </c>
      <c r="R130" s="4" t="n">
        <v>0</v>
      </c>
      <c r="S130" s="4" t="n">
        <v>0</v>
      </c>
      <c r="T130" s="4" t="inlineStr">
        <is>
          <t>C++, Python3</t>
        </is>
      </c>
      <c r="U130" s="4" t="n">
        <v>33.8</v>
      </c>
      <c r="V130" s="9" t="inlineStr">
        <is>
          <t>Submission 1170716534</t>
        </is>
      </c>
      <c r="W130" s="9" t="inlineStr">
        <is>
          <t>Open code</t>
        </is>
      </c>
      <c r="X130" s="4" t="n">
        <v>0</v>
      </c>
      <c r="Y130" s="4" t="inlineStr">
        <is>
          <t>2023-04</t>
        </is>
      </c>
    </row>
    <row r="131">
      <c r="A131" s="4" t="n">
        <v>130</v>
      </c>
      <c r="B131" s="4" t="n">
        <v>227</v>
      </c>
      <c r="C131" s="9" t="inlineStr">
        <is>
          <t>Basic Calculator II</t>
        </is>
      </c>
      <c r="D131" s="12" t="inlineStr">
        <is>
          <t>Medium</t>
        </is>
      </c>
      <c r="E131" s="4" t="inlineStr">
        <is>
          <t>Stack</t>
        </is>
      </c>
      <c r="F131" s="4" t="inlineStr">
        <is>
          <t>Expression parsing</t>
        </is>
      </c>
      <c r="G131" s="4" t="inlineStr">
        <is>
          <t>Stacks &amp; Queues</t>
        </is>
      </c>
      <c r="H131" s="4" t="inlineStr">
        <is>
          <t>math, string, stack</t>
        </is>
      </c>
      <c r="I131" s="4" t="inlineStr">
        <is>
          <t>Solved</t>
        </is>
      </c>
      <c r="J131" s="11" t="n">
        <v>45017.76472222222</v>
      </c>
      <c r="K131" s="11" t="n">
        <v>45017.76472222222</v>
      </c>
      <c r="L131" s="11" t="n">
        <v>45332.87403935185</v>
      </c>
      <c r="M131" s="4" t="n">
        <v>9</v>
      </c>
      <c r="N131" s="4" t="n">
        <v>5</v>
      </c>
      <c r="O131" s="4" t="n">
        <v>0</v>
      </c>
      <c r="P131" s="4">
        <f>IF(AND(N131&gt;0,O131=0),"Yes","No")</f>
        <v/>
      </c>
      <c r="Q131" s="4" t="n">
        <v>0</v>
      </c>
      <c r="R131" s="4" t="n">
        <v>0</v>
      </c>
      <c r="S131" s="4" t="n">
        <v>0</v>
      </c>
      <c r="T131" s="4" t="inlineStr">
        <is>
          <t>C++, Python3</t>
        </is>
      </c>
      <c r="U131" s="4" t="n">
        <v>20.5</v>
      </c>
      <c r="V131" s="9" t="inlineStr">
        <is>
          <t>Submission 1171501578</t>
        </is>
      </c>
      <c r="W131" s="9" t="inlineStr">
        <is>
          <t>Open code</t>
        </is>
      </c>
      <c r="X131" s="4" t="n">
        <v>0</v>
      </c>
      <c r="Y131" s="4" t="inlineStr">
        <is>
          <t>2023-04</t>
        </is>
      </c>
    </row>
    <row r="132">
      <c r="A132" s="4" t="n">
        <v>131</v>
      </c>
      <c r="B132" s="4" t="n">
        <v>1504</v>
      </c>
      <c r="C132" s="9" t="inlineStr">
        <is>
          <t>Count Submatrices With All Ones</t>
        </is>
      </c>
      <c r="D132" s="12" t="inlineStr">
        <is>
          <t>Medium</t>
        </is>
      </c>
      <c r="E132" s="4" t="inlineStr">
        <is>
          <t>Monotonic Stack / Deque</t>
        </is>
      </c>
      <c r="F132" s="4" t="inlineStr">
        <is>
          <t>Histogram counting</t>
        </is>
      </c>
      <c r="G132" s="4" t="inlineStr">
        <is>
          <t>Stacks &amp; Queues</t>
        </is>
      </c>
      <c r="H132" s="4" t="inlineStr">
        <is>
          <t>array, dynamic-programming, stack, matrix, monotonic-stack</t>
        </is>
      </c>
      <c r="I132" s="4" t="inlineStr">
        <is>
          <t>Solved</t>
        </is>
      </c>
      <c r="J132" s="11" t="n">
        <v>45017.7837037037</v>
      </c>
      <c r="K132" s="11" t="n">
        <v>45017.7837037037</v>
      </c>
      <c r="L132" s="11" t="n">
        <v>45017.96747685185</v>
      </c>
      <c r="M132" s="4" t="n">
        <v>3</v>
      </c>
      <c r="N132" s="4" t="n">
        <v>3</v>
      </c>
      <c r="O132" s="4" t="n">
        <v>0</v>
      </c>
      <c r="P132" s="4">
        <f>IF(AND(N132&gt;0,O132=0),"Yes","No")</f>
        <v/>
      </c>
      <c r="Q132" s="4" t="n">
        <v>0</v>
      </c>
      <c r="R132" s="4" t="n">
        <v>0</v>
      </c>
      <c r="S132" s="4" t="n">
        <v>0</v>
      </c>
      <c r="T132" s="4" t="inlineStr">
        <is>
          <t>C++</t>
        </is>
      </c>
      <c r="U132" s="4" t="n">
        <v>16.6</v>
      </c>
      <c r="V132" s="9" t="inlineStr">
        <is>
          <t>Submission 926100354</t>
        </is>
      </c>
      <c r="W132" s="9" t="inlineStr">
        <is>
          <t>Open code</t>
        </is>
      </c>
      <c r="X132" s="4" t="n">
        <v>0</v>
      </c>
      <c r="Y132" s="4" t="inlineStr">
        <is>
          <t>2023-04</t>
        </is>
      </c>
    </row>
    <row r="133">
      <c r="A133" s="4" t="n">
        <v>132</v>
      </c>
      <c r="B133" s="4" t="n">
        <v>84</v>
      </c>
      <c r="C133" s="9" t="inlineStr">
        <is>
          <t>Largest Rectangle in Histogram</t>
        </is>
      </c>
      <c r="D133" s="13" t="inlineStr">
        <is>
          <t>Hard</t>
        </is>
      </c>
      <c r="E133" s="4" t="inlineStr">
        <is>
          <t>Monotonic Stack / Deque</t>
        </is>
      </c>
      <c r="F133" s="4" t="inlineStr">
        <is>
          <t>Histogram</t>
        </is>
      </c>
      <c r="G133" s="4" t="inlineStr">
        <is>
          <t>Stacks &amp; Queues</t>
        </is>
      </c>
      <c r="H133" s="4" t="inlineStr">
        <is>
          <t>array, stack, monotonic-stack, range-minimum-maximum-query</t>
        </is>
      </c>
      <c r="I133" s="4" t="inlineStr">
        <is>
          <t>Solved</t>
        </is>
      </c>
      <c r="J133" s="11" t="n">
        <v>45017.90258101852</v>
      </c>
      <c r="K133" s="11" t="n">
        <v>45017.90258101852</v>
      </c>
      <c r="L133" s="11" t="n">
        <v>45289.35997685185</v>
      </c>
      <c r="M133" s="4" t="n">
        <v>4</v>
      </c>
      <c r="N133" s="4" t="n">
        <v>4</v>
      </c>
      <c r="O133" s="4" t="n">
        <v>0</v>
      </c>
      <c r="P133" s="4">
        <f>IF(AND(N133&gt;0,O133=0),"Yes","No")</f>
        <v/>
      </c>
      <c r="Q133" s="4" t="n">
        <v>0</v>
      </c>
      <c r="R133" s="4" t="n">
        <v>0</v>
      </c>
      <c r="S133" s="4" t="n">
        <v>0</v>
      </c>
      <c r="T133" s="4" t="inlineStr">
        <is>
          <t>C++, Python3</t>
        </is>
      </c>
      <c r="U133" s="4" t="n">
        <v>5.4</v>
      </c>
      <c r="V133" s="9" t="inlineStr">
        <is>
          <t>Submission 1131040251</t>
        </is>
      </c>
      <c r="W133" s="9" t="inlineStr">
        <is>
          <t>Open code</t>
        </is>
      </c>
      <c r="X133" s="4" t="n">
        <v>1</v>
      </c>
      <c r="Y133" s="4" t="inlineStr">
        <is>
          <t>2023-04</t>
        </is>
      </c>
    </row>
    <row r="134">
      <c r="A134" s="4" t="n">
        <v>133</v>
      </c>
      <c r="B134" s="4" t="n">
        <v>85</v>
      </c>
      <c r="C134" s="9" t="inlineStr">
        <is>
          <t>Maximal Rectangle</t>
        </is>
      </c>
      <c r="D134" s="13" t="inlineStr">
        <is>
          <t>Hard</t>
        </is>
      </c>
      <c r="E134" s="4" t="inlineStr">
        <is>
          <t>Monotonic Stack / Deque</t>
        </is>
      </c>
      <c r="F134" s="4" t="inlineStr">
        <is>
          <t>Histogram per row</t>
        </is>
      </c>
      <c r="G134" s="4" t="inlineStr">
        <is>
          <t>Stacks &amp; Queues</t>
        </is>
      </c>
      <c r="H134" s="4" t="inlineStr">
        <is>
          <t>array, dynamic-programming, stack, matrix, monotonic-stack</t>
        </is>
      </c>
      <c r="I134" s="4" t="inlineStr">
        <is>
          <t>Solved</t>
        </is>
      </c>
      <c r="J134" s="11" t="n">
        <v>45017.93533564815</v>
      </c>
      <c r="K134" s="11" t="n">
        <v>45017.93533564815</v>
      </c>
      <c r="L134" s="11" t="n">
        <v>45017.93533564815</v>
      </c>
      <c r="M134" s="4" t="n">
        <v>1</v>
      </c>
      <c r="N134" s="4" t="n">
        <v>1</v>
      </c>
      <c r="O134" s="4" t="n">
        <v>0</v>
      </c>
      <c r="P134" s="4">
        <f>IF(AND(N134&gt;0,O134=0),"Yes","No")</f>
        <v/>
      </c>
      <c r="Q134" s="4" t="n">
        <v>0</v>
      </c>
      <c r="R134" s="4" t="n">
        <v>0</v>
      </c>
      <c r="S134" s="4" t="n">
        <v>0</v>
      </c>
      <c r="T134" s="4" t="inlineStr">
        <is>
          <t>C++</t>
        </is>
      </c>
      <c r="U134" s="4" t="n">
        <v>7</v>
      </c>
      <c r="V134" s="9" t="inlineStr">
        <is>
          <t>Submission 926074412</t>
        </is>
      </c>
      <c r="W134" s="9" t="inlineStr">
        <is>
          <t>Open code</t>
        </is>
      </c>
      <c r="X134" s="4" t="n">
        <v>0</v>
      </c>
      <c r="Y134" s="4" t="inlineStr">
        <is>
          <t>2023-04</t>
        </is>
      </c>
    </row>
    <row r="135">
      <c r="A135" s="4" t="n">
        <v>134</v>
      </c>
      <c r="B135" s="4" t="n">
        <v>1277</v>
      </c>
      <c r="C135" s="9" t="inlineStr">
        <is>
          <t>Count Square Submatrices with All Ones</t>
        </is>
      </c>
      <c r="D135" s="12" t="inlineStr">
        <is>
          <t>Medium</t>
        </is>
      </c>
      <c r="E135" s="4" t="inlineStr">
        <is>
          <t>DP: Grid / 2D</t>
        </is>
      </c>
      <c r="F135" s="4" t="inlineStr">
        <is>
          <t>Square DP</t>
        </is>
      </c>
      <c r="G135" s="4" t="inlineStr">
        <is>
          <t>Dynamic Programming</t>
        </is>
      </c>
      <c r="H135" s="4" t="inlineStr">
        <is>
          <t>array, dynamic-programming, matrix</t>
        </is>
      </c>
      <c r="I135" s="4" t="inlineStr">
        <is>
          <t>Solved</t>
        </is>
      </c>
      <c r="J135" s="11" t="n">
        <v>45017.95243055555</v>
      </c>
      <c r="K135" s="11" t="n">
        <v>45017.95243055555</v>
      </c>
      <c r="L135" s="11" t="n">
        <v>45017.95243055555</v>
      </c>
      <c r="M135" s="4" t="n">
        <v>1</v>
      </c>
      <c r="N135" s="4" t="n">
        <v>1</v>
      </c>
      <c r="O135" s="4" t="n">
        <v>0</v>
      </c>
      <c r="P135" s="4">
        <f>IF(AND(N135&gt;0,O135=0),"Yes","No")</f>
        <v/>
      </c>
      <c r="Q135" s="4" t="n">
        <v>0</v>
      </c>
      <c r="R135" s="4" t="n">
        <v>0</v>
      </c>
      <c r="S135" s="4" t="n">
        <v>0</v>
      </c>
      <c r="T135" s="4" t="inlineStr">
        <is>
          <t>C++</t>
        </is>
      </c>
      <c r="U135" s="4" t="n">
        <v>5.7</v>
      </c>
      <c r="V135" s="9" t="inlineStr">
        <is>
          <t>Submission 926088154</t>
        </is>
      </c>
      <c r="W135" s="9" t="inlineStr">
        <is>
          <t>Open code</t>
        </is>
      </c>
      <c r="X135" s="4" t="n">
        <v>0</v>
      </c>
      <c r="Y135" s="4" t="inlineStr">
        <is>
          <t>2023-04</t>
        </is>
      </c>
    </row>
    <row r="136">
      <c r="A136" s="4" t="n">
        <v>135</v>
      </c>
      <c r="B136" s="4" t="n">
        <v>1155</v>
      </c>
      <c r="C136" s="9" t="inlineStr">
        <is>
          <t>Number of Dice Rolls With Target Sum</t>
        </is>
      </c>
      <c r="D136" s="12" t="inlineStr">
        <is>
          <t>Medium</t>
        </is>
      </c>
      <c r="E136" s="4" t="inlineStr">
        <is>
          <t>DP: Knapsack / Subset</t>
        </is>
      </c>
      <c r="F136" s="4" t="inlineStr">
        <is>
          <t>Bounded count</t>
        </is>
      </c>
      <c r="G136" s="4" t="inlineStr">
        <is>
          <t>Dynamic Programming</t>
        </is>
      </c>
      <c r="H136" s="4" t="inlineStr">
        <is>
          <t>dynamic-programming</t>
        </is>
      </c>
      <c r="I136" s="4" t="inlineStr">
        <is>
          <t>Solved</t>
        </is>
      </c>
      <c r="J136" s="11" t="n">
        <v>45017.99640046297</v>
      </c>
      <c r="K136" s="11" t="n">
        <v>45017.99640046297</v>
      </c>
      <c r="L136" s="11" t="n">
        <v>45018.02537037037</v>
      </c>
      <c r="M136" s="4" t="n">
        <v>2</v>
      </c>
      <c r="N136" s="4" t="n">
        <v>2</v>
      </c>
      <c r="O136" s="4" t="n">
        <v>0</v>
      </c>
      <c r="P136" s="4">
        <f>IF(AND(N136&gt;0,O136=0),"Yes","No")</f>
        <v/>
      </c>
      <c r="Q136" s="4" t="n">
        <v>0</v>
      </c>
      <c r="R136" s="4" t="n">
        <v>0</v>
      </c>
      <c r="S136" s="4" t="n">
        <v>0</v>
      </c>
      <c r="T136" s="4" t="inlineStr">
        <is>
          <t>C++</t>
        </is>
      </c>
      <c r="U136" s="4" t="n">
        <v>8.1</v>
      </c>
      <c r="V136" s="9" t="inlineStr">
        <is>
          <t>Submission 926143507</t>
        </is>
      </c>
      <c r="W136" s="9" t="inlineStr">
        <is>
          <t>Open code</t>
        </is>
      </c>
      <c r="X136" s="4" t="n">
        <v>2</v>
      </c>
      <c r="Y136" s="4" t="inlineStr">
        <is>
          <t>2023-04</t>
        </is>
      </c>
    </row>
    <row r="137">
      <c r="A137" s="4" t="n">
        <v>136</v>
      </c>
      <c r="B137" s="4" t="n">
        <v>1048</v>
      </c>
      <c r="C137" s="9" t="inlineStr">
        <is>
          <t>Longest String Chain</t>
        </is>
      </c>
      <c r="D137" s="12" t="inlineStr">
        <is>
          <t>Medium</t>
        </is>
      </c>
      <c r="E137" s="4" t="inlineStr">
        <is>
          <t>DP: LIS Family</t>
        </is>
      </c>
      <c r="F137" s="4" t="inlineStr">
        <is>
          <t>Chain by predecessor</t>
        </is>
      </c>
      <c r="G137" s="4" t="inlineStr">
        <is>
          <t>Dynamic Programming</t>
        </is>
      </c>
      <c r="H137" s="4" t="inlineStr">
        <is>
          <t>array, hash-table, two-pointers, string, dynamic-programming, sorting</t>
        </is>
      </c>
      <c r="I137" s="4" t="inlineStr">
        <is>
          <t>Solved</t>
        </is>
      </c>
      <c r="J137" s="11" t="n">
        <v>45018.03884259259</v>
      </c>
      <c r="K137" s="11" t="n">
        <v>45018.03884259259</v>
      </c>
      <c r="L137" s="11" t="n">
        <v>45019.03325231482</v>
      </c>
      <c r="M137" s="4" t="n">
        <v>2</v>
      </c>
      <c r="N137" s="4" t="n">
        <v>2</v>
      </c>
      <c r="O137" s="4" t="n">
        <v>0</v>
      </c>
      <c r="P137" s="4">
        <f>IF(AND(N137&gt;0,O137=0),"Yes","No")</f>
        <v/>
      </c>
      <c r="Q137" s="4" t="n">
        <v>0</v>
      </c>
      <c r="R137" s="4" t="n">
        <v>0</v>
      </c>
      <c r="S137" s="4" t="n">
        <v>0</v>
      </c>
      <c r="T137" s="4" t="inlineStr">
        <is>
          <t>C++</t>
        </is>
      </c>
      <c r="U137" s="4" t="n">
        <v>35.3</v>
      </c>
      <c r="V137" s="9" t="inlineStr">
        <is>
          <t>Submission 926805414</t>
        </is>
      </c>
      <c r="W137" s="9" t="inlineStr">
        <is>
          <t>Open code</t>
        </is>
      </c>
      <c r="X137" s="4" t="n">
        <v>1</v>
      </c>
      <c r="Y137" s="4" t="inlineStr">
        <is>
          <t>2023-04</t>
        </is>
      </c>
    </row>
    <row r="138">
      <c r="A138" s="4" t="n">
        <v>137</v>
      </c>
      <c r="B138" s="4" t="n">
        <v>419</v>
      </c>
      <c r="C138" s="9" t="inlineStr">
        <is>
          <t>Battleships in a Board</t>
        </is>
      </c>
      <c r="D138" s="12" t="inlineStr">
        <is>
          <t>Medium</t>
        </is>
      </c>
      <c r="E138" s="4" t="inlineStr">
        <is>
          <t>Graph: Grid BFS/DFS</t>
        </is>
      </c>
      <c r="F138" s="4" t="inlineStr">
        <is>
          <t>Count heads</t>
        </is>
      </c>
      <c r="G138" s="4" t="inlineStr">
        <is>
          <t>Graphs</t>
        </is>
      </c>
      <c r="H138" s="4" t="inlineStr">
        <is>
          <t>array, depth-first-search, matrix</t>
        </is>
      </c>
      <c r="I138" s="4" t="inlineStr">
        <is>
          <t>Solved</t>
        </is>
      </c>
      <c r="J138" s="11" t="n">
        <v>45018.04336805556</v>
      </c>
      <c r="K138" s="11" t="n">
        <v>45018.04336805556</v>
      </c>
      <c r="L138" s="11" t="n">
        <v>45018.04407407407</v>
      </c>
      <c r="M138" s="4" t="n">
        <v>2</v>
      </c>
      <c r="N138" s="4" t="n">
        <v>2</v>
      </c>
      <c r="O138" s="4" t="n">
        <v>0</v>
      </c>
      <c r="P138" s="4">
        <f>IF(AND(N138&gt;0,O138=0),"Yes","No")</f>
        <v/>
      </c>
      <c r="Q138" s="4" t="n">
        <v>0</v>
      </c>
      <c r="R138" s="4" t="n">
        <v>0</v>
      </c>
      <c r="S138" s="4" t="n">
        <v>0</v>
      </c>
      <c r="T138" s="4" t="inlineStr">
        <is>
          <t>C++</t>
        </is>
      </c>
      <c r="U138" s="4" t="n">
        <v>3</v>
      </c>
      <c r="V138" s="9" t="inlineStr">
        <is>
          <t>Submission 926155176</t>
        </is>
      </c>
      <c r="W138" s="9" t="inlineStr">
        <is>
          <t>Open code</t>
        </is>
      </c>
      <c r="X138" s="4" t="n">
        <v>0</v>
      </c>
      <c r="Y138" s="4" t="inlineStr">
        <is>
          <t>2023-04</t>
        </is>
      </c>
    </row>
    <row r="139">
      <c r="A139" s="4" t="n">
        <v>138</v>
      </c>
      <c r="B139" s="4" t="n">
        <v>947</v>
      </c>
      <c r="C139" s="9" t="inlineStr">
        <is>
          <t>Most Stones Removed with Same Row or Column</t>
        </is>
      </c>
      <c r="D139" s="12" t="inlineStr">
        <is>
          <t>Medium</t>
        </is>
      </c>
      <c r="E139" s="4" t="inlineStr">
        <is>
          <t>Graph: Union-Find</t>
        </is>
      </c>
      <c r="F139" s="4" t="inlineStr">
        <is>
          <t>Row/column union</t>
        </is>
      </c>
      <c r="G139" s="4" t="inlineStr">
        <is>
          <t>Graphs</t>
        </is>
      </c>
      <c r="H139" s="4" t="inlineStr">
        <is>
          <t>hash-table, depth-first-search, union-find, graph, bipartite-graph</t>
        </is>
      </c>
      <c r="I139" s="4" t="inlineStr">
        <is>
          <t>Solved</t>
        </is>
      </c>
      <c r="J139" s="11" t="n">
        <v>45018.05810185185</v>
      </c>
      <c r="K139" s="11" t="n">
        <v>45018.05810185185</v>
      </c>
      <c r="L139" s="11" t="n">
        <v>45047.42104166667</v>
      </c>
      <c r="M139" s="4" t="n">
        <v>2</v>
      </c>
      <c r="N139" s="4" t="n">
        <v>2</v>
      </c>
      <c r="O139" s="4" t="n">
        <v>0</v>
      </c>
      <c r="P139" s="4">
        <f>IF(AND(N139&gt;0,O139=0),"Yes","No")</f>
        <v/>
      </c>
      <c r="Q139" s="4" t="n">
        <v>0</v>
      </c>
      <c r="R139" s="4" t="n">
        <v>0</v>
      </c>
      <c r="S139" s="4" t="n">
        <v>0</v>
      </c>
      <c r="T139" s="4" t="inlineStr">
        <is>
          <t>C++</t>
        </is>
      </c>
      <c r="U139" s="4" t="n">
        <v>29.7</v>
      </c>
      <c r="V139" s="9" t="inlineStr">
        <is>
          <t>Submission 942413101</t>
        </is>
      </c>
      <c r="W139" s="9" t="inlineStr">
        <is>
          <t>Open code</t>
        </is>
      </c>
      <c r="X139" s="4" t="n">
        <v>0</v>
      </c>
      <c r="Y139" s="4" t="inlineStr">
        <is>
          <t>2023-04</t>
        </is>
      </c>
    </row>
    <row r="140">
      <c r="A140" s="4" t="n">
        <v>139</v>
      </c>
      <c r="B140" s="4" t="n">
        <v>368</v>
      </c>
      <c r="C140" s="9" t="inlineStr">
        <is>
          <t>Largest Divisible Subset</t>
        </is>
      </c>
      <c r="D140" s="12" t="inlineStr">
        <is>
          <t>Medium</t>
        </is>
      </c>
      <c r="E140" s="4" t="inlineStr">
        <is>
          <t>DP: LIS Family</t>
        </is>
      </c>
      <c r="F140" s="4" t="inlineStr">
        <is>
          <t>LIS variant + reconstruction</t>
        </is>
      </c>
      <c r="G140" s="4" t="inlineStr">
        <is>
          <t>Dynamic Programming</t>
        </is>
      </c>
      <c r="H140" s="4" t="inlineStr">
        <is>
          <t>array, math, dynamic-programming, sorting</t>
        </is>
      </c>
      <c r="I140" s="4" t="inlineStr">
        <is>
          <t>Solved</t>
        </is>
      </c>
      <c r="J140" s="11" t="n">
        <v>45019.03755787037</v>
      </c>
      <c r="K140" s="11" t="n">
        <v>45019.04081018519</v>
      </c>
      <c r="L140" s="11" t="n">
        <v>45050.28131944445</v>
      </c>
      <c r="M140" s="4" t="n">
        <v>3</v>
      </c>
      <c r="N140" s="4" t="n">
        <v>2</v>
      </c>
      <c r="O140" s="4" t="n">
        <v>1</v>
      </c>
      <c r="P140" s="4">
        <f>IF(AND(N140&gt;0,O140=0),"Yes","No")</f>
        <v/>
      </c>
      <c r="Q140" s="4" t="n">
        <v>1</v>
      </c>
      <c r="R140" s="4" t="n">
        <v>0</v>
      </c>
      <c r="S140" s="4" t="n">
        <v>0</v>
      </c>
      <c r="T140" s="4" t="inlineStr">
        <is>
          <t>C++</t>
        </is>
      </c>
      <c r="U140" s="4" t="n">
        <v>8.1</v>
      </c>
      <c r="V140" s="9" t="inlineStr">
        <is>
          <t>Submission 944094141</t>
        </is>
      </c>
      <c r="W140" s="9" t="inlineStr">
        <is>
          <t>Open code</t>
        </is>
      </c>
      <c r="X140" s="4" t="n">
        <v>0</v>
      </c>
      <c r="Y140" s="4" t="inlineStr">
        <is>
          <t>2023-04</t>
        </is>
      </c>
    </row>
    <row r="141">
      <c r="A141" s="4" t="n">
        <v>140</v>
      </c>
      <c r="B141" s="4" t="n">
        <v>673</v>
      </c>
      <c r="C141" s="9" t="inlineStr">
        <is>
          <t>Number of Longest Increasing Subsequence</t>
        </is>
      </c>
      <c r="D141" s="12" t="inlineStr">
        <is>
          <t>Medium</t>
        </is>
      </c>
      <c r="E141" s="4" t="inlineStr">
        <is>
          <t>DP: LIS Family</t>
        </is>
      </c>
      <c r="F141" s="4" t="inlineStr">
        <is>
          <t>LIS with counts</t>
        </is>
      </c>
      <c r="G141" s="4" t="inlineStr">
        <is>
          <t>Dynamic Programming</t>
        </is>
      </c>
      <c r="H141" s="4" t="inlineStr">
        <is>
          <t>array, dynamic-programming, binary-indexed-tree, segment-tree, longest-increasing-subsequence</t>
        </is>
      </c>
      <c r="I141" s="4" t="inlineStr">
        <is>
          <t>Solved</t>
        </is>
      </c>
      <c r="J141" s="11" t="n">
        <v>45019.05697916666</v>
      </c>
      <c r="K141" s="11" t="n">
        <v>45019.05697916666</v>
      </c>
      <c r="L141" s="11" t="n">
        <v>45019.05697916666</v>
      </c>
      <c r="M141" s="4" t="n">
        <v>1</v>
      </c>
      <c r="N141" s="4" t="n">
        <v>1</v>
      </c>
      <c r="O141" s="4" t="n">
        <v>0</v>
      </c>
      <c r="P141" s="4">
        <f>IF(AND(N141&gt;0,O141=0),"Yes","No")</f>
        <v/>
      </c>
      <c r="Q141" s="4" t="n">
        <v>0</v>
      </c>
      <c r="R141" s="4" t="n">
        <v>0</v>
      </c>
      <c r="S141" s="4" t="n">
        <v>0</v>
      </c>
      <c r="T141" s="4" t="inlineStr">
        <is>
          <t>C++</t>
        </is>
      </c>
      <c r="U141" s="4" t="n">
        <v>5.1</v>
      </c>
      <c r="V141" s="9" t="inlineStr">
        <is>
          <t>Submission 926821178</t>
        </is>
      </c>
      <c r="W141" s="9" t="inlineStr">
        <is>
          <t>Open code</t>
        </is>
      </c>
      <c r="X141" s="4" t="n">
        <v>0</v>
      </c>
      <c r="Y141" s="4" t="inlineStr">
        <is>
          <t>2023-04</t>
        </is>
      </c>
    </row>
    <row r="142">
      <c r="A142" s="4" t="n">
        <v>141</v>
      </c>
      <c r="B142" s="4" t="n">
        <v>1547</v>
      </c>
      <c r="C142" s="9" t="inlineStr">
        <is>
          <t>Minimum Cost to Cut a Stick</t>
        </is>
      </c>
      <c r="D142" s="13" t="inlineStr">
        <is>
          <t>Hard</t>
        </is>
      </c>
      <c r="E142" s="4" t="inlineStr">
        <is>
          <t>DP: Partition / Interval (MCM)</t>
        </is>
      </c>
      <c r="F142" s="4" t="inlineStr">
        <is>
          <t>Interval DP (MCM)</t>
        </is>
      </c>
      <c r="G142" s="4" t="inlineStr">
        <is>
          <t>Dynamic Programming</t>
        </is>
      </c>
      <c r="H142" s="4" t="inlineStr">
        <is>
          <t>array, dynamic-programming, sorting</t>
        </is>
      </c>
      <c r="I142" s="4" t="inlineStr">
        <is>
          <t>Solved</t>
        </is>
      </c>
      <c r="J142" s="11" t="n">
        <v>45019.47637731482</v>
      </c>
      <c r="K142" s="11" t="n">
        <v>45019.47637731482</v>
      </c>
      <c r="L142" s="11" t="n">
        <v>45050.36858796296</v>
      </c>
      <c r="M142" s="4" t="n">
        <v>3</v>
      </c>
      <c r="N142" s="4" t="n">
        <v>3</v>
      </c>
      <c r="O142" s="4" t="n">
        <v>0</v>
      </c>
      <c r="P142" s="4">
        <f>IF(AND(N142&gt;0,O142=0),"Yes","No")</f>
        <v/>
      </c>
      <c r="Q142" s="4" t="n">
        <v>0</v>
      </c>
      <c r="R142" s="4" t="n">
        <v>0</v>
      </c>
      <c r="S142" s="4" t="n">
        <v>0</v>
      </c>
      <c r="T142" s="4" t="inlineStr">
        <is>
          <t>C++</t>
        </is>
      </c>
      <c r="U142" s="4" t="n">
        <v>5.2</v>
      </c>
      <c r="V142" s="9" t="inlineStr">
        <is>
          <t>Submission 944132427</t>
        </is>
      </c>
      <c r="W142" s="9" t="inlineStr">
        <is>
          <t>Open code</t>
        </is>
      </c>
      <c r="X142" s="4" t="n">
        <v>0</v>
      </c>
      <c r="Y142" s="4" t="inlineStr">
        <is>
          <t>2023-04</t>
        </is>
      </c>
    </row>
    <row r="143">
      <c r="A143" s="4" t="n">
        <v>142</v>
      </c>
      <c r="B143" s="4" t="n">
        <v>312</v>
      </c>
      <c r="C143" s="9" t="inlineStr">
        <is>
          <t>Burst Balloons</t>
        </is>
      </c>
      <c r="D143" s="13" t="inlineStr">
        <is>
          <t>Hard</t>
        </is>
      </c>
      <c r="E143" s="4" t="inlineStr">
        <is>
          <t>DP: Partition / Interval (MCM)</t>
        </is>
      </c>
      <c r="F143" s="4" t="inlineStr">
        <is>
          <t>Interval DP (MCM)</t>
        </is>
      </c>
      <c r="G143" s="4" t="inlineStr">
        <is>
          <t>Dynamic Programming</t>
        </is>
      </c>
      <c r="H143" s="4" t="inlineStr">
        <is>
          <t>array, dynamic-programming</t>
        </is>
      </c>
      <c r="I143" s="4" t="inlineStr">
        <is>
          <t>Solved</t>
        </is>
      </c>
      <c r="J143" s="11" t="n">
        <v>45019.49112268518</v>
      </c>
      <c r="K143" s="11" t="n">
        <v>45019.49112268518</v>
      </c>
      <c r="L143" s="11" t="n">
        <v>45050.37310185185</v>
      </c>
      <c r="M143" s="4" t="n">
        <v>3</v>
      </c>
      <c r="N143" s="4" t="n">
        <v>3</v>
      </c>
      <c r="O143" s="4" t="n">
        <v>0</v>
      </c>
      <c r="P143" s="4">
        <f>IF(AND(N143&gt;0,O143=0),"Yes","No")</f>
        <v/>
      </c>
      <c r="Q143" s="4" t="n">
        <v>0</v>
      </c>
      <c r="R143" s="4" t="n">
        <v>0</v>
      </c>
      <c r="S143" s="4" t="n">
        <v>0</v>
      </c>
      <c r="T143" s="4" t="inlineStr">
        <is>
          <t>C++</t>
        </is>
      </c>
      <c r="U143" s="4" t="n">
        <v>5.1</v>
      </c>
      <c r="V143" s="9" t="inlineStr">
        <is>
          <t>Submission 944134740</t>
        </is>
      </c>
      <c r="W143" s="9" t="inlineStr">
        <is>
          <t>Open code</t>
        </is>
      </c>
      <c r="X143" s="4" t="n">
        <v>0</v>
      </c>
      <c r="Y143" s="4" t="inlineStr">
        <is>
          <t>2023-04</t>
        </is>
      </c>
    </row>
    <row r="144">
      <c r="A144" s="4" t="n">
        <v>143</v>
      </c>
      <c r="B144" s="4" t="n">
        <v>658</v>
      </c>
      <c r="C144" s="9" t="inlineStr">
        <is>
          <t>Find K Closest Elements</t>
        </is>
      </c>
      <c r="D144" s="12" t="inlineStr">
        <is>
          <t>Medium</t>
        </is>
      </c>
      <c r="E144" s="4" t="inlineStr">
        <is>
          <t>Binary Search</t>
        </is>
      </c>
      <c r="F144" s="4" t="inlineStr">
        <is>
          <t>Window start search</t>
        </is>
      </c>
      <c r="G144" s="4" t="inlineStr">
        <is>
          <t>Searching</t>
        </is>
      </c>
      <c r="H144" s="4" t="inlineStr">
        <is>
          <t>array, two-pointers, binary-search, sliding-window, sorting, heap-priority-queue</t>
        </is>
      </c>
      <c r="I144" s="4" t="inlineStr">
        <is>
          <t>Solved</t>
        </is>
      </c>
      <c r="J144" s="11" t="n">
        <v>45019.67104166667</v>
      </c>
      <c r="K144" s="11" t="n">
        <v>45019.67104166667</v>
      </c>
      <c r="L144" s="11" t="n">
        <v>45331.93991898148</v>
      </c>
      <c r="M144" s="4" t="n">
        <v>31</v>
      </c>
      <c r="N144" s="4" t="n">
        <v>17</v>
      </c>
      <c r="O144" s="4" t="n">
        <v>0</v>
      </c>
      <c r="P144" s="4">
        <f>IF(AND(N144&gt;0,O144=0),"Yes","No")</f>
        <v/>
      </c>
      <c r="Q144" s="4" t="n">
        <v>0</v>
      </c>
      <c r="R144" s="4" t="n">
        <v>0</v>
      </c>
      <c r="S144" s="4" t="n">
        <v>0</v>
      </c>
      <c r="T144" s="4" t="inlineStr">
        <is>
          <t>C++, Python3</t>
        </is>
      </c>
      <c r="U144" s="4" t="n">
        <v>7</v>
      </c>
      <c r="V144" s="9" t="inlineStr">
        <is>
          <t>Submission 1170777298</t>
        </is>
      </c>
      <c r="W144" s="9" t="inlineStr">
        <is>
          <t>Open code</t>
        </is>
      </c>
      <c r="X144" s="4" t="n">
        <v>1</v>
      </c>
      <c r="Y144" s="4" t="inlineStr">
        <is>
          <t>2023-04</t>
        </is>
      </c>
    </row>
    <row r="145">
      <c r="A145" s="4" t="n">
        <v>144</v>
      </c>
      <c r="B145" s="4" t="n">
        <v>346</v>
      </c>
      <c r="C145" s="9" t="inlineStr">
        <is>
          <t>Moving Average from Data Stream</t>
        </is>
      </c>
      <c r="D145" s="10" t="inlineStr">
        <is>
          <t>Easy</t>
        </is>
      </c>
      <c r="E145" s="4" t="inlineStr">
        <is>
          <t>Design</t>
        </is>
      </c>
      <c r="F145" s="4" t="inlineStr">
        <is>
          <t>Queue</t>
        </is>
      </c>
      <c r="G145" s="4" t="inlineStr">
        <is>
          <t>Design</t>
        </is>
      </c>
      <c r="H145" s="4" t="inlineStr">
        <is>
          <t>array, design, queue, data-stream</t>
        </is>
      </c>
      <c r="I145" s="4" t="inlineStr">
        <is>
          <t>Solved</t>
        </is>
      </c>
      <c r="J145" s="11" t="n">
        <v>45041.74744212963</v>
      </c>
      <c r="K145" s="11" t="n">
        <v>45041.74744212963</v>
      </c>
      <c r="L145" s="11" t="n">
        <v>45291.1483912037</v>
      </c>
      <c r="M145" s="4" t="n">
        <v>5</v>
      </c>
      <c r="N145" s="4" t="n">
        <v>5</v>
      </c>
      <c r="O145" s="4" t="n">
        <v>0</v>
      </c>
      <c r="P145" s="4">
        <f>IF(AND(N145&gt;0,O145=0),"Yes","No")</f>
        <v/>
      </c>
      <c r="Q145" s="4" t="n">
        <v>0</v>
      </c>
      <c r="R145" s="4" t="n">
        <v>0</v>
      </c>
      <c r="S145" s="4" t="n">
        <v>0</v>
      </c>
      <c r="T145" s="4" t="inlineStr">
        <is>
          <t>C++, Python3</t>
        </is>
      </c>
      <c r="U145" s="4" t="n">
        <v>5.5</v>
      </c>
      <c r="V145" s="9" t="inlineStr">
        <is>
          <t>Submission 1132518060</t>
        </is>
      </c>
      <c r="W145" s="9" t="inlineStr">
        <is>
          <t>Open code</t>
        </is>
      </c>
      <c r="X145" s="4" t="n">
        <v>0</v>
      </c>
      <c r="Y145" s="4" t="inlineStr">
        <is>
          <t>2023-04</t>
        </is>
      </c>
    </row>
    <row r="146">
      <c r="A146" s="4" t="n">
        <v>145</v>
      </c>
      <c r="B146" s="4" t="n">
        <v>353</v>
      </c>
      <c r="C146" s="9" t="inlineStr">
        <is>
          <t>Design Snake Game</t>
        </is>
      </c>
      <c r="D146" s="12" t="inlineStr">
        <is>
          <t>Medium</t>
        </is>
      </c>
      <c r="E146" s="4" t="inlineStr">
        <is>
          <t>Design</t>
        </is>
      </c>
      <c r="F146" s="4" t="inlineStr">
        <is>
          <t>Deque + set</t>
        </is>
      </c>
      <c r="G146" s="4" t="inlineStr">
        <is>
          <t>Design</t>
        </is>
      </c>
      <c r="H146" s="4" t="inlineStr">
        <is>
          <t>array, hash-table, design, queue, simulation</t>
        </is>
      </c>
      <c r="I146" s="4" t="inlineStr">
        <is>
          <t>Solved</t>
        </is>
      </c>
      <c r="J146" s="11" t="n">
        <v>45042.58244212963</v>
      </c>
      <c r="K146" s="11" t="n">
        <v>45042.59423611111</v>
      </c>
      <c r="L146" s="11" t="n">
        <v>45042.67565972222</v>
      </c>
      <c r="M146" s="4" t="n">
        <v>3</v>
      </c>
      <c r="N146" s="4" t="n">
        <v>2</v>
      </c>
      <c r="O146" s="4" t="n">
        <v>1</v>
      </c>
      <c r="P146" s="4">
        <f>IF(AND(N146&gt;0,O146=0),"Yes","No")</f>
        <v/>
      </c>
      <c r="Q146" s="4" t="n">
        <v>1</v>
      </c>
      <c r="R146" s="4" t="n">
        <v>0</v>
      </c>
      <c r="S146" s="4" t="n">
        <v>0</v>
      </c>
      <c r="T146" s="4" t="inlineStr">
        <is>
          <t>C++</t>
        </is>
      </c>
      <c r="U146" s="4" t="n">
        <v>25.9</v>
      </c>
      <c r="V146" s="9" t="inlineStr">
        <is>
          <t>Submission 940007168</t>
        </is>
      </c>
      <c r="W146" s="9" t="inlineStr">
        <is>
          <t>Open code</t>
        </is>
      </c>
      <c r="X146" s="4" t="n">
        <v>0</v>
      </c>
      <c r="Y146" s="4" t="inlineStr">
        <is>
          <t>2023-04</t>
        </is>
      </c>
    </row>
    <row r="147">
      <c r="A147" s="4" t="n">
        <v>146</v>
      </c>
      <c r="B147" s="4" t="n">
        <v>381</v>
      </c>
      <c r="C147" s="9" t="inlineStr">
        <is>
          <t>Insert Delete GetRandom O(1) - Duplicates allowed</t>
        </is>
      </c>
      <c r="D147" s="13" t="inlineStr">
        <is>
          <t>Hard</t>
        </is>
      </c>
      <c r="E147" s="4" t="inlineStr">
        <is>
          <t>Design</t>
        </is>
      </c>
      <c r="F147" s="4" t="inlineStr">
        <is>
          <t>Array + index map</t>
        </is>
      </c>
      <c r="G147" s="4" t="inlineStr">
        <is>
          <t>Design</t>
        </is>
      </c>
      <c r="H147" s="4" t="inlineStr">
        <is>
          <t>array, hash-table, math, design, randomized</t>
        </is>
      </c>
      <c r="I147" s="4" t="inlineStr">
        <is>
          <t>Attempted</t>
        </is>
      </c>
      <c r="J147" s="11" t="n">
        <v>45042.69326388889</v>
      </c>
      <c r="K147" s="11" t="n"/>
      <c r="L147" s="11" t="n">
        <v>45042.69806712963</v>
      </c>
      <c r="M147" s="4" t="n">
        <v>2</v>
      </c>
      <c r="N147" s="4" t="n">
        <v>0</v>
      </c>
      <c r="O147" s="4" t="n">
        <v>2</v>
      </c>
      <c r="P147" s="4">
        <f>IF(AND(N147&gt;0,O147=0),"Yes","No")</f>
        <v/>
      </c>
      <c r="Q147" s="4" t="n">
        <v>1</v>
      </c>
      <c r="R147" s="4" t="n">
        <v>1</v>
      </c>
      <c r="S147" s="4" t="n">
        <v>0</v>
      </c>
      <c r="T147" s="4" t="inlineStr">
        <is>
          <t>C++</t>
        </is>
      </c>
      <c r="U147" s="4" t="n"/>
      <c r="V147" s="4" t="n"/>
      <c r="W147" s="9" t="inlineStr">
        <is>
          <t>Open code</t>
        </is>
      </c>
      <c r="X147" s="4" t="n">
        <v>4</v>
      </c>
      <c r="Y147" s="4" t="inlineStr"/>
    </row>
    <row r="148">
      <c r="A148" s="4" t="n">
        <v>147</v>
      </c>
      <c r="B148" s="4" t="n">
        <v>39</v>
      </c>
      <c r="C148" s="9" t="inlineStr">
        <is>
          <t>Combination Sum</t>
        </is>
      </c>
      <c r="D148" s="12" t="inlineStr">
        <is>
          <t>Medium</t>
        </is>
      </c>
      <c r="E148" s="4" t="inlineStr">
        <is>
          <t>Backtracking</t>
        </is>
      </c>
      <c r="F148" s="4" t="inlineStr">
        <is>
          <t>Combinations with reuse</t>
        </is>
      </c>
      <c r="G148" s="4" t="inlineStr">
        <is>
          <t>Recursion &amp; Backtracking</t>
        </is>
      </c>
      <c r="H148" s="4" t="inlineStr">
        <is>
          <t>array, backtracking</t>
        </is>
      </c>
      <c r="I148" s="4" t="inlineStr">
        <is>
          <t>Solved</t>
        </is>
      </c>
      <c r="J148" s="11" t="n">
        <v>45044.4259375</v>
      </c>
      <c r="K148" s="11" t="n">
        <v>45044.4259375</v>
      </c>
      <c r="L148" s="11" t="n">
        <v>45588.50462962963</v>
      </c>
      <c r="M148" s="4" t="n">
        <v>2</v>
      </c>
      <c r="N148" s="4" t="n">
        <v>2</v>
      </c>
      <c r="O148" s="4" t="n">
        <v>0</v>
      </c>
      <c r="P148" s="4">
        <f>IF(AND(N148&gt;0,O148=0),"Yes","No")</f>
        <v/>
      </c>
      <c r="Q148" s="4" t="n">
        <v>0</v>
      </c>
      <c r="R148" s="4" t="n">
        <v>0</v>
      </c>
      <c r="S148" s="4" t="n">
        <v>0</v>
      </c>
      <c r="T148" s="4" t="inlineStr">
        <is>
          <t>C++</t>
        </is>
      </c>
      <c r="U148" s="4" t="n">
        <v>100</v>
      </c>
      <c r="V148" s="9" t="inlineStr">
        <is>
          <t>Submission 1431182072</t>
        </is>
      </c>
      <c r="W148" s="9" t="inlineStr">
        <is>
          <t>Open code</t>
        </is>
      </c>
      <c r="X148" s="4" t="n">
        <v>2</v>
      </c>
      <c r="Y148" s="4" t="inlineStr">
        <is>
          <t>2023-04</t>
        </is>
      </c>
    </row>
    <row r="149">
      <c r="A149" s="4" t="n">
        <v>148</v>
      </c>
      <c r="B149" s="4" t="n">
        <v>40</v>
      </c>
      <c r="C149" s="9" t="inlineStr">
        <is>
          <t>Combination Sum II</t>
        </is>
      </c>
      <c r="D149" s="12" t="inlineStr">
        <is>
          <t>Medium</t>
        </is>
      </c>
      <c r="E149" s="4" t="inlineStr">
        <is>
          <t>Backtracking</t>
        </is>
      </c>
      <c r="F149" s="4" t="inlineStr">
        <is>
          <t>Combinations with duplicates</t>
        </is>
      </c>
      <c r="G149" s="4" t="inlineStr">
        <is>
          <t>Recursion &amp; Backtracking</t>
        </is>
      </c>
      <c r="H149" s="4" t="inlineStr">
        <is>
          <t>array, backtracking</t>
        </is>
      </c>
      <c r="I149" s="4" t="inlineStr">
        <is>
          <t>Solved</t>
        </is>
      </c>
      <c r="J149" s="11" t="n">
        <v>45044.43868055556</v>
      </c>
      <c r="K149" s="11" t="n">
        <v>45044.45228009259</v>
      </c>
      <c r="L149" s="11" t="n">
        <v>45588.51231481481</v>
      </c>
      <c r="M149" s="4" t="n">
        <v>4</v>
      </c>
      <c r="N149" s="4" t="n">
        <v>2</v>
      </c>
      <c r="O149" s="4" t="n">
        <v>1</v>
      </c>
      <c r="P149" s="4">
        <f>IF(AND(N149&gt;0,O149=0),"Yes","No")</f>
        <v/>
      </c>
      <c r="Q149" s="4" t="n">
        <v>0</v>
      </c>
      <c r="R149" s="4" t="n">
        <v>1</v>
      </c>
      <c r="S149" s="4" t="n">
        <v>0</v>
      </c>
      <c r="T149" s="4" t="inlineStr">
        <is>
          <t>C++</t>
        </is>
      </c>
      <c r="U149" s="4" t="n">
        <v>100</v>
      </c>
      <c r="V149" s="9" t="inlineStr">
        <is>
          <t>Submission 1431190430</t>
        </is>
      </c>
      <c r="W149" s="9" t="inlineStr">
        <is>
          <t>Open code</t>
        </is>
      </c>
      <c r="X149" s="4" t="n">
        <v>0</v>
      </c>
      <c r="Y149" s="4" t="inlineStr">
        <is>
          <t>2023-04</t>
        </is>
      </c>
    </row>
    <row r="150">
      <c r="A150" s="4" t="n">
        <v>149</v>
      </c>
      <c r="B150" s="4" t="n">
        <v>51</v>
      </c>
      <c r="C150" s="9" t="inlineStr">
        <is>
          <t>N-Queens</t>
        </is>
      </c>
      <c r="D150" s="13" t="inlineStr">
        <is>
          <t>Hard</t>
        </is>
      </c>
      <c r="E150" s="4" t="inlineStr">
        <is>
          <t>Backtracking</t>
        </is>
      </c>
      <c r="F150" s="4" t="inlineStr">
        <is>
          <t>Constraint placement</t>
        </is>
      </c>
      <c r="G150" s="4" t="inlineStr">
        <is>
          <t>Recursion &amp; Backtracking</t>
        </is>
      </c>
      <c r="H150" s="4" t="inlineStr">
        <is>
          <t>array, backtracking, algorithm-x</t>
        </is>
      </c>
      <c r="I150" s="4" t="inlineStr">
        <is>
          <t>Solved</t>
        </is>
      </c>
      <c r="J150" s="11" t="n">
        <v>45044.5206712963</v>
      </c>
      <c r="K150" s="11" t="n">
        <v>45044.5206712963</v>
      </c>
      <c r="L150" s="11" t="n">
        <v>45044.52793981481</v>
      </c>
      <c r="M150" s="4" t="n">
        <v>2</v>
      </c>
      <c r="N150" s="4" t="n">
        <v>2</v>
      </c>
      <c r="O150" s="4" t="n">
        <v>0</v>
      </c>
      <c r="P150" s="4">
        <f>IF(AND(N150&gt;0,O150=0),"Yes","No")</f>
        <v/>
      </c>
      <c r="Q150" s="4" t="n">
        <v>0</v>
      </c>
      <c r="R150" s="4" t="n">
        <v>0</v>
      </c>
      <c r="S150" s="4" t="n">
        <v>0</v>
      </c>
      <c r="T150" s="4" t="inlineStr">
        <is>
          <t>C++</t>
        </is>
      </c>
      <c r="U150" s="4" t="n">
        <v>13.1</v>
      </c>
      <c r="V150" s="9" t="inlineStr">
        <is>
          <t>Submission 940980279</t>
        </is>
      </c>
      <c r="W150" s="9" t="inlineStr">
        <is>
          <t>Open code</t>
        </is>
      </c>
      <c r="X150" s="4" t="n">
        <v>3</v>
      </c>
      <c r="Y150" s="4" t="inlineStr">
        <is>
          <t>2023-04</t>
        </is>
      </c>
    </row>
    <row r="151">
      <c r="A151" s="4" t="n">
        <v>150</v>
      </c>
      <c r="B151" s="4" t="n">
        <v>37</v>
      </c>
      <c r="C151" s="9" t="inlineStr">
        <is>
          <t>Sudoku Solver</t>
        </is>
      </c>
      <c r="D151" s="13" t="inlineStr">
        <is>
          <t>Hard</t>
        </is>
      </c>
      <c r="E151" s="4" t="inlineStr">
        <is>
          <t>Backtracking</t>
        </is>
      </c>
      <c r="F151" s="4" t="inlineStr">
        <is>
          <t>Constraint search</t>
        </is>
      </c>
      <c r="G151" s="4" t="inlineStr">
        <is>
          <t>Recursion &amp; Backtracking</t>
        </is>
      </c>
      <c r="H151" s="4" t="inlineStr">
        <is>
          <t>array, hash-table, backtracking, matrix, algorithm-x, dancing-links</t>
        </is>
      </c>
      <c r="I151" s="4" t="inlineStr">
        <is>
          <t>Solved</t>
        </is>
      </c>
      <c r="J151" s="11" t="n">
        <v>45044.55431712963</v>
      </c>
      <c r="K151" s="11" t="n">
        <v>45044.55431712963</v>
      </c>
      <c r="L151" s="11" t="n">
        <v>45044.55431712963</v>
      </c>
      <c r="M151" s="4" t="n">
        <v>1</v>
      </c>
      <c r="N151" s="4" t="n">
        <v>1</v>
      </c>
      <c r="O151" s="4" t="n">
        <v>0</v>
      </c>
      <c r="P151" s="4">
        <f>IF(AND(N151&gt;0,O151=0),"Yes","No")</f>
        <v/>
      </c>
      <c r="Q151" s="4" t="n">
        <v>0</v>
      </c>
      <c r="R151" s="4" t="n">
        <v>0</v>
      </c>
      <c r="S151" s="4" t="n">
        <v>0</v>
      </c>
      <c r="T151" s="4" t="inlineStr">
        <is>
          <t>C++</t>
        </is>
      </c>
      <c r="U151" s="4" t="n">
        <v>95.7</v>
      </c>
      <c r="V151" s="9" t="inlineStr">
        <is>
          <t>Submission 940993417</t>
        </is>
      </c>
      <c r="W151" s="9" t="inlineStr">
        <is>
          <t>Open code</t>
        </is>
      </c>
      <c r="X151" s="4" t="n">
        <v>0</v>
      </c>
      <c r="Y151" s="4" t="inlineStr">
        <is>
          <t>2023-04</t>
        </is>
      </c>
    </row>
    <row r="152">
      <c r="A152" s="4" t="n">
        <v>151</v>
      </c>
      <c r="B152" s="4" t="n">
        <v>131</v>
      </c>
      <c r="C152" s="9" t="inlineStr">
        <is>
          <t>Palindrome Partitioning</t>
        </is>
      </c>
      <c r="D152" s="12" t="inlineStr">
        <is>
          <t>Medium</t>
        </is>
      </c>
      <c r="E152" s="4" t="inlineStr">
        <is>
          <t>Backtracking</t>
        </is>
      </c>
      <c r="F152" s="4" t="inlineStr">
        <is>
          <t>Partition backtracking</t>
        </is>
      </c>
      <c r="G152" s="4" t="inlineStr">
        <is>
          <t>Recursion &amp; Backtracking</t>
        </is>
      </c>
      <c r="H152" s="4" t="inlineStr">
        <is>
          <t>string, dynamic-programming, backtracking</t>
        </is>
      </c>
      <c r="I152" s="4" t="inlineStr">
        <is>
          <t>Solved</t>
        </is>
      </c>
      <c r="J152" s="11" t="n">
        <v>45044.62892361111</v>
      </c>
      <c r="K152" s="11" t="n">
        <v>45044.62892361111</v>
      </c>
      <c r="L152" s="11" t="n">
        <v>45044.62892361111</v>
      </c>
      <c r="M152" s="4" t="n">
        <v>1</v>
      </c>
      <c r="N152" s="4" t="n">
        <v>1</v>
      </c>
      <c r="O152" s="4" t="n">
        <v>0</v>
      </c>
      <c r="P152" s="4">
        <f>IF(AND(N152&gt;0,O152=0),"Yes","No")</f>
        <v/>
      </c>
      <c r="Q152" s="4" t="n">
        <v>0</v>
      </c>
      <c r="R152" s="4" t="n">
        <v>0</v>
      </c>
      <c r="S152" s="4" t="n">
        <v>0</v>
      </c>
      <c r="T152" s="4" t="inlineStr">
        <is>
          <t>C++</t>
        </is>
      </c>
      <c r="U152" s="4" t="n">
        <v>12.4</v>
      </c>
      <c r="V152" s="9" t="inlineStr">
        <is>
          <t>Submission 941029531</t>
        </is>
      </c>
      <c r="W152" s="9" t="inlineStr">
        <is>
          <t>Open code</t>
        </is>
      </c>
      <c r="X152" s="4" t="n">
        <v>0</v>
      </c>
      <c r="Y152" s="4" t="inlineStr">
        <is>
          <t>2023-04</t>
        </is>
      </c>
    </row>
    <row r="153">
      <c r="A153" s="4" t="n">
        <v>152</v>
      </c>
      <c r="B153" s="4" t="n">
        <v>60</v>
      </c>
      <c r="C153" s="9" t="inlineStr">
        <is>
          <t>Permutation Sequence</t>
        </is>
      </c>
      <c r="D153" s="13" t="inlineStr">
        <is>
          <t>Hard</t>
        </is>
      </c>
      <c r="E153" s="4" t="inlineStr">
        <is>
          <t>Math &amp; Bit Manipulation</t>
        </is>
      </c>
      <c r="F153" s="4" t="inlineStr">
        <is>
          <t>Factorial number system</t>
        </is>
      </c>
      <c r="G153" s="4" t="inlineStr">
        <is>
          <t>Arrays &amp; Strings</t>
        </is>
      </c>
      <c r="H153" s="4" t="inlineStr">
        <is>
          <t>math, recursion</t>
        </is>
      </c>
      <c r="I153" s="4" t="inlineStr">
        <is>
          <t>Solved</t>
        </is>
      </c>
      <c r="J153" s="11" t="n">
        <v>45044.64883101852</v>
      </c>
      <c r="K153" s="11" t="n">
        <v>45044.66275462963</v>
      </c>
      <c r="L153" s="11" t="n">
        <v>45044.66275462963</v>
      </c>
      <c r="M153" s="4" t="n">
        <v>4</v>
      </c>
      <c r="N153" s="4" t="n">
        <v>1</v>
      </c>
      <c r="O153" s="4" t="n">
        <v>3</v>
      </c>
      <c r="P153" s="4">
        <f>IF(AND(N153&gt;0,O153=0),"Yes","No")</f>
        <v/>
      </c>
      <c r="Q153" s="4" t="n">
        <v>0</v>
      </c>
      <c r="R153" s="4" t="n">
        <v>2</v>
      </c>
      <c r="S153" s="4" t="n">
        <v>1</v>
      </c>
      <c r="T153" s="4" t="inlineStr">
        <is>
          <t>C++</t>
        </is>
      </c>
      <c r="U153" s="4" t="n">
        <v>100</v>
      </c>
      <c r="V153" s="9" t="inlineStr">
        <is>
          <t>Submission 941045258</t>
        </is>
      </c>
      <c r="W153" s="9" t="inlineStr">
        <is>
          <t>Open code</t>
        </is>
      </c>
      <c r="X153" s="4" t="n">
        <v>0</v>
      </c>
      <c r="Y153" s="4" t="inlineStr">
        <is>
          <t>2023-04</t>
        </is>
      </c>
    </row>
    <row r="154">
      <c r="A154" s="4" t="n">
        <v>153</v>
      </c>
      <c r="B154" s="4" t="n">
        <v>875</v>
      </c>
      <c r="C154" s="9" t="inlineStr">
        <is>
          <t>Koko Eating Bananas</t>
        </is>
      </c>
      <c r="D154" s="12" t="inlineStr">
        <is>
          <t>Medium</t>
        </is>
      </c>
      <c r="E154" s="4" t="inlineStr">
        <is>
          <t>Binary Search on Answer</t>
        </is>
      </c>
      <c r="F154" s="4" t="inlineStr">
        <is>
          <t>Minimise speed</t>
        </is>
      </c>
      <c r="G154" s="4" t="inlineStr">
        <is>
          <t>Searching</t>
        </is>
      </c>
      <c r="H154" s="4" t="inlineStr">
        <is>
          <t>array, binary-search</t>
        </is>
      </c>
      <c r="I154" s="4" t="inlineStr">
        <is>
          <t>Solved</t>
        </is>
      </c>
      <c r="J154" s="11" t="n">
        <v>45044.79137731482</v>
      </c>
      <c r="K154" s="11" t="n">
        <v>45044.79137731482</v>
      </c>
      <c r="L154" s="11" t="n">
        <v>45738.90048611111</v>
      </c>
      <c r="M154" s="4" t="n">
        <v>12</v>
      </c>
      <c r="N154" s="4" t="n">
        <v>6</v>
      </c>
      <c r="O154" s="4" t="n">
        <v>0</v>
      </c>
      <c r="P154" s="4">
        <f>IF(AND(N154&gt;0,O154=0),"Yes","No")</f>
        <v/>
      </c>
      <c r="Q154" s="4" t="n">
        <v>0</v>
      </c>
      <c r="R154" s="4" t="n">
        <v>0</v>
      </c>
      <c r="S154" s="4" t="n">
        <v>0</v>
      </c>
      <c r="T154" s="4" t="inlineStr">
        <is>
          <t>C++, Python3</t>
        </is>
      </c>
      <c r="U154" s="4" t="n">
        <v>52.4</v>
      </c>
      <c r="V154" s="9" t="inlineStr">
        <is>
          <t>Submission 1582420275</t>
        </is>
      </c>
      <c r="W154" s="9" t="inlineStr">
        <is>
          <t>Open code</t>
        </is>
      </c>
      <c r="X154" s="4" t="n">
        <v>0</v>
      </c>
      <c r="Y154" s="4" t="inlineStr">
        <is>
          <t>2023-04</t>
        </is>
      </c>
    </row>
    <row r="155">
      <c r="A155" s="4" t="n">
        <v>154</v>
      </c>
      <c r="B155" s="4" t="n">
        <v>994</v>
      </c>
      <c r="C155" s="9" t="inlineStr">
        <is>
          <t>Rotting Oranges</t>
        </is>
      </c>
      <c r="D155" s="12" t="inlineStr">
        <is>
          <t>Medium</t>
        </is>
      </c>
      <c r="E155" s="4" t="inlineStr">
        <is>
          <t>Graph: Grid BFS/DFS</t>
        </is>
      </c>
      <c r="F155" s="4" t="inlineStr">
        <is>
          <t>Multi-source BFS</t>
        </is>
      </c>
      <c r="G155" s="4" t="inlineStr">
        <is>
          <t>Graphs</t>
        </is>
      </c>
      <c r="H155" s="4" t="inlineStr">
        <is>
          <t>array, breadth-first-search, matrix</t>
        </is>
      </c>
      <c r="I155" s="4" t="inlineStr">
        <is>
          <t>Solved</t>
        </is>
      </c>
      <c r="J155" s="11" t="n">
        <v>45045.38</v>
      </c>
      <c r="K155" s="11" t="n">
        <v>45045.38</v>
      </c>
      <c r="L155" s="11" t="n">
        <v>45778.42991898148</v>
      </c>
      <c r="M155" s="4" t="n">
        <v>2</v>
      </c>
      <c r="N155" s="4" t="n">
        <v>2</v>
      </c>
      <c r="O155" s="4" t="n">
        <v>0</v>
      </c>
      <c r="P155" s="4">
        <f>IF(AND(N155&gt;0,O155=0),"Yes","No")</f>
        <v/>
      </c>
      <c r="Q155" s="4" t="n">
        <v>0</v>
      </c>
      <c r="R155" s="4" t="n">
        <v>0</v>
      </c>
      <c r="S155" s="4" t="n">
        <v>0</v>
      </c>
      <c r="T155" s="4" t="inlineStr">
        <is>
          <t>C++</t>
        </is>
      </c>
      <c r="U155" s="4" t="n">
        <v>40.7</v>
      </c>
      <c r="V155" s="9" t="inlineStr">
        <is>
          <t>Submission 1622478711</t>
        </is>
      </c>
      <c r="W155" s="9" t="inlineStr">
        <is>
          <t>Open code</t>
        </is>
      </c>
      <c r="X155" s="4" t="n">
        <v>0</v>
      </c>
      <c r="Y155" s="4" t="inlineStr">
        <is>
          <t>2023-04</t>
        </is>
      </c>
    </row>
    <row r="156">
      <c r="A156" s="4" t="n">
        <v>155</v>
      </c>
      <c r="B156" s="4" t="n">
        <v>542</v>
      </c>
      <c r="C156" s="9" t="inlineStr">
        <is>
          <t>01 Matrix</t>
        </is>
      </c>
      <c r="D156" s="12" t="inlineStr">
        <is>
          <t>Medium</t>
        </is>
      </c>
      <c r="E156" s="4" t="inlineStr">
        <is>
          <t>Graph: Grid BFS/DFS</t>
        </is>
      </c>
      <c r="F156" s="4" t="inlineStr">
        <is>
          <t>Multi-source BFS</t>
        </is>
      </c>
      <c r="G156" s="4" t="inlineStr">
        <is>
          <t>Graphs</t>
        </is>
      </c>
      <c r="H156" s="4" t="inlineStr">
        <is>
          <t>array, dynamic-programming, breadth-first-search, matrix</t>
        </is>
      </c>
      <c r="I156" s="4" t="inlineStr">
        <is>
          <t>Solved</t>
        </is>
      </c>
      <c r="J156" s="11" t="n">
        <v>45045.40574074074</v>
      </c>
      <c r="K156" s="11" t="n">
        <v>45045.40574074074</v>
      </c>
      <c r="L156" s="11" t="n">
        <v>45045.40684027778</v>
      </c>
      <c r="M156" s="4" t="n">
        <v>2</v>
      </c>
      <c r="N156" s="4" t="n">
        <v>2</v>
      </c>
      <c r="O156" s="4" t="n">
        <v>0</v>
      </c>
      <c r="P156" s="4">
        <f>IF(AND(N156&gt;0,O156=0),"Yes","No")</f>
        <v/>
      </c>
      <c r="Q156" s="4" t="n">
        <v>0</v>
      </c>
      <c r="R156" s="4" t="n">
        <v>0</v>
      </c>
      <c r="S156" s="4" t="n">
        <v>0</v>
      </c>
      <c r="T156" s="4" t="inlineStr">
        <is>
          <t>C++</t>
        </is>
      </c>
      <c r="U156" s="4" t="n">
        <v>5</v>
      </c>
      <c r="V156" s="9" t="inlineStr">
        <is>
          <t>Submission 941376684</t>
        </is>
      </c>
      <c r="W156" s="9" t="inlineStr">
        <is>
          <t>Open code</t>
        </is>
      </c>
      <c r="X156" s="4" t="n">
        <v>0</v>
      </c>
      <c r="Y156" s="4" t="inlineStr">
        <is>
          <t>2023-04</t>
        </is>
      </c>
    </row>
    <row r="157">
      <c r="A157" s="4" t="n">
        <v>156</v>
      </c>
      <c r="B157" s="4" t="n">
        <v>1020</v>
      </c>
      <c r="C157" s="9" t="inlineStr">
        <is>
          <t>Number of Enclaves</t>
        </is>
      </c>
      <c r="D157" s="12" t="inlineStr">
        <is>
          <t>Medium</t>
        </is>
      </c>
      <c r="E157" s="4" t="inlineStr">
        <is>
          <t>Graph: Grid BFS/DFS</t>
        </is>
      </c>
      <c r="F157" s="4" t="inlineStr">
        <is>
          <t>Border flood fill</t>
        </is>
      </c>
      <c r="G157" s="4" t="inlineStr">
        <is>
          <t>Graphs</t>
        </is>
      </c>
      <c r="H157" s="4" t="inlineStr">
        <is>
          <t>array, depth-first-search, breadth-first-search, union-find, matrix</t>
        </is>
      </c>
      <c r="I157" s="4" t="inlineStr">
        <is>
          <t>Solved</t>
        </is>
      </c>
      <c r="J157" s="11" t="n">
        <v>45045.44091435185</v>
      </c>
      <c r="K157" s="11" t="n">
        <v>45045.44091435185</v>
      </c>
      <c r="L157" s="11" t="n">
        <v>45045.44091435185</v>
      </c>
      <c r="M157" s="4" t="n">
        <v>1</v>
      </c>
      <c r="N157" s="4" t="n">
        <v>1</v>
      </c>
      <c r="O157" s="4" t="n">
        <v>0</v>
      </c>
      <c r="P157" s="4">
        <f>IF(AND(N157&gt;0,O157=0),"Yes","No")</f>
        <v/>
      </c>
      <c r="Q157" s="4" t="n">
        <v>0</v>
      </c>
      <c r="R157" s="4" t="n">
        <v>0</v>
      </c>
      <c r="S157" s="4" t="n">
        <v>0</v>
      </c>
      <c r="T157" s="4" t="inlineStr">
        <is>
          <t>C++</t>
        </is>
      </c>
      <c r="U157" s="4" t="n">
        <v>5</v>
      </c>
      <c r="V157" s="9" t="inlineStr">
        <is>
          <t>Submission 941390538</t>
        </is>
      </c>
      <c r="W157" s="9" t="inlineStr">
        <is>
          <t>Open code</t>
        </is>
      </c>
      <c r="X157" s="4" t="n">
        <v>0</v>
      </c>
      <c r="Y157" s="4" t="inlineStr">
        <is>
          <t>2023-04</t>
        </is>
      </c>
    </row>
    <row r="158">
      <c r="A158" s="4" t="n">
        <v>157</v>
      </c>
      <c r="B158" s="4" t="n">
        <v>694</v>
      </c>
      <c r="C158" s="9" t="inlineStr">
        <is>
          <t>Number of Distinct Islands</t>
        </is>
      </c>
      <c r="D158" s="12" t="inlineStr">
        <is>
          <t>Medium</t>
        </is>
      </c>
      <c r="E158" s="4" t="inlineStr">
        <is>
          <t>Graph: Grid BFS/DFS</t>
        </is>
      </c>
      <c r="F158" s="4" t="inlineStr">
        <is>
          <t>Shape signature</t>
        </is>
      </c>
      <c r="G158" s="4" t="inlineStr">
        <is>
          <t>Graphs</t>
        </is>
      </c>
      <c r="H158" s="4" t="inlineStr">
        <is>
          <t>array, hash-table, depth-first-search, breadth-first-search, union-find, sorting, matrix, hash-function</t>
        </is>
      </c>
      <c r="I158" s="4" t="inlineStr">
        <is>
          <t>Solved</t>
        </is>
      </c>
      <c r="J158" s="11" t="n">
        <v>45045.50105324074</v>
      </c>
      <c r="K158" s="11" t="n">
        <v>45045.50105324074</v>
      </c>
      <c r="L158" s="11" t="n">
        <v>45217.59707175926</v>
      </c>
      <c r="M158" s="4" t="n">
        <v>2</v>
      </c>
      <c r="N158" s="4" t="n">
        <v>2</v>
      </c>
      <c r="O158" s="4" t="n">
        <v>0</v>
      </c>
      <c r="P158" s="4">
        <f>IF(AND(N158&gt;0,O158=0),"Yes","No")</f>
        <v/>
      </c>
      <c r="Q158" s="4" t="n">
        <v>0</v>
      </c>
      <c r="R158" s="4" t="n">
        <v>0</v>
      </c>
      <c r="S158" s="4" t="n">
        <v>0</v>
      </c>
      <c r="T158" s="4" t="inlineStr">
        <is>
          <t>C++</t>
        </is>
      </c>
      <c r="U158" s="4" t="n">
        <v>11.7</v>
      </c>
      <c r="V158" s="9" t="inlineStr">
        <is>
          <t>Submission 1078223567</t>
        </is>
      </c>
      <c r="W158" s="9" t="inlineStr">
        <is>
          <t>Open code</t>
        </is>
      </c>
      <c r="X158" s="4" t="n">
        <v>1</v>
      </c>
      <c r="Y158" s="4" t="inlineStr">
        <is>
          <t>2023-04</t>
        </is>
      </c>
    </row>
    <row r="159">
      <c r="A159" s="4" t="n">
        <v>158</v>
      </c>
      <c r="B159" s="4" t="n">
        <v>785</v>
      </c>
      <c r="C159" s="9" t="inlineStr">
        <is>
          <t>Is Graph Bipartite?</t>
        </is>
      </c>
      <c r="D159" s="12" t="inlineStr">
        <is>
          <t>Medium</t>
        </is>
      </c>
      <c r="E159" s="4" t="inlineStr">
        <is>
          <t>Graph: General BFS/DFS</t>
        </is>
      </c>
      <c r="F159" s="4" t="inlineStr">
        <is>
          <t>Two-colouring</t>
        </is>
      </c>
      <c r="G159" s="4" t="inlineStr">
        <is>
          <t>Graphs</t>
        </is>
      </c>
      <c r="H159" s="4" t="inlineStr">
        <is>
          <t>depth-first-search, breadth-first-search, union-find, graph, graph-coloring, bipartite-graph</t>
        </is>
      </c>
      <c r="I159" s="4" t="inlineStr">
        <is>
          <t>Solved</t>
        </is>
      </c>
      <c r="J159" s="11" t="n">
        <v>45045.52236111111</v>
      </c>
      <c r="K159" s="11" t="n">
        <v>45045.52457175926</v>
      </c>
      <c r="L159" s="11" t="n">
        <v>45045.53038194445</v>
      </c>
      <c r="M159" s="4" t="n">
        <v>3</v>
      </c>
      <c r="N159" s="4" t="n">
        <v>2</v>
      </c>
      <c r="O159" s="4" t="n">
        <v>1</v>
      </c>
      <c r="P159" s="4">
        <f>IF(AND(N159&gt;0,O159=0),"Yes","No")</f>
        <v/>
      </c>
      <c r="Q159" s="4" t="n">
        <v>1</v>
      </c>
      <c r="R159" s="4" t="n">
        <v>0</v>
      </c>
      <c r="S159" s="4" t="n">
        <v>0</v>
      </c>
      <c r="T159" s="4" t="inlineStr">
        <is>
          <t>C++</t>
        </is>
      </c>
      <c r="U159" s="4" t="n">
        <v>5.2</v>
      </c>
      <c r="V159" s="9" t="inlineStr">
        <is>
          <t>Submission 941431927</t>
        </is>
      </c>
      <c r="W159" s="9" t="inlineStr">
        <is>
          <t>Open code</t>
        </is>
      </c>
      <c r="X159" s="4" t="n">
        <v>1</v>
      </c>
      <c r="Y159" s="4" t="inlineStr">
        <is>
          <t>2023-04</t>
        </is>
      </c>
    </row>
    <row r="160">
      <c r="A160" s="4" t="n">
        <v>159</v>
      </c>
      <c r="B160" s="4" t="n">
        <v>802</v>
      </c>
      <c r="C160" s="9" t="inlineStr">
        <is>
          <t>Find Eventual Safe States</t>
        </is>
      </c>
      <c r="D160" s="12" t="inlineStr">
        <is>
          <t>Medium</t>
        </is>
      </c>
      <c r="E160" s="4" t="inlineStr">
        <is>
          <t>Graph: Topological Sort</t>
        </is>
      </c>
      <c r="F160" s="4" t="inlineStr">
        <is>
          <t>Reverse Kahn</t>
        </is>
      </c>
      <c r="G160" s="4" t="inlineStr">
        <is>
          <t>Graphs</t>
        </is>
      </c>
      <c r="H160" s="4" t="inlineStr">
        <is>
          <t>depth-first-search, breadth-first-search, graph, topological-sort, kosarajus-algorithm, tarjans-scc-algorithm</t>
        </is>
      </c>
      <c r="I160" s="4" t="inlineStr">
        <is>
          <t>Solved</t>
        </is>
      </c>
      <c r="J160" s="11" t="n">
        <v>45045.55923611111</v>
      </c>
      <c r="K160" s="11" t="n">
        <v>45045.55923611111</v>
      </c>
      <c r="L160" s="11" t="n">
        <v>45045.55923611111</v>
      </c>
      <c r="M160" s="4" t="n">
        <v>1</v>
      </c>
      <c r="N160" s="4" t="n">
        <v>1</v>
      </c>
      <c r="O160" s="4" t="n">
        <v>0</v>
      </c>
      <c r="P160" s="4">
        <f>IF(AND(N160&gt;0,O160=0),"Yes","No")</f>
        <v/>
      </c>
      <c r="Q160" s="4" t="n">
        <v>0</v>
      </c>
      <c r="R160" s="4" t="n">
        <v>0</v>
      </c>
      <c r="S160" s="4" t="n">
        <v>0</v>
      </c>
      <c r="T160" s="4" t="inlineStr">
        <is>
          <t>C++</t>
        </is>
      </c>
      <c r="U160" s="4" t="n">
        <v>5</v>
      </c>
      <c r="V160" s="9" t="inlineStr">
        <is>
          <t>Submission 941444983</t>
        </is>
      </c>
      <c r="W160" s="9" t="inlineStr">
        <is>
          <t>Open code</t>
        </is>
      </c>
      <c r="X160" s="4" t="n">
        <v>0</v>
      </c>
      <c r="Y160" s="4" t="inlineStr">
        <is>
          <t>2023-04</t>
        </is>
      </c>
    </row>
    <row r="161">
      <c r="A161" s="4" t="n">
        <v>160</v>
      </c>
      <c r="B161" s="4" t="n">
        <v>1091</v>
      </c>
      <c r="C161" s="9" t="inlineStr">
        <is>
          <t>Shortest Path in Binary Matrix</t>
        </is>
      </c>
      <c r="D161" s="12" t="inlineStr">
        <is>
          <t>Medium</t>
        </is>
      </c>
      <c r="E161" s="4" t="inlineStr">
        <is>
          <t>Graph: Shortest Path</t>
        </is>
      </c>
      <c r="F161" s="4" t="inlineStr">
        <is>
          <t>BFS, 8 directions</t>
        </is>
      </c>
      <c r="G161" s="4" t="inlineStr">
        <is>
          <t>Graphs</t>
        </is>
      </c>
      <c r="H161" s="4" t="inlineStr">
        <is>
          <t>array, breadth-first-search, matrix</t>
        </is>
      </c>
      <c r="I161" s="4" t="inlineStr">
        <is>
          <t>Solved</t>
        </is>
      </c>
      <c r="J161" s="11" t="n">
        <v>45046.49800925926</v>
      </c>
      <c r="K161" s="11" t="n">
        <v>45046.49800925926</v>
      </c>
      <c r="L161" s="11" t="n">
        <v>45328.28502314815</v>
      </c>
      <c r="M161" s="4" t="n">
        <v>8</v>
      </c>
      <c r="N161" s="4" t="n">
        <v>8</v>
      </c>
      <c r="O161" s="4" t="n">
        <v>0</v>
      </c>
      <c r="P161" s="4">
        <f>IF(AND(N161&gt;0,O161=0),"Yes","No")</f>
        <v/>
      </c>
      <c r="Q161" s="4" t="n">
        <v>0</v>
      </c>
      <c r="R161" s="4" t="n">
        <v>0</v>
      </c>
      <c r="S161" s="4" t="n">
        <v>0</v>
      </c>
      <c r="T161" s="4" t="inlineStr">
        <is>
          <t>C++, Python3</t>
        </is>
      </c>
      <c r="U161" s="4" t="n">
        <v>5.1</v>
      </c>
      <c r="V161" s="9" t="inlineStr">
        <is>
          <t>Submission 1167323415</t>
        </is>
      </c>
      <c r="W161" s="9" t="inlineStr">
        <is>
          <t>Open code</t>
        </is>
      </c>
      <c r="X161" s="4" t="n">
        <v>1</v>
      </c>
      <c r="Y161" s="4" t="inlineStr">
        <is>
          <t>2023-04</t>
        </is>
      </c>
    </row>
    <row r="162">
      <c r="A162" s="4" t="n">
        <v>161</v>
      </c>
      <c r="B162" s="4" t="n">
        <v>1631</v>
      </c>
      <c r="C162" s="9" t="inlineStr">
        <is>
          <t>Path With Minimum Effort</t>
        </is>
      </c>
      <c r="D162" s="12" t="inlineStr">
        <is>
          <t>Medium</t>
        </is>
      </c>
      <c r="E162" s="4" t="inlineStr">
        <is>
          <t>Graph: Shortest Path</t>
        </is>
      </c>
      <c r="F162" s="4" t="inlineStr">
        <is>
          <t>Minimax Dijkstra</t>
        </is>
      </c>
      <c r="G162" s="4" t="inlineStr">
        <is>
          <t>Graphs</t>
        </is>
      </c>
      <c r="H162" s="4" t="inlineStr">
        <is>
          <t>array, binary-search, depth-first-search, breadth-first-search, union-find, heap-priority-queue, matrix, dijkstra</t>
        </is>
      </c>
      <c r="I162" s="4" t="inlineStr">
        <is>
          <t>Solved</t>
        </is>
      </c>
      <c r="J162" s="11" t="n">
        <v>45046.53587962963</v>
      </c>
      <c r="K162" s="11" t="n">
        <v>45046.53858796296</v>
      </c>
      <c r="L162" s="11" t="n">
        <v>45306.99427083333</v>
      </c>
      <c r="M162" s="4" t="n">
        <v>9</v>
      </c>
      <c r="N162" s="4" t="n">
        <v>5</v>
      </c>
      <c r="O162" s="4" t="n">
        <v>2</v>
      </c>
      <c r="P162" s="4">
        <f>IF(AND(N162&gt;0,O162=0),"Yes","No")</f>
        <v/>
      </c>
      <c r="Q162" s="4" t="n">
        <v>1</v>
      </c>
      <c r="R162" s="4" t="n">
        <v>0</v>
      </c>
      <c r="S162" s="4" t="n">
        <v>1</v>
      </c>
      <c r="T162" s="4" t="inlineStr">
        <is>
          <t>C++, Python3</t>
        </is>
      </c>
      <c r="U162" s="4" t="n">
        <v>13.7</v>
      </c>
      <c r="V162" s="9" t="inlineStr">
        <is>
          <t>Submission 1147122724</t>
        </is>
      </c>
      <c r="W162" s="9" t="inlineStr">
        <is>
          <t>Open code</t>
        </is>
      </c>
      <c r="X162" s="4" t="n">
        <v>2</v>
      </c>
      <c r="Y162" s="4" t="inlineStr">
        <is>
          <t>2023-04</t>
        </is>
      </c>
    </row>
    <row r="163">
      <c r="A163" s="4" t="n">
        <v>162</v>
      </c>
      <c r="B163" s="4" t="n">
        <v>787</v>
      </c>
      <c r="C163" s="9" t="inlineStr">
        <is>
          <t>Cheapest Flights Within K Stops</t>
        </is>
      </c>
      <c r="D163" s="12" t="inlineStr">
        <is>
          <t>Medium</t>
        </is>
      </c>
      <c r="E163" s="4" t="inlineStr">
        <is>
          <t>Graph: Shortest Path</t>
        </is>
      </c>
      <c r="F163" s="4" t="inlineStr">
        <is>
          <t>Bellman-Ford / BFS with k stops</t>
        </is>
      </c>
      <c r="G163" s="4" t="inlineStr">
        <is>
          <t>Graphs</t>
        </is>
      </c>
      <c r="H163" s="4" t="inlineStr">
        <is>
          <t>dynamic-programming, depth-first-search, breadth-first-search, graph, heap-priority-queue, shortest-path</t>
        </is>
      </c>
      <c r="I163" s="4" t="inlineStr">
        <is>
          <t>Solved</t>
        </is>
      </c>
      <c r="J163" s="11" t="n">
        <v>45046.56664351852</v>
      </c>
      <c r="K163" s="11" t="n">
        <v>45046.56664351852</v>
      </c>
      <c r="L163" s="11" t="n">
        <v>45046.56863425926</v>
      </c>
      <c r="M163" s="4" t="n">
        <v>2</v>
      </c>
      <c r="N163" s="4" t="n">
        <v>2</v>
      </c>
      <c r="O163" s="4" t="n">
        <v>0</v>
      </c>
      <c r="P163" s="4">
        <f>IF(AND(N163&gt;0,O163=0),"Yes","No")</f>
        <v/>
      </c>
      <c r="Q163" s="4" t="n">
        <v>0</v>
      </c>
      <c r="R163" s="4" t="n">
        <v>0</v>
      </c>
      <c r="S163" s="4" t="n">
        <v>0</v>
      </c>
      <c r="T163" s="4" t="inlineStr">
        <is>
          <t>C++</t>
        </is>
      </c>
      <c r="U163" s="4" t="n">
        <v>11.2</v>
      </c>
      <c r="V163" s="9" t="inlineStr">
        <is>
          <t>Submission 942009995</t>
        </is>
      </c>
      <c r="W163" s="9" t="inlineStr">
        <is>
          <t>Open code</t>
        </is>
      </c>
      <c r="X163" s="4" t="n">
        <v>0</v>
      </c>
      <c r="Y163" s="4" t="inlineStr">
        <is>
          <t>2023-04</t>
        </is>
      </c>
    </row>
    <row r="164">
      <c r="A164" s="4" t="n">
        <v>163</v>
      </c>
      <c r="B164" s="4" t="n">
        <v>1976</v>
      </c>
      <c r="C164" s="9" t="inlineStr">
        <is>
          <t>Number of Ways to Arrive at Destination</t>
        </is>
      </c>
      <c r="D164" s="12" t="inlineStr">
        <is>
          <t>Medium</t>
        </is>
      </c>
      <c r="E164" s="4" t="inlineStr">
        <is>
          <t>Graph: Shortest Path</t>
        </is>
      </c>
      <c r="F164" s="4" t="inlineStr">
        <is>
          <t>Dijkstra + path count</t>
        </is>
      </c>
      <c r="G164" s="4" t="inlineStr">
        <is>
          <t>Graphs</t>
        </is>
      </c>
      <c r="H164" s="4" t="inlineStr">
        <is>
          <t>dynamic-programming, graph, topological-sort, shortest-path, dijkstra</t>
        </is>
      </c>
      <c r="I164" s="4" t="inlineStr">
        <is>
          <t>Solved</t>
        </is>
      </c>
      <c r="J164" s="11" t="n">
        <v>45046.60123842592</v>
      </c>
      <c r="K164" s="11" t="n">
        <v>45046.60583333333</v>
      </c>
      <c r="L164" s="11" t="n">
        <v>45046.60583333333</v>
      </c>
      <c r="M164" s="4" t="n">
        <v>3</v>
      </c>
      <c r="N164" s="4" t="n">
        <v>1</v>
      </c>
      <c r="O164" s="4" t="n">
        <v>2</v>
      </c>
      <c r="P164" s="4">
        <f>IF(AND(N164&gt;0,O164=0),"Yes","No")</f>
        <v/>
      </c>
      <c r="Q164" s="4" t="n">
        <v>1</v>
      </c>
      <c r="R164" s="4" t="n">
        <v>0</v>
      </c>
      <c r="S164" s="4" t="n">
        <v>1</v>
      </c>
      <c r="T164" s="4" t="inlineStr">
        <is>
          <t>C++</t>
        </is>
      </c>
      <c r="U164" s="4" t="n">
        <v>5.3</v>
      </c>
      <c r="V164" s="9" t="inlineStr">
        <is>
          <t>Submission 942027719</t>
        </is>
      </c>
      <c r="W164" s="9" t="inlineStr">
        <is>
          <t>Open code</t>
        </is>
      </c>
      <c r="X164" s="4" t="n">
        <v>0</v>
      </c>
      <c r="Y164" s="4" t="inlineStr">
        <is>
          <t>2023-04</t>
        </is>
      </c>
    </row>
    <row r="165">
      <c r="A165" s="4" t="n">
        <v>164</v>
      </c>
      <c r="B165" s="4" t="n">
        <v>684</v>
      </c>
      <c r="C165" s="9" t="inlineStr">
        <is>
          <t>Redundant Connection</t>
        </is>
      </c>
      <c r="D165" s="12" t="inlineStr">
        <is>
          <t>Medium</t>
        </is>
      </c>
      <c r="E165" s="4" t="inlineStr">
        <is>
          <t>Graph: Union-Find</t>
        </is>
      </c>
      <c r="F165" s="4" t="inlineStr">
        <is>
          <t>Cycle edge</t>
        </is>
      </c>
      <c r="G165" s="4" t="inlineStr">
        <is>
          <t>Graphs</t>
        </is>
      </c>
      <c r="H165" s="4" t="inlineStr">
        <is>
          <t>depth-first-search, breadth-first-search, union-find, graph</t>
        </is>
      </c>
      <c r="I165" s="4" t="inlineStr">
        <is>
          <t>Solved</t>
        </is>
      </c>
      <c r="J165" s="11" t="n">
        <v>45046.71844907408</v>
      </c>
      <c r="K165" s="11" t="n">
        <v>45046.71844907408</v>
      </c>
      <c r="L165" s="11" t="n">
        <v>45046.71844907408</v>
      </c>
      <c r="M165" s="4" t="n">
        <v>1</v>
      </c>
      <c r="N165" s="4" t="n">
        <v>1</v>
      </c>
      <c r="O165" s="4" t="n">
        <v>0</v>
      </c>
      <c r="P165" s="4">
        <f>IF(AND(N165&gt;0,O165=0),"Yes","No")</f>
        <v/>
      </c>
      <c r="Q165" s="4" t="n">
        <v>0</v>
      </c>
      <c r="R165" s="4" t="n">
        <v>0</v>
      </c>
      <c r="S165" s="4" t="n">
        <v>0</v>
      </c>
      <c r="T165" s="4" t="inlineStr">
        <is>
          <t>C++</t>
        </is>
      </c>
      <c r="U165" s="4" t="n">
        <v>15.5</v>
      </c>
      <c r="V165" s="9" t="inlineStr">
        <is>
          <t>Submission 942082217</t>
        </is>
      </c>
      <c r="W165" s="9" t="inlineStr">
        <is>
          <t>Open code</t>
        </is>
      </c>
      <c r="X165" s="4" t="n">
        <v>0</v>
      </c>
      <c r="Y165" s="4" t="inlineStr">
        <is>
          <t>2023-04</t>
        </is>
      </c>
    </row>
    <row r="166">
      <c r="A166" s="4" t="n">
        <v>165</v>
      </c>
      <c r="B166" s="4" t="n">
        <v>721</v>
      </c>
      <c r="C166" s="9" t="inlineStr">
        <is>
          <t>Accounts Merge</t>
        </is>
      </c>
      <c r="D166" s="12" t="inlineStr">
        <is>
          <t>Medium</t>
        </is>
      </c>
      <c r="E166" s="4" t="inlineStr">
        <is>
          <t>Graph: Union-Find</t>
        </is>
      </c>
      <c r="F166" s="4" t="inlineStr">
        <is>
          <t>Union by email</t>
        </is>
      </c>
      <c r="G166" s="4" t="inlineStr">
        <is>
          <t>Graphs</t>
        </is>
      </c>
      <c r="H166" s="4" t="inlineStr">
        <is>
          <t>array, hash-table, string, depth-first-search, breadth-first-search, union-find, sorting</t>
        </is>
      </c>
      <c r="I166" s="4" t="inlineStr">
        <is>
          <t>Solved</t>
        </is>
      </c>
      <c r="J166" s="11" t="n">
        <v>45046.75959490741</v>
      </c>
      <c r="K166" s="11" t="n">
        <v>45046.76059027778</v>
      </c>
      <c r="L166" s="11" t="n">
        <v>45258.13883101852</v>
      </c>
      <c r="M166" s="4" t="n">
        <v>5</v>
      </c>
      <c r="N166" s="4" t="n">
        <v>3</v>
      </c>
      <c r="O166" s="4" t="n">
        <v>1</v>
      </c>
      <c r="P166" s="4">
        <f>IF(AND(N166&gt;0,O166=0),"Yes","No")</f>
        <v/>
      </c>
      <c r="Q166" s="4" t="n">
        <v>1</v>
      </c>
      <c r="R166" s="4" t="n">
        <v>0</v>
      </c>
      <c r="S166" s="4" t="n">
        <v>0</v>
      </c>
      <c r="T166" s="4" t="inlineStr">
        <is>
          <t>C++, Python3</t>
        </is>
      </c>
      <c r="U166" s="4" t="n">
        <v>8.4</v>
      </c>
      <c r="V166" s="9" t="inlineStr">
        <is>
          <t>Submission 1107727897</t>
        </is>
      </c>
      <c r="W166" s="9" t="inlineStr">
        <is>
          <t>Open code</t>
        </is>
      </c>
      <c r="X166" s="4" t="n">
        <v>0</v>
      </c>
      <c r="Y166" s="4" t="inlineStr">
        <is>
          <t>2023-04</t>
        </is>
      </c>
    </row>
    <row r="167">
      <c r="A167" s="4" t="n">
        <v>166</v>
      </c>
      <c r="B167" s="4" t="n">
        <v>305</v>
      </c>
      <c r="C167" s="9" t="inlineStr">
        <is>
          <t>Number of Islands II</t>
        </is>
      </c>
      <c r="D167" s="13" t="inlineStr">
        <is>
          <t>Hard</t>
        </is>
      </c>
      <c r="E167" s="4" t="inlineStr">
        <is>
          <t>Graph: Union-Find</t>
        </is>
      </c>
      <c r="F167" s="4" t="inlineStr">
        <is>
          <t>Online DSU</t>
        </is>
      </c>
      <c r="G167" s="4" t="inlineStr">
        <is>
          <t>Graphs</t>
        </is>
      </c>
      <c r="H167" s="4" t="inlineStr">
        <is>
          <t>array, hash-table, union-find</t>
        </is>
      </c>
      <c r="I167" s="4" t="inlineStr">
        <is>
          <t>Solved</t>
        </is>
      </c>
      <c r="J167" s="11" t="n">
        <v>45046.78564814815</v>
      </c>
      <c r="K167" s="11" t="n">
        <v>45046.79586805555</v>
      </c>
      <c r="L167" s="11" t="n">
        <v>45046.79586805555</v>
      </c>
      <c r="M167" s="4" t="n">
        <v>2</v>
      </c>
      <c r="N167" s="4" t="n">
        <v>1</v>
      </c>
      <c r="O167" s="4" t="n">
        <v>1</v>
      </c>
      <c r="P167" s="4">
        <f>IF(AND(N167&gt;0,O167=0),"Yes","No")</f>
        <v/>
      </c>
      <c r="Q167" s="4" t="n">
        <v>1</v>
      </c>
      <c r="R167" s="4" t="n">
        <v>0</v>
      </c>
      <c r="S167" s="4" t="n">
        <v>0</v>
      </c>
      <c r="T167" s="4" t="inlineStr">
        <is>
          <t>C++</t>
        </is>
      </c>
      <c r="U167" s="4" t="n">
        <v>9.699999999999999</v>
      </c>
      <c r="V167" s="9" t="inlineStr">
        <is>
          <t>Submission 942119013</t>
        </is>
      </c>
      <c r="W167" s="9" t="inlineStr">
        <is>
          <t>Open code</t>
        </is>
      </c>
      <c r="X167" s="4" t="n">
        <v>0</v>
      </c>
      <c r="Y167" s="4" t="inlineStr">
        <is>
          <t>2023-04</t>
        </is>
      </c>
    </row>
    <row r="168">
      <c r="A168" s="4" t="n">
        <v>167</v>
      </c>
      <c r="B168" s="4" t="n">
        <v>1192</v>
      </c>
      <c r="C168" s="9" t="inlineStr">
        <is>
          <t>Critical Connections in a Network</t>
        </is>
      </c>
      <c r="D168" s="13" t="inlineStr">
        <is>
          <t>Hard</t>
        </is>
      </c>
      <c r="E168" s="4" t="inlineStr">
        <is>
          <t>Graph: General BFS/DFS</t>
        </is>
      </c>
      <c r="F168" s="4" t="inlineStr">
        <is>
          <t>Tarjan bridges</t>
        </is>
      </c>
      <c r="G168" s="4" t="inlineStr">
        <is>
          <t>Graphs</t>
        </is>
      </c>
      <c r="H168" s="4" t="inlineStr">
        <is>
          <t>depth-first-search, graph, biconnected-component, bridge-graph</t>
        </is>
      </c>
      <c r="I168" s="4" t="inlineStr">
        <is>
          <t>Solved</t>
        </is>
      </c>
      <c r="J168" s="11" t="n">
        <v>45047.47894675926</v>
      </c>
      <c r="K168" s="11" t="n">
        <v>45047.47894675926</v>
      </c>
      <c r="L168" s="11" t="n">
        <v>45047.48912037037</v>
      </c>
      <c r="M168" s="4" t="n">
        <v>3</v>
      </c>
      <c r="N168" s="4" t="n">
        <v>3</v>
      </c>
      <c r="O168" s="4" t="n">
        <v>0</v>
      </c>
      <c r="P168" s="4">
        <f>IF(AND(N168&gt;0,O168=0),"Yes","No")</f>
        <v/>
      </c>
      <c r="Q168" s="4" t="n">
        <v>0</v>
      </c>
      <c r="R168" s="4" t="n">
        <v>0</v>
      </c>
      <c r="S168" s="4" t="n">
        <v>0</v>
      </c>
      <c r="T168" s="4" t="inlineStr">
        <is>
          <t>C++</t>
        </is>
      </c>
      <c r="U168" s="4" t="n">
        <v>5</v>
      </c>
      <c r="V168" s="9" t="inlineStr">
        <is>
          <t>Submission 942454714</t>
        </is>
      </c>
      <c r="W168" s="9" t="inlineStr">
        <is>
          <t>Open code</t>
        </is>
      </c>
      <c r="X168" s="4" t="n">
        <v>1</v>
      </c>
      <c r="Y168" s="4" t="inlineStr">
        <is>
          <t>2023-05</t>
        </is>
      </c>
    </row>
    <row r="169">
      <c r="A169" s="4" t="n">
        <v>168</v>
      </c>
      <c r="B169" s="4" t="n">
        <v>1561</v>
      </c>
      <c r="C169" s="9" t="inlineStr">
        <is>
          <t>Maximum Number of Coins You Can Get</t>
        </is>
      </c>
      <c r="D169" s="12" t="inlineStr">
        <is>
          <t>Medium</t>
        </is>
      </c>
      <c r="E169" s="4" t="inlineStr">
        <is>
          <t>Greedy</t>
        </is>
      </c>
      <c r="F169" s="4" t="inlineStr">
        <is>
          <t>Sort + pick</t>
        </is>
      </c>
      <c r="G169" s="4" t="inlineStr">
        <is>
          <t>Greedy</t>
        </is>
      </c>
      <c r="H169" s="4" t="inlineStr">
        <is>
          <t>array, math, greedy, sorting, game-theory</t>
        </is>
      </c>
      <c r="I169" s="4" t="inlineStr">
        <is>
          <t>Solved</t>
        </is>
      </c>
      <c r="J169" s="11" t="n">
        <v>45048.74680555556</v>
      </c>
      <c r="K169" s="11" t="n">
        <v>45048.74680555556</v>
      </c>
      <c r="L169" s="11" t="n">
        <v>45048.74680555556</v>
      </c>
      <c r="M169" s="4" t="n">
        <v>1</v>
      </c>
      <c r="N169" s="4" t="n">
        <v>1</v>
      </c>
      <c r="O169" s="4" t="n">
        <v>0</v>
      </c>
      <c r="P169" s="4">
        <f>IF(AND(N169&gt;0,O169=0),"Yes","No")</f>
        <v/>
      </c>
      <c r="Q169" s="4" t="n">
        <v>0</v>
      </c>
      <c r="R169" s="4" t="n">
        <v>0</v>
      </c>
      <c r="S169" s="4" t="n">
        <v>0</v>
      </c>
      <c r="T169" s="4" t="inlineStr">
        <is>
          <t>C++</t>
        </is>
      </c>
      <c r="U169" s="4" t="n">
        <v>5</v>
      </c>
      <c r="V169" s="9" t="inlineStr">
        <is>
          <t>Submission 943198196</t>
        </is>
      </c>
      <c r="W169" s="9" t="inlineStr">
        <is>
          <t>Open code</t>
        </is>
      </c>
      <c r="X169" s="4" t="n">
        <v>0</v>
      </c>
      <c r="Y169" s="4" t="inlineStr">
        <is>
          <t>2023-05</t>
        </is>
      </c>
    </row>
    <row r="170">
      <c r="A170" s="4" t="n">
        <v>169</v>
      </c>
      <c r="B170" s="4" t="n">
        <v>123</v>
      </c>
      <c r="C170" s="9" t="inlineStr">
        <is>
          <t>Best Time to Buy and Sell Stock III</t>
        </is>
      </c>
      <c r="D170" s="13" t="inlineStr">
        <is>
          <t>Hard</t>
        </is>
      </c>
      <c r="E170" s="4" t="inlineStr">
        <is>
          <t>DP: Buy &amp; Sell Stock</t>
        </is>
      </c>
      <c r="F170" s="4" t="inlineStr">
        <is>
          <t>At most 2 transactions</t>
        </is>
      </c>
      <c r="G170" s="4" t="inlineStr">
        <is>
          <t>Dynamic Programming</t>
        </is>
      </c>
      <c r="H170" s="4" t="inlineStr">
        <is>
          <t>array, dynamic-programming</t>
        </is>
      </c>
      <c r="I170" s="4" t="inlineStr">
        <is>
          <t>Solved</t>
        </is>
      </c>
      <c r="J170" s="11" t="n">
        <v>45049.52541666666</v>
      </c>
      <c r="K170" s="11" t="n">
        <v>45049.52541666666</v>
      </c>
      <c r="L170" s="11" t="n">
        <v>45049.55384259259</v>
      </c>
      <c r="M170" s="4" t="n">
        <v>5</v>
      </c>
      <c r="N170" s="4" t="n">
        <v>5</v>
      </c>
      <c r="O170" s="4" t="n">
        <v>0</v>
      </c>
      <c r="P170" s="4">
        <f>IF(AND(N170&gt;0,O170=0),"Yes","No")</f>
        <v/>
      </c>
      <c r="Q170" s="4" t="n">
        <v>0</v>
      </c>
      <c r="R170" s="4" t="n">
        <v>0</v>
      </c>
      <c r="S170" s="4" t="n">
        <v>0</v>
      </c>
      <c r="T170" s="4" t="inlineStr">
        <is>
          <t>C++</t>
        </is>
      </c>
      <c r="U170" s="4" t="n">
        <v>5</v>
      </c>
      <c r="V170" s="9" t="inlineStr">
        <is>
          <t>Submission 943682793</t>
        </is>
      </c>
      <c r="W170" s="9" t="inlineStr">
        <is>
          <t>Open code</t>
        </is>
      </c>
      <c r="X170" s="4" t="n">
        <v>3</v>
      </c>
      <c r="Y170" s="4" t="inlineStr">
        <is>
          <t>2023-05</t>
        </is>
      </c>
    </row>
    <row r="171">
      <c r="A171" s="4" t="n">
        <v>170</v>
      </c>
      <c r="B171" s="4" t="n">
        <v>188</v>
      </c>
      <c r="C171" s="9" t="inlineStr">
        <is>
          <t>Best Time to Buy and Sell Stock IV</t>
        </is>
      </c>
      <c r="D171" s="13" t="inlineStr">
        <is>
          <t>Hard</t>
        </is>
      </c>
      <c r="E171" s="4" t="inlineStr">
        <is>
          <t>DP: Buy &amp; Sell Stock</t>
        </is>
      </c>
      <c r="F171" s="4" t="inlineStr">
        <is>
          <t>At most k transactions</t>
        </is>
      </c>
      <c r="G171" s="4" t="inlineStr">
        <is>
          <t>Dynamic Programming</t>
        </is>
      </c>
      <c r="H171" s="4" t="inlineStr">
        <is>
          <t>array, dynamic-programming</t>
        </is>
      </c>
      <c r="I171" s="4" t="inlineStr">
        <is>
          <t>Solved</t>
        </is>
      </c>
      <c r="J171" s="11" t="n">
        <v>45049.52603009259</v>
      </c>
      <c r="K171" s="11" t="n">
        <v>45049.52603009259</v>
      </c>
      <c r="L171" s="11" t="n">
        <v>45049.56072916667</v>
      </c>
      <c r="M171" s="4" t="n">
        <v>5</v>
      </c>
      <c r="N171" s="4" t="n">
        <v>4</v>
      </c>
      <c r="O171" s="4" t="n">
        <v>0</v>
      </c>
      <c r="P171" s="4">
        <f>IF(AND(N171&gt;0,O171=0),"Yes","No")</f>
        <v/>
      </c>
      <c r="Q171" s="4" t="n">
        <v>0</v>
      </c>
      <c r="R171" s="4" t="n">
        <v>0</v>
      </c>
      <c r="S171" s="4" t="n">
        <v>0</v>
      </c>
      <c r="T171" s="4" t="inlineStr">
        <is>
          <t>C++</t>
        </is>
      </c>
      <c r="U171" s="4" t="n">
        <v>13.6</v>
      </c>
      <c r="V171" s="9" t="inlineStr">
        <is>
          <t>Submission 943687014</t>
        </is>
      </c>
      <c r="W171" s="9" t="inlineStr">
        <is>
          <t>Open code</t>
        </is>
      </c>
      <c r="X171" s="4" t="n">
        <v>2</v>
      </c>
      <c r="Y171" s="4" t="inlineStr">
        <is>
          <t>2023-05</t>
        </is>
      </c>
    </row>
    <row r="172">
      <c r="A172" s="4" t="n">
        <v>171</v>
      </c>
      <c r="B172" s="4" t="n">
        <v>309</v>
      </c>
      <c r="C172" s="9" t="inlineStr">
        <is>
          <t>Best Time to Buy and Sell Stock with Cooldown</t>
        </is>
      </c>
      <c r="D172" s="12" t="inlineStr">
        <is>
          <t>Medium</t>
        </is>
      </c>
      <c r="E172" s="4" t="inlineStr">
        <is>
          <t>DP: Buy &amp; Sell Stock</t>
        </is>
      </c>
      <c r="F172" s="4" t="inlineStr">
        <is>
          <t>State machine</t>
        </is>
      </c>
      <c r="G172" s="4" t="inlineStr">
        <is>
          <t>Dynamic Programming</t>
        </is>
      </c>
      <c r="H172" s="4" t="inlineStr">
        <is>
          <t>array, dynamic-programming</t>
        </is>
      </c>
      <c r="I172" s="4" t="inlineStr">
        <is>
          <t>Solved</t>
        </is>
      </c>
      <c r="J172" s="11" t="n">
        <v>45049.57361111111</v>
      </c>
      <c r="K172" s="11" t="n">
        <v>45049.57361111111</v>
      </c>
      <c r="L172" s="11" t="n">
        <v>45049.57361111111</v>
      </c>
      <c r="M172" s="4" t="n">
        <v>1</v>
      </c>
      <c r="N172" s="4" t="n">
        <v>1</v>
      </c>
      <c r="O172" s="4" t="n">
        <v>0</v>
      </c>
      <c r="P172" s="4">
        <f>IF(AND(N172&gt;0,O172=0),"Yes","No")</f>
        <v/>
      </c>
      <c r="Q172" s="4" t="n">
        <v>0</v>
      </c>
      <c r="R172" s="4" t="n">
        <v>0</v>
      </c>
      <c r="S172" s="4" t="n">
        <v>0</v>
      </c>
      <c r="T172" s="4" t="inlineStr">
        <is>
          <t>C++</t>
        </is>
      </c>
      <c r="U172" s="4" t="n">
        <v>6.1</v>
      </c>
      <c r="V172" s="9" t="inlineStr">
        <is>
          <t>Submission 943694651</t>
        </is>
      </c>
      <c r="W172" s="9" t="inlineStr">
        <is>
          <t>Open code</t>
        </is>
      </c>
      <c r="X172" s="4" t="n">
        <v>0</v>
      </c>
      <c r="Y172" s="4" t="inlineStr">
        <is>
          <t>2023-05</t>
        </is>
      </c>
    </row>
    <row r="173">
      <c r="A173" s="4" t="n">
        <v>172</v>
      </c>
      <c r="B173" s="4" t="n">
        <v>714</v>
      </c>
      <c r="C173" s="9" t="inlineStr">
        <is>
          <t>Best Time to Buy and Sell Stock with Transaction Fee</t>
        </is>
      </c>
      <c r="D173" s="12" t="inlineStr">
        <is>
          <t>Medium</t>
        </is>
      </c>
      <c r="E173" s="4" t="inlineStr">
        <is>
          <t>DP: Buy &amp; Sell Stock</t>
        </is>
      </c>
      <c r="F173" s="4" t="inlineStr">
        <is>
          <t>State machine</t>
        </is>
      </c>
      <c r="G173" s="4" t="inlineStr">
        <is>
          <t>Dynamic Programming</t>
        </is>
      </c>
      <c r="H173" s="4" t="inlineStr">
        <is>
          <t>array, dynamic-programming, greedy</t>
        </is>
      </c>
      <c r="I173" s="4" t="inlineStr">
        <is>
          <t>Solved</t>
        </is>
      </c>
      <c r="J173" s="11" t="n">
        <v>45049.57559027777</v>
      </c>
      <c r="K173" s="11" t="n">
        <v>45049.57559027777</v>
      </c>
      <c r="L173" s="11" t="n">
        <v>45049.57559027777</v>
      </c>
      <c r="M173" s="4" t="n">
        <v>1</v>
      </c>
      <c r="N173" s="4" t="n">
        <v>1</v>
      </c>
      <c r="O173" s="4" t="n">
        <v>0</v>
      </c>
      <c r="P173" s="4">
        <f>IF(AND(N173&gt;0,O173=0),"Yes","No")</f>
        <v/>
      </c>
      <c r="Q173" s="4" t="n">
        <v>0</v>
      </c>
      <c r="R173" s="4" t="n">
        <v>0</v>
      </c>
      <c r="S173" s="4" t="n">
        <v>0</v>
      </c>
      <c r="T173" s="4" t="inlineStr">
        <is>
          <t>C++</t>
        </is>
      </c>
      <c r="U173" s="4" t="n">
        <v>5.3</v>
      </c>
      <c r="V173" s="9" t="inlineStr">
        <is>
          <t>Submission 943695800</t>
        </is>
      </c>
      <c r="W173" s="9" t="inlineStr">
        <is>
          <t>Open code</t>
        </is>
      </c>
      <c r="X173" s="4" t="n">
        <v>0</v>
      </c>
      <c r="Y173" s="4" t="inlineStr">
        <is>
          <t>2023-05</t>
        </is>
      </c>
    </row>
    <row r="174">
      <c r="A174" s="4" t="n">
        <v>173</v>
      </c>
      <c r="B174" s="4" t="n">
        <v>132</v>
      </c>
      <c r="C174" s="9" t="inlineStr">
        <is>
          <t>Palindrome Partitioning II</t>
        </is>
      </c>
      <c r="D174" s="13" t="inlineStr">
        <is>
          <t>Hard</t>
        </is>
      </c>
      <c r="E174" s="4" t="inlineStr">
        <is>
          <t>DP: Partition / Interval (MCM)</t>
        </is>
      </c>
      <c r="F174" s="4" t="inlineStr">
        <is>
          <t>Front partition DP</t>
        </is>
      </c>
      <c r="G174" s="4" t="inlineStr">
        <is>
          <t>Dynamic Programming</t>
        </is>
      </c>
      <c r="H174" s="4" t="inlineStr">
        <is>
          <t>string, dynamic-programming</t>
        </is>
      </c>
      <c r="I174" s="4" t="inlineStr">
        <is>
          <t>Solved</t>
        </is>
      </c>
      <c r="J174" s="11" t="n">
        <v>45050.42123842592</v>
      </c>
      <c r="K174" s="11" t="n">
        <v>45050.42123842592</v>
      </c>
      <c r="L174" s="11" t="n">
        <v>45050.42539351852</v>
      </c>
      <c r="M174" s="4" t="n">
        <v>3</v>
      </c>
      <c r="N174" s="4" t="n">
        <v>3</v>
      </c>
      <c r="O174" s="4" t="n">
        <v>0</v>
      </c>
      <c r="P174" s="4">
        <f>IF(AND(N174&gt;0,O174=0),"Yes","No")</f>
        <v/>
      </c>
      <c r="Q174" s="4" t="n">
        <v>0</v>
      </c>
      <c r="R174" s="4" t="n">
        <v>0</v>
      </c>
      <c r="S174" s="4" t="n">
        <v>0</v>
      </c>
      <c r="T174" s="4" t="inlineStr">
        <is>
          <t>C++</t>
        </is>
      </c>
      <c r="U174" s="4" t="n">
        <v>44.4</v>
      </c>
      <c r="V174" s="9" t="inlineStr">
        <is>
          <t>Submission 944162403</t>
        </is>
      </c>
      <c r="W174" s="9" t="inlineStr">
        <is>
          <t>Open code</t>
        </is>
      </c>
      <c r="X174" s="4" t="n">
        <v>0</v>
      </c>
      <c r="Y174" s="4" t="inlineStr">
        <is>
          <t>2023-05</t>
        </is>
      </c>
    </row>
    <row r="175">
      <c r="A175" s="4" t="n">
        <v>174</v>
      </c>
      <c r="B175" s="4" t="n">
        <v>1043</v>
      </c>
      <c r="C175" s="9" t="inlineStr">
        <is>
          <t>Partition Array for Maximum Sum</t>
        </is>
      </c>
      <c r="D175" s="12" t="inlineStr">
        <is>
          <t>Medium</t>
        </is>
      </c>
      <c r="E175" s="4" t="inlineStr">
        <is>
          <t>DP: Partition / Interval (MCM)</t>
        </is>
      </c>
      <c r="F175" s="4" t="inlineStr">
        <is>
          <t>Front partition DP</t>
        </is>
      </c>
      <c r="G175" s="4" t="inlineStr">
        <is>
          <t>Dynamic Programming</t>
        </is>
      </c>
      <c r="H175" s="4" t="inlineStr">
        <is>
          <t>array, dynamic-programming</t>
        </is>
      </c>
      <c r="I175" s="4" t="inlineStr">
        <is>
          <t>Solved</t>
        </is>
      </c>
      <c r="J175" s="11" t="n">
        <v>45050.45033564815</v>
      </c>
      <c r="K175" s="11" t="n">
        <v>45050.45033564815</v>
      </c>
      <c r="L175" s="11" t="n">
        <v>45050.45217592592</v>
      </c>
      <c r="M175" s="4" t="n">
        <v>3</v>
      </c>
      <c r="N175" s="4" t="n">
        <v>3</v>
      </c>
      <c r="O175" s="4" t="n">
        <v>0</v>
      </c>
      <c r="P175" s="4">
        <f>IF(AND(N175&gt;0,O175=0),"Yes","No")</f>
        <v/>
      </c>
      <c r="Q175" s="4" t="n">
        <v>0</v>
      </c>
      <c r="R175" s="4" t="n">
        <v>0</v>
      </c>
      <c r="S175" s="4" t="n">
        <v>0</v>
      </c>
      <c r="T175" s="4" t="inlineStr">
        <is>
          <t>C++</t>
        </is>
      </c>
      <c r="U175" s="4" t="n">
        <v>10.9</v>
      </c>
      <c r="V175" s="9" t="inlineStr">
        <is>
          <t>Submission 944177961</t>
        </is>
      </c>
      <c r="W175" s="9" t="inlineStr">
        <is>
          <t>Open code</t>
        </is>
      </c>
      <c r="X175" s="4" t="n">
        <v>0</v>
      </c>
      <c r="Y175" s="4" t="inlineStr">
        <is>
          <t>2023-05</t>
        </is>
      </c>
    </row>
    <row r="176">
      <c r="A176" s="4" t="n">
        <v>175</v>
      </c>
      <c r="B176" s="4" t="n">
        <v>2387</v>
      </c>
      <c r="C176" s="9" t="inlineStr">
        <is>
          <t>Median of a Row Wise Sorted Matrix</t>
        </is>
      </c>
      <c r="D176" s="12" t="inlineStr">
        <is>
          <t>Medium</t>
        </is>
      </c>
      <c r="E176" s="4" t="inlineStr">
        <is>
          <t>Binary Search on Answer</t>
        </is>
      </c>
      <c r="F176" s="4" t="inlineStr">
        <is>
          <t>Count &lt;= mid</t>
        </is>
      </c>
      <c r="G176" s="4" t="inlineStr">
        <is>
          <t>Searching</t>
        </is>
      </c>
      <c r="H176" s="4" t="inlineStr">
        <is>
          <t>array, binary-search, matrix</t>
        </is>
      </c>
      <c r="I176" s="4" t="inlineStr">
        <is>
          <t>Solved</t>
        </is>
      </c>
      <c r="J176" s="11" t="n">
        <v>45050.5030787037</v>
      </c>
      <c r="K176" s="11" t="n">
        <v>45050.5030787037</v>
      </c>
      <c r="L176" s="11" t="n">
        <v>45050.5030787037</v>
      </c>
      <c r="M176" s="4" t="n">
        <v>1</v>
      </c>
      <c r="N176" s="4" t="n">
        <v>1</v>
      </c>
      <c r="O176" s="4" t="n">
        <v>0</v>
      </c>
      <c r="P176" s="4">
        <f>IF(AND(N176&gt;0,O176=0),"Yes","No")</f>
        <v/>
      </c>
      <c r="Q176" s="4" t="n">
        <v>0</v>
      </c>
      <c r="R176" s="4" t="n">
        <v>0</v>
      </c>
      <c r="S176" s="4" t="n">
        <v>0</v>
      </c>
      <c r="T176" s="4" t="inlineStr">
        <is>
          <t>C++</t>
        </is>
      </c>
      <c r="U176" s="4" t="n">
        <v>5.9</v>
      </c>
      <c r="V176" s="9" t="inlineStr">
        <is>
          <t>Submission 944209105</t>
        </is>
      </c>
      <c r="W176" s="9" t="inlineStr">
        <is>
          <t>Open code</t>
        </is>
      </c>
      <c r="X176" s="4" t="n">
        <v>0</v>
      </c>
      <c r="Y176" s="4" t="inlineStr">
        <is>
          <t>2023-05</t>
        </is>
      </c>
    </row>
    <row r="177">
      <c r="A177" s="4" t="n">
        <v>176</v>
      </c>
      <c r="B177" s="4" t="n">
        <v>540</v>
      </c>
      <c r="C177" s="9" t="inlineStr">
        <is>
          <t>Single Element in a Sorted Array</t>
        </is>
      </c>
      <c r="D177" s="12" t="inlineStr">
        <is>
          <t>Medium</t>
        </is>
      </c>
      <c r="E177" s="4" t="inlineStr">
        <is>
          <t>Binary Search</t>
        </is>
      </c>
      <c r="F177" s="4" t="inlineStr">
        <is>
          <t>Parity halves</t>
        </is>
      </c>
      <c r="G177" s="4" t="inlineStr">
        <is>
          <t>Searching</t>
        </is>
      </c>
      <c r="H177" s="4" t="inlineStr">
        <is>
          <t>array, binary-search</t>
        </is>
      </c>
      <c r="I177" s="4" t="inlineStr">
        <is>
          <t>Solved</t>
        </is>
      </c>
      <c r="J177" s="11" t="n">
        <v>45050.54634259259</v>
      </c>
      <c r="K177" s="11" t="n">
        <v>45050.54634259259</v>
      </c>
      <c r="L177" s="11" t="n">
        <v>45050.54634259259</v>
      </c>
      <c r="M177" s="4" t="n">
        <v>1</v>
      </c>
      <c r="N177" s="4" t="n">
        <v>1</v>
      </c>
      <c r="O177" s="4" t="n">
        <v>0</v>
      </c>
      <c r="P177" s="4">
        <f>IF(AND(N177&gt;0,O177=0),"Yes","No")</f>
        <v/>
      </c>
      <c r="Q177" s="4" t="n">
        <v>0</v>
      </c>
      <c r="R177" s="4" t="n">
        <v>0</v>
      </c>
      <c r="S177" s="4" t="n">
        <v>0</v>
      </c>
      <c r="T177" s="4" t="inlineStr">
        <is>
          <t>C++</t>
        </is>
      </c>
      <c r="U177" s="4" t="n">
        <v>3.5</v>
      </c>
      <c r="V177" s="9" t="inlineStr">
        <is>
          <t>Submission 944234757</t>
        </is>
      </c>
      <c r="W177" s="9" t="inlineStr">
        <is>
          <t>Open code</t>
        </is>
      </c>
      <c r="X177" s="4" t="n">
        <v>0</v>
      </c>
      <c r="Y177" s="4" t="inlineStr">
        <is>
          <t>2023-05</t>
        </is>
      </c>
    </row>
    <row r="178">
      <c r="A178" s="4" t="n">
        <v>177</v>
      </c>
      <c r="B178" s="4" t="n">
        <v>4</v>
      </c>
      <c r="C178" s="9" t="inlineStr">
        <is>
          <t>Median of Two Sorted Arrays</t>
        </is>
      </c>
      <c r="D178" s="13" t="inlineStr">
        <is>
          <t>Hard</t>
        </is>
      </c>
      <c r="E178" s="4" t="inlineStr">
        <is>
          <t>Binary Search</t>
        </is>
      </c>
      <c r="F178" s="4" t="inlineStr">
        <is>
          <t>Partition search</t>
        </is>
      </c>
      <c r="G178" s="4" t="inlineStr">
        <is>
          <t>Searching</t>
        </is>
      </c>
      <c r="H178" s="4" t="inlineStr">
        <is>
          <t>array, binary-search, divide-and-conquer</t>
        </is>
      </c>
      <c r="I178" s="4" t="inlineStr">
        <is>
          <t>Solved</t>
        </is>
      </c>
      <c r="J178" s="11" t="n">
        <v>45050.59784722222</v>
      </c>
      <c r="K178" s="11" t="n">
        <v>45050.60333333333</v>
      </c>
      <c r="L178" s="11" t="n">
        <v>45739.65841435185</v>
      </c>
      <c r="M178" s="4" t="n">
        <v>5</v>
      </c>
      <c r="N178" s="4" t="n">
        <v>3</v>
      </c>
      <c r="O178" s="4" t="n">
        <v>2</v>
      </c>
      <c r="P178" s="4">
        <f>IF(AND(N178&gt;0,O178=0),"Yes","No")</f>
        <v/>
      </c>
      <c r="Q178" s="4" t="n">
        <v>2</v>
      </c>
      <c r="R178" s="4" t="n">
        <v>0</v>
      </c>
      <c r="S178" s="4" t="n">
        <v>0</v>
      </c>
      <c r="T178" s="4" t="inlineStr">
        <is>
          <t>C++</t>
        </is>
      </c>
      <c r="U178" s="4" t="n">
        <v>100</v>
      </c>
      <c r="V178" s="9" t="inlineStr">
        <is>
          <t>Submission 1583197806</t>
        </is>
      </c>
      <c r="W178" s="9" t="inlineStr">
        <is>
          <t>Open code</t>
        </is>
      </c>
      <c r="X178" s="4" t="n">
        <v>0</v>
      </c>
      <c r="Y178" s="4" t="inlineStr">
        <is>
          <t>2023-05</t>
        </is>
      </c>
    </row>
    <row r="179">
      <c r="A179" s="4" t="n">
        <v>178</v>
      </c>
      <c r="B179" s="4" t="n">
        <v>208</v>
      </c>
      <c r="C179" s="9" t="inlineStr">
        <is>
          <t>Implement Trie (Prefix Tree)</t>
        </is>
      </c>
      <c r="D179" s="12" t="inlineStr">
        <is>
          <t>Medium</t>
        </is>
      </c>
      <c r="E179" s="4" t="inlineStr">
        <is>
          <t>Trie</t>
        </is>
      </c>
      <c r="F179" s="4" t="inlineStr">
        <is>
          <t>Basic trie</t>
        </is>
      </c>
      <c r="G179" s="4" t="inlineStr">
        <is>
          <t>Trees</t>
        </is>
      </c>
      <c r="H179" s="4" t="inlineStr">
        <is>
          <t>hash-table, string, design, trie</t>
        </is>
      </c>
      <c r="I179" s="4" t="inlineStr">
        <is>
          <t>Solved</t>
        </is>
      </c>
      <c r="J179" s="11" t="n">
        <v>45050.69121527778</v>
      </c>
      <c r="K179" s="11" t="n">
        <v>45050.69121527778</v>
      </c>
      <c r="L179" s="11" t="n">
        <v>45050.69325231481</v>
      </c>
      <c r="M179" s="4" t="n">
        <v>2</v>
      </c>
      <c r="N179" s="4" t="n">
        <v>2</v>
      </c>
      <c r="O179" s="4" t="n">
        <v>0</v>
      </c>
      <c r="P179" s="4">
        <f>IF(AND(N179&gt;0,O179=0),"Yes","No")</f>
        <v/>
      </c>
      <c r="Q179" s="4" t="n">
        <v>0</v>
      </c>
      <c r="R179" s="4" t="n">
        <v>0</v>
      </c>
      <c r="S179" s="4" t="n">
        <v>0</v>
      </c>
      <c r="T179" s="4" t="inlineStr">
        <is>
          <t>C++</t>
        </is>
      </c>
      <c r="U179" s="4" t="n">
        <v>6.5</v>
      </c>
      <c r="V179" s="9" t="inlineStr">
        <is>
          <t>Submission 944314286</t>
        </is>
      </c>
      <c r="W179" s="9" t="inlineStr">
        <is>
          <t>Open code</t>
        </is>
      </c>
      <c r="X179" s="4" t="n">
        <v>1</v>
      </c>
      <c r="Y179" s="4" t="inlineStr">
        <is>
          <t>2023-05</t>
        </is>
      </c>
    </row>
    <row r="180">
      <c r="A180" s="4" t="n">
        <v>179</v>
      </c>
      <c r="B180" s="4" t="n">
        <v>1804</v>
      </c>
      <c r="C180" s="9" t="inlineStr">
        <is>
          <t>Implement Trie II (Prefix Tree)</t>
        </is>
      </c>
      <c r="D180" s="12" t="inlineStr">
        <is>
          <t>Medium</t>
        </is>
      </c>
      <c r="E180" s="4" t="inlineStr">
        <is>
          <t>Trie</t>
        </is>
      </c>
      <c r="F180" s="4" t="inlineStr">
        <is>
          <t>Trie with counts</t>
        </is>
      </c>
      <c r="G180" s="4" t="inlineStr">
        <is>
          <t>Trees</t>
        </is>
      </c>
      <c r="H180" s="4" t="inlineStr">
        <is>
          <t>hash-table, string, design, trie</t>
        </is>
      </c>
      <c r="I180" s="4" t="inlineStr">
        <is>
          <t>Solved</t>
        </is>
      </c>
      <c r="J180" s="11" t="n">
        <v>45050.71436342593</v>
      </c>
      <c r="K180" s="11" t="n">
        <v>45050.71436342593</v>
      </c>
      <c r="L180" s="11" t="n">
        <v>45050.71436342593</v>
      </c>
      <c r="M180" s="4" t="n">
        <v>1</v>
      </c>
      <c r="N180" s="4" t="n">
        <v>1</v>
      </c>
      <c r="O180" s="4" t="n">
        <v>0</v>
      </c>
      <c r="P180" s="4">
        <f>IF(AND(N180&gt;0,O180=0),"Yes","No")</f>
        <v/>
      </c>
      <c r="Q180" s="4" t="n">
        <v>0</v>
      </c>
      <c r="R180" s="4" t="n">
        <v>0</v>
      </c>
      <c r="S180" s="4" t="n">
        <v>0</v>
      </c>
      <c r="T180" s="4" t="inlineStr">
        <is>
          <t>C++</t>
        </is>
      </c>
      <c r="U180" s="4" t="n">
        <v>6.1</v>
      </c>
      <c r="V180" s="9" t="inlineStr">
        <is>
          <t>Submission 944324967</t>
        </is>
      </c>
      <c r="W180" s="9" t="inlineStr">
        <is>
          <t>Open code</t>
        </is>
      </c>
      <c r="X180" s="4" t="n">
        <v>2</v>
      </c>
      <c r="Y180" s="4" t="inlineStr">
        <is>
          <t>2023-05</t>
        </is>
      </c>
    </row>
    <row r="181">
      <c r="A181" s="4" t="n">
        <v>180</v>
      </c>
      <c r="B181" s="4" t="n">
        <v>1858</v>
      </c>
      <c r="C181" s="9" t="inlineStr">
        <is>
          <t>Longest Word With All Prefixes</t>
        </is>
      </c>
      <c r="D181" s="12" t="inlineStr">
        <is>
          <t>Medium</t>
        </is>
      </c>
      <c r="E181" s="4" t="inlineStr">
        <is>
          <t>Trie</t>
        </is>
      </c>
      <c r="F181" s="4" t="inlineStr">
        <is>
          <t>Prefix check</t>
        </is>
      </c>
      <c r="G181" s="4" t="inlineStr">
        <is>
          <t>Trees</t>
        </is>
      </c>
      <c r="H181" s="4" t="inlineStr">
        <is>
          <t>array, string, depth-first-search, trie</t>
        </is>
      </c>
      <c r="I181" s="4" t="inlineStr">
        <is>
          <t>Solved</t>
        </is>
      </c>
      <c r="J181" s="11" t="n">
        <v>45050.72806712963</v>
      </c>
      <c r="K181" s="11" t="n">
        <v>45050.7311574074</v>
      </c>
      <c r="L181" s="11" t="n">
        <v>45050.7311574074</v>
      </c>
      <c r="M181" s="4" t="n">
        <v>2</v>
      </c>
      <c r="N181" s="4" t="n">
        <v>1</v>
      </c>
      <c r="O181" s="4" t="n">
        <v>1</v>
      </c>
      <c r="P181" s="4">
        <f>IF(AND(N181&gt;0,O181=0),"Yes","No")</f>
        <v/>
      </c>
      <c r="Q181" s="4" t="n">
        <v>1</v>
      </c>
      <c r="R181" s="4" t="n">
        <v>0</v>
      </c>
      <c r="S181" s="4" t="n">
        <v>0</v>
      </c>
      <c r="T181" s="4" t="inlineStr">
        <is>
          <t>C++</t>
        </is>
      </c>
      <c r="U181" s="4" t="n">
        <v>5.9</v>
      </c>
      <c r="V181" s="9" t="inlineStr">
        <is>
          <t>Submission 944333566</t>
        </is>
      </c>
      <c r="W181" s="9" t="inlineStr">
        <is>
          <t>Open code</t>
        </is>
      </c>
      <c r="X181" s="4" t="n">
        <v>0</v>
      </c>
      <c r="Y181" s="4" t="inlineStr">
        <is>
          <t>2023-05</t>
        </is>
      </c>
    </row>
    <row r="182">
      <c r="A182" s="4" t="n">
        <v>181</v>
      </c>
      <c r="B182" s="4" t="n">
        <v>236</v>
      </c>
      <c r="C182" s="9" t="inlineStr">
        <is>
          <t>Lowest Common Ancestor of a Binary Tree</t>
        </is>
      </c>
      <c r="D182" s="12" t="inlineStr">
        <is>
          <t>Medium</t>
        </is>
      </c>
      <c r="E182" s="4" t="inlineStr">
        <is>
          <t>Binary Tree (DFS &amp; Recursion)</t>
        </is>
      </c>
      <c r="F182" s="4" t="inlineStr">
        <is>
          <t>LCA</t>
        </is>
      </c>
      <c r="G182" s="4" t="inlineStr">
        <is>
          <t>Trees</t>
        </is>
      </c>
      <c r="H182" s="4" t="inlineStr">
        <is>
          <t>tree, depth-first-search, binary-tree, binary-lifting, lowest-common-ancestor</t>
        </is>
      </c>
      <c r="I182" s="4" t="inlineStr">
        <is>
          <t>Solved</t>
        </is>
      </c>
      <c r="J182" s="11" t="n">
        <v>45051.30478009259</v>
      </c>
      <c r="K182" s="11" t="n">
        <v>45051.30478009259</v>
      </c>
      <c r="L182" s="11" t="n">
        <v>45738.68349537037</v>
      </c>
      <c r="M182" s="4" t="n">
        <v>7</v>
      </c>
      <c r="N182" s="4" t="n">
        <v>5</v>
      </c>
      <c r="O182" s="4" t="n">
        <v>0</v>
      </c>
      <c r="P182" s="4">
        <f>IF(AND(N182&gt;0,O182=0),"Yes","No")</f>
        <v/>
      </c>
      <c r="Q182" s="4" t="n">
        <v>0</v>
      </c>
      <c r="R182" s="4" t="n">
        <v>0</v>
      </c>
      <c r="S182" s="4" t="n">
        <v>0</v>
      </c>
      <c r="T182" s="4" t="inlineStr">
        <is>
          <t>C++, Python3</t>
        </is>
      </c>
      <c r="U182" s="4" t="n">
        <v>100</v>
      </c>
      <c r="V182" s="9" t="inlineStr">
        <is>
          <t>Submission 1582194949</t>
        </is>
      </c>
      <c r="W182" s="9" t="inlineStr">
        <is>
          <t>Open code</t>
        </is>
      </c>
      <c r="X182" s="4" t="n">
        <v>5</v>
      </c>
      <c r="Y182" s="4" t="inlineStr">
        <is>
          <t>2023-05</t>
        </is>
      </c>
    </row>
    <row r="183">
      <c r="A183" s="4" t="n">
        <v>182</v>
      </c>
      <c r="B183" s="4" t="n">
        <v>662</v>
      </c>
      <c r="C183" s="9" t="inlineStr">
        <is>
          <t>Maximum Width of Binary Tree</t>
        </is>
      </c>
      <c r="D183" s="12" t="inlineStr">
        <is>
          <t>Medium</t>
        </is>
      </c>
      <c r="E183" s="4" t="inlineStr">
        <is>
          <t>Binary Tree (BFS / Level Order)</t>
        </is>
      </c>
      <c r="F183" s="4" t="inlineStr">
        <is>
          <t>Position index per level</t>
        </is>
      </c>
      <c r="G183" s="4" t="inlineStr">
        <is>
          <t>Trees</t>
        </is>
      </c>
      <c r="H183" s="4" t="inlineStr">
        <is>
          <t>tree, depth-first-search, breadth-first-search, binary-tree</t>
        </is>
      </c>
      <c r="I183" s="4" t="inlineStr">
        <is>
          <t>Solved</t>
        </is>
      </c>
      <c r="J183" s="11" t="n">
        <v>45051.31126157408</v>
      </c>
      <c r="K183" s="11" t="n">
        <v>45051.31721064815</v>
      </c>
      <c r="L183" s="11" t="n">
        <v>45051.31721064815</v>
      </c>
      <c r="M183" s="4" t="n">
        <v>3</v>
      </c>
      <c r="N183" s="4" t="n">
        <v>1</v>
      </c>
      <c r="O183" s="4" t="n">
        <v>2</v>
      </c>
      <c r="P183" s="4">
        <f>IF(AND(N183&gt;0,O183=0),"Yes","No")</f>
        <v/>
      </c>
      <c r="Q183" s="4" t="n">
        <v>0</v>
      </c>
      <c r="R183" s="4" t="n">
        <v>0</v>
      </c>
      <c r="S183" s="4" t="n">
        <v>2</v>
      </c>
      <c r="T183" s="4" t="inlineStr">
        <is>
          <t>C++</t>
        </is>
      </c>
      <c r="U183" s="4" t="n">
        <v>2.4</v>
      </c>
      <c r="V183" s="9" t="inlineStr">
        <is>
          <t>Submission 944672783</t>
        </is>
      </c>
      <c r="W183" s="9" t="inlineStr">
        <is>
          <t>Open code</t>
        </is>
      </c>
      <c r="X183" s="4" t="n">
        <v>4</v>
      </c>
      <c r="Y183" s="4" t="inlineStr">
        <is>
          <t>2023-05</t>
        </is>
      </c>
    </row>
    <row r="184">
      <c r="A184" s="4" t="n">
        <v>183</v>
      </c>
      <c r="B184" s="4" t="n">
        <v>863</v>
      </c>
      <c r="C184" s="9" t="inlineStr">
        <is>
          <t>All Nodes Distance K in Binary Tree</t>
        </is>
      </c>
      <c r="D184" s="12" t="inlineStr">
        <is>
          <t>Medium</t>
        </is>
      </c>
      <c r="E184" s="4" t="inlineStr">
        <is>
          <t>Binary Tree (DFS &amp; Recursion)</t>
        </is>
      </c>
      <c r="F184" s="4" t="inlineStr">
        <is>
          <t>Parent map + BFS</t>
        </is>
      </c>
      <c r="G184" s="4" t="inlineStr">
        <is>
          <t>Trees</t>
        </is>
      </c>
      <c r="H184" s="4" t="inlineStr">
        <is>
          <t>hash-table, tree, depth-first-search, breadth-first-search, binary-tree</t>
        </is>
      </c>
      <c r="I184" s="4" t="inlineStr">
        <is>
          <t>Solved</t>
        </is>
      </c>
      <c r="J184" s="11" t="n">
        <v>45051.34133101852</v>
      </c>
      <c r="K184" s="11" t="n">
        <v>45051.34133101852</v>
      </c>
      <c r="L184" s="11" t="n">
        <v>45328.87229166667</v>
      </c>
      <c r="M184" s="4" t="n">
        <v>2</v>
      </c>
      <c r="N184" s="4" t="n">
        <v>2</v>
      </c>
      <c r="O184" s="4" t="n">
        <v>0</v>
      </c>
      <c r="P184" s="4">
        <f>IF(AND(N184&gt;0,O184=0),"Yes","No")</f>
        <v/>
      </c>
      <c r="Q184" s="4" t="n">
        <v>0</v>
      </c>
      <c r="R184" s="4" t="n">
        <v>0</v>
      </c>
      <c r="S184" s="4" t="n">
        <v>0</v>
      </c>
      <c r="T184" s="4" t="inlineStr">
        <is>
          <t>C++, Python3</t>
        </is>
      </c>
      <c r="U184" s="4" t="n">
        <v>82.90000000000001</v>
      </c>
      <c r="V184" s="9" t="inlineStr">
        <is>
          <t>Submission 1167903284</t>
        </is>
      </c>
      <c r="W184" s="9" t="inlineStr">
        <is>
          <t>Open code</t>
        </is>
      </c>
      <c r="X184" s="4" t="n">
        <v>0</v>
      </c>
      <c r="Y184" s="4" t="inlineStr">
        <is>
          <t>2023-05</t>
        </is>
      </c>
    </row>
    <row r="185">
      <c r="A185" s="4" t="n">
        <v>184</v>
      </c>
      <c r="B185" s="4" t="n">
        <v>222</v>
      </c>
      <c r="C185" s="9" t="inlineStr">
        <is>
          <t>Count Complete Tree Nodes</t>
        </is>
      </c>
      <c r="D185" s="12" t="inlineStr">
        <is>
          <t>Medium</t>
        </is>
      </c>
      <c r="E185" s="4" t="inlineStr">
        <is>
          <t>Binary Tree (DFS &amp; Recursion)</t>
        </is>
      </c>
      <c r="F185" s="4" t="inlineStr">
        <is>
          <t>Height + binary search</t>
        </is>
      </c>
      <c r="G185" s="4" t="inlineStr">
        <is>
          <t>Trees</t>
        </is>
      </c>
      <c r="H185" s="4" t="inlineStr">
        <is>
          <t>binary-search, bit-manipulation, tree, binary-tree</t>
        </is>
      </c>
      <c r="I185" s="4" t="inlineStr">
        <is>
          <t>Solved</t>
        </is>
      </c>
      <c r="J185" s="11" t="n">
        <v>45051.35322916666</v>
      </c>
      <c r="K185" s="11" t="n">
        <v>45051.35322916666</v>
      </c>
      <c r="L185" s="11" t="n">
        <v>45051.35322916666</v>
      </c>
      <c r="M185" s="4" t="n">
        <v>1</v>
      </c>
      <c r="N185" s="4" t="n">
        <v>1</v>
      </c>
      <c r="O185" s="4" t="n">
        <v>0</v>
      </c>
      <c r="P185" s="4">
        <f>IF(AND(N185&gt;0,O185=0),"Yes","No")</f>
        <v/>
      </c>
      <c r="Q185" s="4" t="n">
        <v>0</v>
      </c>
      <c r="R185" s="4" t="n">
        <v>0</v>
      </c>
      <c r="S185" s="4" t="n">
        <v>0</v>
      </c>
      <c r="T185" s="4" t="inlineStr">
        <is>
          <t>C++</t>
        </is>
      </c>
      <c r="U185" s="4" t="n">
        <v>0.1</v>
      </c>
      <c r="V185" s="9" t="inlineStr">
        <is>
          <t>Submission 944690918</t>
        </is>
      </c>
      <c r="W185" s="9" t="inlineStr">
        <is>
          <t>Open code</t>
        </is>
      </c>
      <c r="X185" s="4" t="n">
        <v>0</v>
      </c>
      <c r="Y185" s="4" t="inlineStr">
        <is>
          <t>2023-05</t>
        </is>
      </c>
    </row>
    <row r="186">
      <c r="A186" s="4" t="n">
        <v>185</v>
      </c>
      <c r="B186" s="4" t="n">
        <v>105</v>
      </c>
      <c r="C186" s="9" t="inlineStr">
        <is>
          <t>Construct Binary Tree from Preorder and Inorder Traversal</t>
        </is>
      </c>
      <c r="D186" s="12" t="inlineStr">
        <is>
          <t>Medium</t>
        </is>
      </c>
      <c r="E186" s="4" t="inlineStr">
        <is>
          <t>Binary Tree (DFS &amp; Recursion)</t>
        </is>
      </c>
      <c r="F186" s="4" t="inlineStr">
        <is>
          <t>Build from traversals</t>
        </is>
      </c>
      <c r="G186" s="4" t="inlineStr">
        <is>
          <t>Trees</t>
        </is>
      </c>
      <c r="H186" s="4" t="inlineStr">
        <is>
          <t>array, hash-table, divide-and-conquer, tree, binary-tree</t>
        </is>
      </c>
      <c r="I186" s="4" t="inlineStr">
        <is>
          <t>Solved</t>
        </is>
      </c>
      <c r="J186" s="11" t="n">
        <v>45051.36347222222</v>
      </c>
      <c r="K186" s="11" t="n">
        <v>45051.36347222222</v>
      </c>
      <c r="L186" s="11" t="n">
        <v>45051.36347222222</v>
      </c>
      <c r="M186" s="4" t="n">
        <v>1</v>
      </c>
      <c r="N186" s="4" t="n">
        <v>1</v>
      </c>
      <c r="O186" s="4" t="n">
        <v>0</v>
      </c>
      <c r="P186" s="4">
        <f>IF(AND(N186&gt;0,O186=0),"Yes","No")</f>
        <v/>
      </c>
      <c r="Q186" s="4" t="n">
        <v>0</v>
      </c>
      <c r="R186" s="4" t="n">
        <v>0</v>
      </c>
      <c r="S186" s="4" t="n">
        <v>0</v>
      </c>
      <c r="T186" s="4" t="inlineStr">
        <is>
          <t>C++</t>
        </is>
      </c>
      <c r="U186" s="4" t="n">
        <v>17.8</v>
      </c>
      <c r="V186" s="9" t="inlineStr">
        <is>
          <t>Submission 944696483</t>
        </is>
      </c>
      <c r="W186" s="9" t="inlineStr">
        <is>
          <t>Open code</t>
        </is>
      </c>
      <c r="X186" s="4" t="n">
        <v>1</v>
      </c>
      <c r="Y186" s="4" t="inlineStr">
        <is>
          <t>2023-05</t>
        </is>
      </c>
    </row>
    <row r="187">
      <c r="A187" s="4" t="n">
        <v>186</v>
      </c>
      <c r="B187" s="4" t="n">
        <v>106</v>
      </c>
      <c r="C187" s="9" t="inlineStr">
        <is>
          <t>Construct Binary Tree from Inorder and Postorder Traversal</t>
        </is>
      </c>
      <c r="D187" s="12" t="inlineStr">
        <is>
          <t>Medium</t>
        </is>
      </c>
      <c r="E187" s="4" t="inlineStr">
        <is>
          <t>Binary Tree (DFS &amp; Recursion)</t>
        </is>
      </c>
      <c r="F187" s="4" t="inlineStr">
        <is>
          <t>Build from traversals</t>
        </is>
      </c>
      <c r="G187" s="4" t="inlineStr">
        <is>
          <t>Trees</t>
        </is>
      </c>
      <c r="H187" s="4" t="inlineStr">
        <is>
          <t>array, hash-table, divide-and-conquer, tree, binary-tree</t>
        </is>
      </c>
      <c r="I187" s="4" t="inlineStr">
        <is>
          <t>Solved</t>
        </is>
      </c>
      <c r="J187" s="11" t="n">
        <v>45051.37431712963</v>
      </c>
      <c r="K187" s="11" t="n">
        <v>45051.37431712963</v>
      </c>
      <c r="L187" s="11" t="n">
        <v>45051.37511574074</v>
      </c>
      <c r="M187" s="4" t="n">
        <v>2</v>
      </c>
      <c r="N187" s="4" t="n">
        <v>2</v>
      </c>
      <c r="O187" s="4" t="n">
        <v>0</v>
      </c>
      <c r="P187" s="4">
        <f>IF(AND(N187&gt;0,O187=0),"Yes","No")</f>
        <v/>
      </c>
      <c r="Q187" s="4" t="n">
        <v>0</v>
      </c>
      <c r="R187" s="4" t="n">
        <v>0</v>
      </c>
      <c r="S187" s="4" t="n">
        <v>0</v>
      </c>
      <c r="T187" s="4" t="inlineStr">
        <is>
          <t>C++</t>
        </is>
      </c>
      <c r="U187" s="4" t="n">
        <v>8.699999999999999</v>
      </c>
      <c r="V187" s="9" t="inlineStr">
        <is>
          <t>Submission 944702857</t>
        </is>
      </c>
      <c r="W187" s="9" t="inlineStr">
        <is>
          <t>Open code</t>
        </is>
      </c>
      <c r="X187" s="4" t="n">
        <v>0</v>
      </c>
      <c r="Y187" s="4" t="inlineStr">
        <is>
          <t>2023-05</t>
        </is>
      </c>
    </row>
    <row r="188">
      <c r="A188" s="4" t="n">
        <v>187</v>
      </c>
      <c r="B188" s="4" t="n">
        <v>2050</v>
      </c>
      <c r="C188" s="9" t="inlineStr">
        <is>
          <t>Parallel Courses III</t>
        </is>
      </c>
      <c r="D188" s="13" t="inlineStr">
        <is>
          <t>Hard</t>
        </is>
      </c>
      <c r="E188" s="4" t="inlineStr">
        <is>
          <t>Graph: Topological Sort</t>
        </is>
      </c>
      <c r="F188" s="4" t="inlineStr">
        <is>
          <t>Longest path in DAG</t>
        </is>
      </c>
      <c r="G188" s="4" t="inlineStr">
        <is>
          <t>Graphs</t>
        </is>
      </c>
      <c r="H188" s="4" t="inlineStr">
        <is>
          <t>array, dynamic-programming, graph, topological-sort, directed-acyclic-graph</t>
        </is>
      </c>
      <c r="I188" s="4" t="inlineStr">
        <is>
          <t>Solved</t>
        </is>
      </c>
      <c r="J188" s="11" t="n">
        <v>45051.43266203703</v>
      </c>
      <c r="K188" s="11" t="n">
        <v>45051.43266203703</v>
      </c>
      <c r="L188" s="11" t="n">
        <v>45051.43266203703</v>
      </c>
      <c r="M188" s="4" t="n">
        <v>1</v>
      </c>
      <c r="N188" s="4" t="n">
        <v>1</v>
      </c>
      <c r="O188" s="4" t="n">
        <v>0</v>
      </c>
      <c r="P188" s="4">
        <f>IF(AND(N188&gt;0,O188=0),"Yes","No")</f>
        <v/>
      </c>
      <c r="Q188" s="4" t="n">
        <v>0</v>
      </c>
      <c r="R188" s="4" t="n">
        <v>0</v>
      </c>
      <c r="S188" s="4" t="n">
        <v>0</v>
      </c>
      <c r="T188" s="4" t="inlineStr">
        <is>
          <t>C++</t>
        </is>
      </c>
      <c r="U188" s="4" t="n">
        <v>5</v>
      </c>
      <c r="V188" s="9" t="inlineStr">
        <is>
          <t>Submission 944738156</t>
        </is>
      </c>
      <c r="W188" s="9" t="inlineStr">
        <is>
          <t>Open code</t>
        </is>
      </c>
      <c r="X188" s="4" t="n">
        <v>0</v>
      </c>
      <c r="Y188" s="4" t="inlineStr">
        <is>
          <t>2023-05</t>
        </is>
      </c>
    </row>
    <row r="189">
      <c r="A189" s="4" t="n">
        <v>188</v>
      </c>
      <c r="B189" s="4" t="n">
        <v>252</v>
      </c>
      <c r="C189" s="9" t="inlineStr">
        <is>
          <t>Meeting Rooms</t>
        </is>
      </c>
      <c r="D189" s="10" t="inlineStr">
        <is>
          <t>Easy</t>
        </is>
      </c>
      <c r="E189" s="4" t="inlineStr">
        <is>
          <t>Intervals &amp; Sweep Line</t>
        </is>
      </c>
      <c r="F189" s="4" t="inlineStr">
        <is>
          <t>Sort and check overlap</t>
        </is>
      </c>
      <c r="G189" s="4" t="inlineStr">
        <is>
          <t>Heaps &amp; Intervals</t>
        </is>
      </c>
      <c r="H189" s="4" t="inlineStr">
        <is>
          <t>array, sorting, quicksort</t>
        </is>
      </c>
      <c r="I189" s="4" t="inlineStr">
        <is>
          <t>Solved</t>
        </is>
      </c>
      <c r="J189" s="11" t="n">
        <v>45051.55753472223</v>
      </c>
      <c r="K189" s="11" t="n">
        <v>45051.55846064815</v>
      </c>
      <c r="L189" s="11" t="n">
        <v>45051.55846064815</v>
      </c>
      <c r="M189" s="4" t="n">
        <v>3</v>
      </c>
      <c r="N189" s="4" t="n">
        <v>1</v>
      </c>
      <c r="O189" s="4" t="n">
        <v>2</v>
      </c>
      <c r="P189" s="4">
        <f>IF(AND(N189&gt;0,O189=0),"Yes","No")</f>
        <v/>
      </c>
      <c r="Q189" s="4" t="n">
        <v>1</v>
      </c>
      <c r="R189" s="4" t="n">
        <v>0</v>
      </c>
      <c r="S189" s="4" t="n">
        <v>1</v>
      </c>
      <c r="T189" s="4" t="inlineStr">
        <is>
          <t>C++</t>
        </is>
      </c>
      <c r="U189" s="4" t="n">
        <v>5.8</v>
      </c>
      <c r="V189" s="9" t="inlineStr">
        <is>
          <t>Submission 944827224</t>
        </is>
      </c>
      <c r="W189" s="9" t="inlineStr">
        <is>
          <t>Open code</t>
        </is>
      </c>
      <c r="X189" s="4" t="n">
        <v>2</v>
      </c>
      <c r="Y189" s="4" t="inlineStr">
        <is>
          <t>2023-05</t>
        </is>
      </c>
    </row>
    <row r="190">
      <c r="A190" s="4" t="n">
        <v>189</v>
      </c>
      <c r="B190" s="4" t="n">
        <v>1606</v>
      </c>
      <c r="C190" s="9" t="inlineStr">
        <is>
          <t>Find Servers That Handled Most Number of Requests</t>
        </is>
      </c>
      <c r="D190" s="13" t="inlineStr">
        <is>
          <t>Hard</t>
        </is>
      </c>
      <c r="E190" s="4" t="inlineStr">
        <is>
          <t>Heap / Top-K</t>
        </is>
      </c>
      <c r="F190" s="4" t="inlineStr">
        <is>
          <t>Heap + ordered set</t>
        </is>
      </c>
      <c r="G190" s="4" t="inlineStr">
        <is>
          <t>Heaps &amp; Intervals</t>
        </is>
      </c>
      <c r="H190" s="4" t="inlineStr">
        <is>
          <t>array, heap-priority-queue, simulation, ordered-set</t>
        </is>
      </c>
      <c r="I190" s="4" t="inlineStr">
        <is>
          <t>Solved</t>
        </is>
      </c>
      <c r="J190" s="11" t="n">
        <v>45051.67959490741</v>
      </c>
      <c r="K190" s="11" t="n">
        <v>45051.75129629629</v>
      </c>
      <c r="L190" s="11" t="n">
        <v>45051.77700231481</v>
      </c>
      <c r="M190" s="4" t="n">
        <v>6</v>
      </c>
      <c r="N190" s="4" t="n">
        <v>3</v>
      </c>
      <c r="O190" s="4" t="n">
        <v>3</v>
      </c>
      <c r="P190" s="4">
        <f>IF(AND(N190&gt;0,O190=0),"Yes","No")</f>
        <v/>
      </c>
      <c r="Q190" s="4" t="n">
        <v>1</v>
      </c>
      <c r="R190" s="4" t="n">
        <v>1</v>
      </c>
      <c r="S190" s="4" t="n">
        <v>1</v>
      </c>
      <c r="T190" s="4" t="inlineStr">
        <is>
          <t>C++</t>
        </is>
      </c>
      <c r="U190" s="4" t="n">
        <v>5.1</v>
      </c>
      <c r="V190" s="9" t="inlineStr">
        <is>
          <t>Submission 944957969</t>
        </is>
      </c>
      <c r="W190" s="9" t="inlineStr">
        <is>
          <t>Open code</t>
        </is>
      </c>
      <c r="X190" s="4" t="n">
        <v>0</v>
      </c>
      <c r="Y190" s="4" t="inlineStr">
        <is>
          <t>2023-05</t>
        </is>
      </c>
    </row>
    <row r="191">
      <c r="A191" s="4" t="n">
        <v>190</v>
      </c>
      <c r="B191" s="4" t="n">
        <v>727</v>
      </c>
      <c r="C191" s="9" t="inlineStr">
        <is>
          <t>Minimum Window Subsequence</t>
        </is>
      </c>
      <c r="D191" s="13" t="inlineStr">
        <is>
          <t>Hard</t>
        </is>
      </c>
      <c r="E191" s="4" t="inlineStr">
        <is>
          <t>DP: Strings (LCS, Edit, Matching)</t>
        </is>
      </c>
      <c r="F191" s="4" t="inlineStr">
        <is>
          <t>Subsequence window</t>
        </is>
      </c>
      <c r="G191" s="4" t="inlineStr">
        <is>
          <t>Dynamic Programming</t>
        </is>
      </c>
      <c r="H191" s="4" t="inlineStr">
        <is>
          <t>string, dynamic-programming, sliding-window</t>
        </is>
      </c>
      <c r="I191" s="4" t="inlineStr">
        <is>
          <t>Solved</t>
        </is>
      </c>
      <c r="J191" s="11" t="n">
        <v>45051.79219907407</v>
      </c>
      <c r="K191" s="11" t="n">
        <v>45051.79219907407</v>
      </c>
      <c r="L191" s="11" t="n">
        <v>45054.40981481481</v>
      </c>
      <c r="M191" s="4" t="n">
        <v>3</v>
      </c>
      <c r="N191" s="4" t="n">
        <v>3</v>
      </c>
      <c r="O191" s="4" t="n">
        <v>0</v>
      </c>
      <c r="P191" s="4">
        <f>IF(AND(N191&gt;0,O191=0),"Yes","No")</f>
        <v/>
      </c>
      <c r="Q191" s="4" t="n">
        <v>0</v>
      </c>
      <c r="R191" s="4" t="n">
        <v>0</v>
      </c>
      <c r="S191" s="4" t="n">
        <v>0</v>
      </c>
      <c r="T191" s="4" t="inlineStr">
        <is>
          <t>C++</t>
        </is>
      </c>
      <c r="U191" s="4" t="n">
        <v>68.5</v>
      </c>
      <c r="V191" s="9" t="inlineStr">
        <is>
          <t>Submission 946400703</t>
        </is>
      </c>
      <c r="W191" s="9" t="inlineStr">
        <is>
          <t>Open code</t>
        </is>
      </c>
      <c r="X191" s="4" t="n">
        <v>0</v>
      </c>
      <c r="Y191" s="4" t="inlineStr">
        <is>
          <t>2023-05</t>
        </is>
      </c>
    </row>
    <row r="192">
      <c r="A192" s="4" t="n">
        <v>191</v>
      </c>
      <c r="B192" s="4" t="n">
        <v>10</v>
      </c>
      <c r="C192" s="9" t="inlineStr">
        <is>
          <t>Regular Expression Matching</t>
        </is>
      </c>
      <c r="D192" s="13" t="inlineStr">
        <is>
          <t>Hard</t>
        </is>
      </c>
      <c r="E192" s="4" t="inlineStr">
        <is>
          <t>DP: Strings (LCS, Edit, Matching)</t>
        </is>
      </c>
      <c r="F192" s="4" t="inlineStr">
        <is>
          <t>Pattern matching</t>
        </is>
      </c>
      <c r="G192" s="4" t="inlineStr">
        <is>
          <t>Dynamic Programming</t>
        </is>
      </c>
      <c r="H192" s="4" t="inlineStr">
        <is>
          <t>string, dynamic-programming, recursion</t>
        </is>
      </c>
      <c r="I192" s="4" t="inlineStr">
        <is>
          <t>Solved</t>
        </is>
      </c>
      <c r="J192" s="11" t="n">
        <v>45053.39974537037</v>
      </c>
      <c r="K192" s="11" t="n">
        <v>45053.41503472222</v>
      </c>
      <c r="L192" s="11" t="n">
        <v>45053.41612268519</v>
      </c>
      <c r="M192" s="4" t="n">
        <v>3</v>
      </c>
      <c r="N192" s="4" t="n">
        <v>1</v>
      </c>
      <c r="O192" s="4" t="n">
        <v>1</v>
      </c>
      <c r="P192" s="4">
        <f>IF(AND(N192&gt;0,O192=0),"Yes","No")</f>
        <v/>
      </c>
      <c r="Q192" s="4" t="n">
        <v>1</v>
      </c>
      <c r="R192" s="4" t="n">
        <v>0</v>
      </c>
      <c r="S192" s="4" t="n">
        <v>0</v>
      </c>
      <c r="T192" s="4" t="inlineStr">
        <is>
          <t>C++</t>
        </is>
      </c>
      <c r="U192" s="4" t="n">
        <v>12.7</v>
      </c>
      <c r="V192" s="9" t="inlineStr">
        <is>
          <t>Submission 945858570</t>
        </is>
      </c>
      <c r="W192" s="9" t="inlineStr">
        <is>
          <t>Open code</t>
        </is>
      </c>
      <c r="X192" s="4" t="n">
        <v>0</v>
      </c>
      <c r="Y192" s="4" t="inlineStr">
        <is>
          <t>2023-05</t>
        </is>
      </c>
    </row>
    <row r="193">
      <c r="A193" s="4" t="n">
        <v>192</v>
      </c>
      <c r="B193" s="4" t="n">
        <v>187</v>
      </c>
      <c r="C193" s="9" t="inlineStr">
        <is>
          <t>Repeated DNA Sequences</t>
        </is>
      </c>
      <c r="D193" s="12" t="inlineStr">
        <is>
          <t>Medium</t>
        </is>
      </c>
      <c r="E193" s="4" t="inlineStr">
        <is>
          <t>Sliding Window</t>
        </is>
      </c>
      <c r="F193" s="4" t="inlineStr">
        <is>
          <t>Fixed window + hashing</t>
        </is>
      </c>
      <c r="G193" s="4" t="inlineStr">
        <is>
          <t>Arrays &amp; Strings</t>
        </is>
      </c>
      <c r="H193" s="4" t="inlineStr">
        <is>
          <t>hash-table, string, bit-manipulation, sliding-window, rolling-hash, hash-function, z-algorithm, boyer-moore-string-search-algorithm</t>
        </is>
      </c>
      <c r="I193" s="4" t="inlineStr">
        <is>
          <t>Solved</t>
        </is>
      </c>
      <c r="J193" s="11" t="n">
        <v>45053.44371527778</v>
      </c>
      <c r="K193" s="11" t="n">
        <v>45053.44371527778</v>
      </c>
      <c r="L193" s="11" t="n">
        <v>45053.4474537037</v>
      </c>
      <c r="M193" s="4" t="n">
        <v>3</v>
      </c>
      <c r="N193" s="4" t="n">
        <v>3</v>
      </c>
      <c r="O193" s="4" t="n">
        <v>0</v>
      </c>
      <c r="P193" s="4">
        <f>IF(AND(N193&gt;0,O193=0),"Yes","No")</f>
        <v/>
      </c>
      <c r="Q193" s="4" t="n">
        <v>0</v>
      </c>
      <c r="R193" s="4" t="n">
        <v>0</v>
      </c>
      <c r="S193" s="4" t="n">
        <v>0</v>
      </c>
      <c r="T193" s="4" t="inlineStr">
        <is>
          <t>C++</t>
        </is>
      </c>
      <c r="U193" s="4" t="n">
        <v>98.90000000000001</v>
      </c>
      <c r="V193" s="9" t="inlineStr">
        <is>
          <t>Submission 945876723</t>
        </is>
      </c>
      <c r="W193" s="9" t="inlineStr">
        <is>
          <t>Open code</t>
        </is>
      </c>
      <c r="X193" s="4" t="n">
        <v>0</v>
      </c>
      <c r="Y193" s="4" t="inlineStr">
        <is>
          <t>2023-05</t>
        </is>
      </c>
    </row>
    <row r="194">
      <c r="A194" s="4" t="n">
        <v>193</v>
      </c>
      <c r="B194" s="4" t="n">
        <v>239</v>
      </c>
      <c r="C194" s="9" t="inlineStr">
        <is>
          <t>Sliding Window Maximum</t>
        </is>
      </c>
      <c r="D194" s="13" t="inlineStr">
        <is>
          <t>Hard</t>
        </is>
      </c>
      <c r="E194" s="4" t="inlineStr">
        <is>
          <t>Monotonic Stack / Deque</t>
        </is>
      </c>
      <c r="F194" s="4" t="inlineStr">
        <is>
          <t>Monotonic deque</t>
        </is>
      </c>
      <c r="G194" s="4" t="inlineStr">
        <is>
          <t>Stacks &amp; Queues</t>
        </is>
      </c>
      <c r="H194" s="4" t="inlineStr">
        <is>
          <t>array, queue, sliding-window, heap-priority-queue, monotonic-queue, range-minimum-maximum-query</t>
        </is>
      </c>
      <c r="I194" s="4" t="inlineStr">
        <is>
          <t>Solved</t>
        </is>
      </c>
      <c r="J194" s="11" t="n">
        <v>45053.45880787037</v>
      </c>
      <c r="K194" s="11" t="n">
        <v>45053.46494212963</v>
      </c>
      <c r="L194" s="11" t="n">
        <v>45377.44846064815</v>
      </c>
      <c r="M194" s="4" t="n">
        <v>13</v>
      </c>
      <c r="N194" s="4" t="n">
        <v>7</v>
      </c>
      <c r="O194" s="4" t="n">
        <v>2</v>
      </c>
      <c r="P194" s="4">
        <f>IF(AND(N194&gt;0,O194=0),"Yes","No")</f>
        <v/>
      </c>
      <c r="Q194" s="4" t="n">
        <v>1</v>
      </c>
      <c r="R194" s="4" t="n">
        <v>1</v>
      </c>
      <c r="S194" s="4" t="n">
        <v>0</v>
      </c>
      <c r="T194" s="4" t="inlineStr">
        <is>
          <t>C++, Python3</t>
        </is>
      </c>
      <c r="U194" s="4" t="n">
        <v>9.5</v>
      </c>
      <c r="V194" s="9" t="inlineStr">
        <is>
          <t>Submission 1214102989</t>
        </is>
      </c>
      <c r="W194" s="9" t="inlineStr">
        <is>
          <t>Open code</t>
        </is>
      </c>
      <c r="X194" s="4" t="n">
        <v>6</v>
      </c>
      <c r="Y194" s="4" t="inlineStr">
        <is>
          <t>2023-05</t>
        </is>
      </c>
    </row>
    <row r="195">
      <c r="A195" s="4" t="n">
        <v>194</v>
      </c>
      <c r="B195" s="4" t="n">
        <v>337</v>
      </c>
      <c r="C195" s="9" t="inlineStr">
        <is>
          <t>House Robber III</t>
        </is>
      </c>
      <c r="D195" s="12" t="inlineStr">
        <is>
          <t>Medium</t>
        </is>
      </c>
      <c r="E195" s="4" t="inlineStr">
        <is>
          <t>DP: On Trees</t>
        </is>
      </c>
      <c r="F195" s="4" t="inlineStr">
        <is>
          <t>Rob/skip pair</t>
        </is>
      </c>
      <c r="G195" s="4" t="inlineStr">
        <is>
          <t>Dynamic Programming</t>
        </is>
      </c>
      <c r="H195" s="4" t="inlineStr">
        <is>
          <t>dynamic-programming, tree, depth-first-search, binary-tree, dp-on-trees</t>
        </is>
      </c>
      <c r="I195" s="4" t="inlineStr">
        <is>
          <t>Solved</t>
        </is>
      </c>
      <c r="J195" s="11" t="n">
        <v>45057.52552083333</v>
      </c>
      <c r="K195" s="11" t="n">
        <v>45057.52552083333</v>
      </c>
      <c r="L195" s="11" t="n">
        <v>45057.52552083333</v>
      </c>
      <c r="M195" s="4" t="n">
        <v>1</v>
      </c>
      <c r="N195" s="4" t="n">
        <v>1</v>
      </c>
      <c r="O195" s="4" t="n">
        <v>0</v>
      </c>
      <c r="P195" s="4">
        <f>IF(AND(N195&gt;0,O195=0),"Yes","No")</f>
        <v/>
      </c>
      <c r="Q195" s="4" t="n">
        <v>0</v>
      </c>
      <c r="R195" s="4" t="n">
        <v>0</v>
      </c>
      <c r="S195" s="4" t="n">
        <v>0</v>
      </c>
      <c r="T195" s="4" t="inlineStr">
        <is>
          <t>C++</t>
        </is>
      </c>
      <c r="U195" s="4" t="n">
        <v>35.1</v>
      </c>
      <c r="V195" s="9" t="inlineStr">
        <is>
          <t>Submission 948276626</t>
        </is>
      </c>
      <c r="W195" s="9" t="inlineStr">
        <is>
          <t>Open code</t>
        </is>
      </c>
      <c r="X195" s="4" t="n">
        <v>0</v>
      </c>
      <c r="Y195" s="4" t="inlineStr">
        <is>
          <t>2023-05</t>
        </is>
      </c>
    </row>
    <row r="196">
      <c r="A196" s="4" t="n">
        <v>195</v>
      </c>
      <c r="B196" s="4" t="n">
        <v>1000</v>
      </c>
      <c r="C196" s="9" t="inlineStr">
        <is>
          <t>Minimum Cost to Merge Stones</t>
        </is>
      </c>
      <c r="D196" s="13" t="inlineStr">
        <is>
          <t>Hard</t>
        </is>
      </c>
      <c r="E196" s="4" t="inlineStr">
        <is>
          <t>DP: Partition / Interval (MCM)</t>
        </is>
      </c>
      <c r="F196" s="4" t="inlineStr">
        <is>
          <t>Interval DP</t>
        </is>
      </c>
      <c r="G196" s="4" t="inlineStr">
        <is>
          <t>Dynamic Programming</t>
        </is>
      </c>
      <c r="H196" s="4" t="inlineStr">
        <is>
          <t>array, dynamic-programming, prefix-sum</t>
        </is>
      </c>
      <c r="I196" s="4" t="inlineStr">
        <is>
          <t>Solved</t>
        </is>
      </c>
      <c r="J196" s="11" t="n">
        <v>45063.60711805556</v>
      </c>
      <c r="K196" s="11" t="n">
        <v>45063.60711805556</v>
      </c>
      <c r="L196" s="11" t="n">
        <v>45063.60711805556</v>
      </c>
      <c r="M196" s="4" t="n">
        <v>1</v>
      </c>
      <c r="N196" s="4" t="n">
        <v>1</v>
      </c>
      <c r="O196" s="4" t="n">
        <v>0</v>
      </c>
      <c r="P196" s="4">
        <f>IF(AND(N196&gt;0,O196=0),"Yes","No")</f>
        <v/>
      </c>
      <c r="Q196" s="4" t="n">
        <v>0</v>
      </c>
      <c r="R196" s="4" t="n">
        <v>0</v>
      </c>
      <c r="S196" s="4" t="n">
        <v>0</v>
      </c>
      <c r="T196" s="4" t="inlineStr">
        <is>
          <t>C++</t>
        </is>
      </c>
      <c r="U196" s="4" t="n">
        <v>5.1</v>
      </c>
      <c r="V196" s="9" t="inlineStr">
        <is>
          <t>Submission 951963971</t>
        </is>
      </c>
      <c r="W196" s="9" t="inlineStr">
        <is>
          <t>Open code</t>
        </is>
      </c>
      <c r="X196" s="4" t="n">
        <v>0</v>
      </c>
      <c r="Y196" s="4" t="inlineStr">
        <is>
          <t>2023-05</t>
        </is>
      </c>
    </row>
    <row r="197">
      <c r="A197" s="4" t="n">
        <v>196</v>
      </c>
      <c r="B197" s="4" t="n">
        <v>703</v>
      </c>
      <c r="C197" s="9" t="inlineStr">
        <is>
          <t>Kth Largest Element in a Stream</t>
        </is>
      </c>
      <c r="D197" s="10" t="inlineStr">
        <is>
          <t>Easy</t>
        </is>
      </c>
      <c r="E197" s="4" t="inlineStr">
        <is>
          <t>Heap / Top-K</t>
        </is>
      </c>
      <c r="F197" s="4" t="inlineStr">
        <is>
          <t>Size-k min-heap</t>
        </is>
      </c>
      <c r="G197" s="4" t="inlineStr">
        <is>
          <t>Heaps &amp; Intervals</t>
        </is>
      </c>
      <c r="H197" s="4" t="inlineStr">
        <is>
          <t>tree, design, binary-search-tree, heap-priority-queue, binary-tree, data-stream</t>
        </is>
      </c>
      <c r="I197" s="4" t="inlineStr">
        <is>
          <t>Solved</t>
        </is>
      </c>
      <c r="J197" s="11" t="n">
        <v>45065.45238425926</v>
      </c>
      <c r="K197" s="11" t="n">
        <v>45065.45238425926</v>
      </c>
      <c r="L197" s="11" t="n">
        <v>45066.57193287037</v>
      </c>
      <c r="M197" s="4" t="n">
        <v>2</v>
      </c>
      <c r="N197" s="4" t="n">
        <v>2</v>
      </c>
      <c r="O197" s="4" t="n">
        <v>0</v>
      </c>
      <c r="P197" s="4">
        <f>IF(AND(N197&gt;0,O197=0),"Yes","No")</f>
        <v/>
      </c>
      <c r="Q197" s="4" t="n">
        <v>0</v>
      </c>
      <c r="R197" s="4" t="n">
        <v>0</v>
      </c>
      <c r="S197" s="4" t="n">
        <v>0</v>
      </c>
      <c r="T197" s="4" t="inlineStr">
        <is>
          <t>C++</t>
        </is>
      </c>
      <c r="U197" s="4" t="n">
        <v>5.2</v>
      </c>
      <c r="V197" s="9" t="inlineStr">
        <is>
          <t>Submission 953785839</t>
        </is>
      </c>
      <c r="W197" s="9" t="inlineStr">
        <is>
          <t>Open code</t>
        </is>
      </c>
      <c r="X197" s="4" t="n">
        <v>2</v>
      </c>
      <c r="Y197" s="4" t="inlineStr">
        <is>
          <t>2023-05</t>
        </is>
      </c>
    </row>
    <row r="198">
      <c r="A198" s="4" t="n">
        <v>197</v>
      </c>
      <c r="B198" s="4" t="n">
        <v>237</v>
      </c>
      <c r="C198" s="9" t="inlineStr">
        <is>
          <t>Delete Node in a Linked List</t>
        </is>
      </c>
      <c r="D198" s="12" t="inlineStr">
        <is>
          <t>Medium</t>
        </is>
      </c>
      <c r="E198" s="4" t="inlineStr">
        <is>
          <t>Linked List</t>
        </is>
      </c>
      <c r="F198" s="4" t="inlineStr">
        <is>
          <t>Copy next node</t>
        </is>
      </c>
      <c r="G198" s="4" t="inlineStr">
        <is>
          <t>Linked List</t>
        </is>
      </c>
      <c r="H198" s="4" t="inlineStr">
        <is>
          <t>linked-list</t>
        </is>
      </c>
      <c r="I198" s="4" t="inlineStr">
        <is>
          <t>Solved</t>
        </is>
      </c>
      <c r="J198" s="11" t="n">
        <v>45065.73699074074</v>
      </c>
      <c r="K198" s="11" t="n">
        <v>45065.73699074074</v>
      </c>
      <c r="L198" s="11" t="n">
        <v>45066.57503472222</v>
      </c>
      <c r="M198" s="4" t="n">
        <v>3</v>
      </c>
      <c r="N198" s="4" t="n">
        <v>3</v>
      </c>
      <c r="O198" s="4" t="n">
        <v>0</v>
      </c>
      <c r="P198" s="4">
        <f>IF(AND(N198&gt;0,O198=0),"Yes","No")</f>
        <v/>
      </c>
      <c r="Q198" s="4" t="n">
        <v>0</v>
      </c>
      <c r="R198" s="4" t="n">
        <v>0</v>
      </c>
      <c r="S198" s="4" t="n">
        <v>0</v>
      </c>
      <c r="T198" s="4" t="inlineStr">
        <is>
          <t>C++</t>
        </is>
      </c>
      <c r="U198" s="4" t="n">
        <v>56.3</v>
      </c>
      <c r="V198" s="9" t="inlineStr">
        <is>
          <t>Submission 953787543</t>
        </is>
      </c>
      <c r="W198" s="9" t="inlineStr">
        <is>
          <t>Open code</t>
        </is>
      </c>
      <c r="X198" s="4" t="n">
        <v>0</v>
      </c>
      <c r="Y198" s="4" t="inlineStr">
        <is>
          <t>2023-05</t>
        </is>
      </c>
    </row>
    <row r="199">
      <c r="A199" s="4" t="n">
        <v>198</v>
      </c>
      <c r="B199" s="4" t="n">
        <v>138</v>
      </c>
      <c r="C199" s="9" t="inlineStr">
        <is>
          <t>Copy List with Random Pointer</t>
        </is>
      </c>
      <c r="D199" s="12" t="inlineStr">
        <is>
          <t>Medium</t>
        </is>
      </c>
      <c r="E199" s="4" t="inlineStr">
        <is>
          <t>Linked List</t>
        </is>
      </c>
      <c r="F199" s="4" t="inlineStr">
        <is>
          <t>Hash map / interleave</t>
        </is>
      </c>
      <c r="G199" s="4" t="inlineStr">
        <is>
          <t>Linked List</t>
        </is>
      </c>
      <c r="H199" s="4" t="inlineStr">
        <is>
          <t>hash-table, linked-list</t>
        </is>
      </c>
      <c r="I199" s="4" t="inlineStr">
        <is>
          <t>Solved</t>
        </is>
      </c>
      <c r="J199" s="11" t="n">
        <v>45065.75325231482</v>
      </c>
      <c r="K199" s="11" t="n">
        <v>45065.75325231482</v>
      </c>
      <c r="L199" s="11" t="n">
        <v>45293.03907407408</v>
      </c>
      <c r="M199" s="4" t="n">
        <v>13</v>
      </c>
      <c r="N199" s="4" t="n">
        <v>11</v>
      </c>
      <c r="O199" s="4" t="n">
        <v>0</v>
      </c>
      <c r="P199" s="4">
        <f>IF(AND(N199&gt;0,O199=0),"Yes","No")</f>
        <v/>
      </c>
      <c r="Q199" s="4" t="n">
        <v>0</v>
      </c>
      <c r="R199" s="4" t="n">
        <v>0</v>
      </c>
      <c r="S199" s="4" t="n">
        <v>0</v>
      </c>
      <c r="T199" s="4" t="inlineStr">
        <is>
          <t>C++, Python3</t>
        </is>
      </c>
      <c r="U199" s="4" t="n">
        <v>88.2</v>
      </c>
      <c r="V199" s="9" t="inlineStr">
        <is>
          <t>Submission 1134011763</t>
        </is>
      </c>
      <c r="W199" s="9" t="inlineStr">
        <is>
          <t>Open code</t>
        </is>
      </c>
      <c r="X199" s="4" t="n">
        <v>4</v>
      </c>
      <c r="Y199" s="4" t="inlineStr">
        <is>
          <t>2023-05</t>
        </is>
      </c>
    </row>
    <row r="200">
      <c r="A200" s="4" t="n">
        <v>199</v>
      </c>
      <c r="B200" s="4" t="n">
        <v>226</v>
      </c>
      <c r="C200" s="9" t="inlineStr">
        <is>
          <t>Invert Binary Tree</t>
        </is>
      </c>
      <c r="D200" s="10" t="inlineStr">
        <is>
          <t>Easy</t>
        </is>
      </c>
      <c r="E200" s="4" t="inlineStr">
        <is>
          <t>Binary Tree (DFS &amp; Recursion)</t>
        </is>
      </c>
      <c r="F200" s="4" t="inlineStr">
        <is>
          <t>Mirror</t>
        </is>
      </c>
      <c r="G200" s="4" t="inlineStr">
        <is>
          <t>Trees</t>
        </is>
      </c>
      <c r="H200" s="4" t="inlineStr">
        <is>
          <t>tree, depth-first-search, breadth-first-search, binary-tree</t>
        </is>
      </c>
      <c r="I200" s="4" t="inlineStr">
        <is>
          <t>Solved</t>
        </is>
      </c>
      <c r="J200" s="11" t="n">
        <v>45065.76670138889</v>
      </c>
      <c r="K200" s="11" t="n">
        <v>45065.76670138889</v>
      </c>
      <c r="L200" s="11" t="n">
        <v>45066.57645833334</v>
      </c>
      <c r="M200" s="4" t="n">
        <v>2</v>
      </c>
      <c r="N200" s="4" t="n">
        <v>2</v>
      </c>
      <c r="O200" s="4" t="n">
        <v>0</v>
      </c>
      <c r="P200" s="4">
        <f>IF(AND(N200&gt;0,O200=0),"Yes","No")</f>
        <v/>
      </c>
      <c r="Q200" s="4" t="n">
        <v>0</v>
      </c>
      <c r="R200" s="4" t="n">
        <v>0</v>
      </c>
      <c r="S200" s="4" t="n">
        <v>0</v>
      </c>
      <c r="T200" s="4" t="inlineStr">
        <is>
          <t>C++</t>
        </is>
      </c>
      <c r="U200" s="4" t="n">
        <v>0.6</v>
      </c>
      <c r="V200" s="9" t="inlineStr">
        <is>
          <t>Submission 953788289</t>
        </is>
      </c>
      <c r="W200" s="9" t="inlineStr">
        <is>
          <t>Open code</t>
        </is>
      </c>
      <c r="X200" s="4" t="n">
        <v>0</v>
      </c>
      <c r="Y200" s="4" t="inlineStr">
        <is>
          <t>2023-05</t>
        </is>
      </c>
    </row>
    <row r="201">
      <c r="A201" s="4" t="n">
        <v>200</v>
      </c>
      <c r="B201" s="4" t="n">
        <v>100</v>
      </c>
      <c r="C201" s="9" t="inlineStr">
        <is>
          <t>Same Tree</t>
        </is>
      </c>
      <c r="D201" s="10" t="inlineStr">
        <is>
          <t>Easy</t>
        </is>
      </c>
      <c r="E201" s="4" t="inlineStr">
        <is>
          <t>Binary Tree (DFS &amp; Recursion)</t>
        </is>
      </c>
      <c r="F201" s="4" t="inlineStr">
        <is>
          <t>Compare trees</t>
        </is>
      </c>
      <c r="G201" s="4" t="inlineStr">
        <is>
          <t>Trees</t>
        </is>
      </c>
      <c r="H201" s="4" t="inlineStr">
        <is>
          <t>tree, depth-first-search, breadth-first-search, binary-tree</t>
        </is>
      </c>
      <c r="I201" s="4" t="inlineStr">
        <is>
          <t>Solved</t>
        </is>
      </c>
      <c r="J201" s="11" t="n">
        <v>45065.77078703704</v>
      </c>
      <c r="K201" s="11" t="n">
        <v>45065.77078703704</v>
      </c>
      <c r="L201" s="11" t="n">
        <v>45066.5771875</v>
      </c>
      <c r="M201" s="4" t="n">
        <v>2</v>
      </c>
      <c r="N201" s="4" t="n">
        <v>2</v>
      </c>
      <c r="O201" s="4" t="n">
        <v>0</v>
      </c>
      <c r="P201" s="4">
        <f>IF(AND(N201&gt;0,O201=0),"Yes","No")</f>
        <v/>
      </c>
      <c r="Q201" s="4" t="n">
        <v>0</v>
      </c>
      <c r="R201" s="4" t="n">
        <v>0</v>
      </c>
      <c r="S201" s="4" t="n">
        <v>0</v>
      </c>
      <c r="T201" s="4" t="inlineStr">
        <is>
          <t>C++</t>
        </is>
      </c>
      <c r="U201" s="4" t="n">
        <v>100</v>
      </c>
      <c r="V201" s="9" t="inlineStr">
        <is>
          <t>Submission 953788697</t>
        </is>
      </c>
      <c r="W201" s="9" t="inlineStr">
        <is>
          <t>Open code</t>
        </is>
      </c>
      <c r="X201" s="4" t="n">
        <v>0</v>
      </c>
      <c r="Y201" s="4" t="inlineStr">
        <is>
          <t>2023-05</t>
        </is>
      </c>
    </row>
    <row r="202">
      <c r="A202" s="4" t="n">
        <v>201</v>
      </c>
      <c r="B202" s="4" t="n">
        <v>647</v>
      </c>
      <c r="C202" s="9" t="inlineStr">
        <is>
          <t>Palindromic Substrings</t>
        </is>
      </c>
      <c r="D202" s="12" t="inlineStr">
        <is>
          <t>Medium</t>
        </is>
      </c>
      <c r="E202" s="4" t="inlineStr">
        <is>
          <t>Two Pointers</t>
        </is>
      </c>
      <c r="F202" s="4" t="inlineStr">
        <is>
          <t>Expand around centre</t>
        </is>
      </c>
      <c r="G202" s="4" t="inlineStr">
        <is>
          <t>Arrays &amp; Strings</t>
        </is>
      </c>
      <c r="H202" s="4" t="inlineStr">
        <is>
          <t>two-pointers, string, dynamic-programming</t>
        </is>
      </c>
      <c r="I202" s="4" t="inlineStr">
        <is>
          <t>Solved</t>
        </is>
      </c>
      <c r="J202" s="11" t="n">
        <v>45065.8281712963</v>
      </c>
      <c r="K202" s="11" t="n">
        <v>45066.35582175926</v>
      </c>
      <c r="L202" s="11" t="n">
        <v>45316.96203703704</v>
      </c>
      <c r="M202" s="4" t="n">
        <v>11</v>
      </c>
      <c r="N202" s="4" t="n">
        <v>6</v>
      </c>
      <c r="O202" s="4" t="n">
        <v>2</v>
      </c>
      <c r="P202" s="4">
        <f>IF(AND(N202&gt;0,O202=0),"Yes","No")</f>
        <v/>
      </c>
      <c r="Q202" s="4" t="n">
        <v>1</v>
      </c>
      <c r="R202" s="4" t="n">
        <v>0</v>
      </c>
      <c r="S202" s="4" t="n">
        <v>1</v>
      </c>
      <c r="T202" s="4" t="inlineStr">
        <is>
          <t>C++, Python3</t>
        </is>
      </c>
      <c r="U202" s="4" t="n">
        <v>35.1</v>
      </c>
      <c r="V202" s="9" t="inlineStr">
        <is>
          <t>Submission 1156688848</t>
        </is>
      </c>
      <c r="W202" s="9" t="inlineStr">
        <is>
          <t>Open code</t>
        </is>
      </c>
      <c r="X202" s="4" t="n">
        <v>2</v>
      </c>
      <c r="Y202" s="4" t="inlineStr">
        <is>
          <t>2023-05</t>
        </is>
      </c>
    </row>
    <row r="203">
      <c r="A203" s="4" t="n">
        <v>202</v>
      </c>
      <c r="B203" s="4" t="n">
        <v>409</v>
      </c>
      <c r="C203" s="9" t="inlineStr">
        <is>
          <t>Longest Palindrome</t>
        </is>
      </c>
      <c r="D203" s="10" t="inlineStr">
        <is>
          <t>Easy</t>
        </is>
      </c>
      <c r="E203" s="4" t="inlineStr">
        <is>
          <t>Arrays, Hashing &amp; Sorting</t>
        </is>
      </c>
      <c r="F203" s="4" t="inlineStr">
        <is>
          <t>Frequency count</t>
        </is>
      </c>
      <c r="G203" s="4" t="inlineStr">
        <is>
          <t>Arrays &amp; Strings</t>
        </is>
      </c>
      <c r="H203" s="4" t="inlineStr">
        <is>
          <t>hash-table, string, greedy</t>
        </is>
      </c>
      <c r="I203" s="4" t="inlineStr">
        <is>
          <t>Solved</t>
        </is>
      </c>
      <c r="J203" s="11" t="n">
        <v>45066.37903935185</v>
      </c>
      <c r="K203" s="11" t="n">
        <v>45066.37903935185</v>
      </c>
      <c r="L203" s="11" t="n">
        <v>45066.57900462963</v>
      </c>
      <c r="M203" s="4" t="n">
        <v>2</v>
      </c>
      <c r="N203" s="4" t="n">
        <v>2</v>
      </c>
      <c r="O203" s="4" t="n">
        <v>0</v>
      </c>
      <c r="P203" s="4">
        <f>IF(AND(N203&gt;0,O203=0),"Yes","No")</f>
        <v/>
      </c>
      <c r="Q203" s="4" t="n">
        <v>0</v>
      </c>
      <c r="R203" s="4" t="n">
        <v>0</v>
      </c>
      <c r="S203" s="4" t="n">
        <v>0</v>
      </c>
      <c r="T203" s="4" t="inlineStr">
        <is>
          <t>C++</t>
        </is>
      </c>
      <c r="U203" s="4" t="n">
        <v>100</v>
      </c>
      <c r="V203" s="9" t="inlineStr">
        <is>
          <t>Submission 953789716</t>
        </is>
      </c>
      <c r="W203" s="9" t="inlineStr">
        <is>
          <t>Open code</t>
        </is>
      </c>
      <c r="X203" s="4" t="n">
        <v>0</v>
      </c>
      <c r="Y203" s="4" t="inlineStr">
        <is>
          <t>2023-05</t>
        </is>
      </c>
    </row>
    <row r="204">
      <c r="A204" s="4" t="n">
        <v>203</v>
      </c>
      <c r="B204" s="4" t="n">
        <v>53</v>
      </c>
      <c r="C204" s="9" t="inlineStr">
        <is>
          <t>Maximum Subarray</t>
        </is>
      </c>
      <c r="D204" s="12" t="inlineStr">
        <is>
          <t>Medium</t>
        </is>
      </c>
      <c r="E204" s="4" t="inlineStr">
        <is>
          <t>DP: 1D / Linear</t>
        </is>
      </c>
      <c r="F204" s="4" t="inlineStr">
        <is>
          <t>Kadane</t>
        </is>
      </c>
      <c r="G204" s="4" t="inlineStr">
        <is>
          <t>Dynamic Programming</t>
        </is>
      </c>
      <c r="H204" s="4" t="inlineStr">
        <is>
          <t>array, divide-and-conquer, dynamic-programming</t>
        </is>
      </c>
      <c r="I204" s="4" t="inlineStr">
        <is>
          <t>Solved</t>
        </is>
      </c>
      <c r="J204" s="11" t="n">
        <v>45066.46403935185</v>
      </c>
      <c r="K204" s="11" t="n">
        <v>45066.46403935185</v>
      </c>
      <c r="L204" s="11" t="n">
        <v>45738.27598379629</v>
      </c>
      <c r="M204" s="4" t="n">
        <v>4</v>
      </c>
      <c r="N204" s="4" t="n">
        <v>4</v>
      </c>
      <c r="O204" s="4" t="n">
        <v>0</v>
      </c>
      <c r="P204" s="4">
        <f>IF(AND(N204&gt;0,O204=0),"Yes","No")</f>
        <v/>
      </c>
      <c r="Q204" s="4" t="n">
        <v>0</v>
      </c>
      <c r="R204" s="4" t="n">
        <v>0</v>
      </c>
      <c r="S204" s="4" t="n">
        <v>0</v>
      </c>
      <c r="T204" s="4" t="inlineStr">
        <is>
          <t>C++</t>
        </is>
      </c>
      <c r="U204" s="4" t="n">
        <v>100</v>
      </c>
      <c r="V204" s="9" t="inlineStr">
        <is>
          <t>Submission 1581828977</t>
        </is>
      </c>
      <c r="W204" s="9" t="inlineStr">
        <is>
          <t>Open code</t>
        </is>
      </c>
      <c r="X204" s="4" t="n">
        <v>1</v>
      </c>
      <c r="Y204" s="4" t="inlineStr">
        <is>
          <t>2023-05</t>
        </is>
      </c>
    </row>
    <row r="205">
      <c r="A205" s="4" t="n">
        <v>204</v>
      </c>
      <c r="B205" s="4" t="n">
        <v>112</v>
      </c>
      <c r="C205" s="9" t="inlineStr">
        <is>
          <t>Path Sum</t>
        </is>
      </c>
      <c r="D205" s="10" t="inlineStr">
        <is>
          <t>Easy</t>
        </is>
      </c>
      <c r="E205" s="4" t="inlineStr">
        <is>
          <t>Binary Tree (DFS &amp; Recursion)</t>
        </is>
      </c>
      <c r="F205" s="4" t="inlineStr">
        <is>
          <t>Root-to-leaf</t>
        </is>
      </c>
      <c r="G205" s="4" t="inlineStr">
        <is>
          <t>Trees</t>
        </is>
      </c>
      <c r="H205" s="4" t="inlineStr">
        <is>
          <t>tree, depth-first-search, breadth-first-search, binary-tree</t>
        </is>
      </c>
      <c r="I205" s="4" t="inlineStr">
        <is>
          <t>Solved</t>
        </is>
      </c>
      <c r="J205" s="11" t="n">
        <v>45066.67655092593</v>
      </c>
      <c r="K205" s="11" t="n">
        <v>45066.67655092593</v>
      </c>
      <c r="L205" s="11" t="n">
        <v>45066.67655092593</v>
      </c>
      <c r="M205" s="4" t="n">
        <v>1</v>
      </c>
      <c r="N205" s="4" t="n">
        <v>1</v>
      </c>
      <c r="O205" s="4" t="n">
        <v>0</v>
      </c>
      <c r="P205" s="4">
        <f>IF(AND(N205&gt;0,O205=0),"Yes","No")</f>
        <v/>
      </c>
      <c r="Q205" s="4" t="n">
        <v>0</v>
      </c>
      <c r="R205" s="4" t="n">
        <v>0</v>
      </c>
      <c r="S205" s="4" t="n">
        <v>0</v>
      </c>
      <c r="T205" s="4" t="inlineStr">
        <is>
          <t>C++</t>
        </is>
      </c>
      <c r="U205" s="4" t="n">
        <v>0.9</v>
      </c>
      <c r="V205" s="9" t="inlineStr">
        <is>
          <t>Submission 953849102</t>
        </is>
      </c>
      <c r="W205" s="9" t="inlineStr">
        <is>
          <t>Open code</t>
        </is>
      </c>
      <c r="X205" s="4" t="n">
        <v>0</v>
      </c>
      <c r="Y205" s="4" t="inlineStr">
        <is>
          <t>2023-05</t>
        </is>
      </c>
    </row>
    <row r="206">
      <c r="A206" s="4" t="n">
        <v>205</v>
      </c>
      <c r="B206" s="4" t="n">
        <v>113</v>
      </c>
      <c r="C206" s="9" t="inlineStr">
        <is>
          <t>Path Sum II</t>
        </is>
      </c>
      <c r="D206" s="12" t="inlineStr">
        <is>
          <t>Medium</t>
        </is>
      </c>
      <c r="E206" s="4" t="inlineStr">
        <is>
          <t>Binary Tree (DFS &amp; Recursion)</t>
        </is>
      </c>
      <c r="F206" s="4" t="inlineStr">
        <is>
          <t>Root-to-leaf paths</t>
        </is>
      </c>
      <c r="G206" s="4" t="inlineStr">
        <is>
          <t>Trees</t>
        </is>
      </c>
      <c r="H206" s="4" t="inlineStr">
        <is>
          <t>backtracking, tree, depth-first-search, binary-tree</t>
        </is>
      </c>
      <c r="I206" s="4" t="inlineStr">
        <is>
          <t>Solved</t>
        </is>
      </c>
      <c r="J206" s="11" t="n">
        <v>45066.68174768519</v>
      </c>
      <c r="K206" s="11" t="n">
        <v>45066.68174768519</v>
      </c>
      <c r="L206" s="11" t="n">
        <v>45066.74853009259</v>
      </c>
      <c r="M206" s="4" t="n">
        <v>2</v>
      </c>
      <c r="N206" s="4" t="n">
        <v>2</v>
      </c>
      <c r="O206" s="4" t="n">
        <v>0</v>
      </c>
      <c r="P206" s="4">
        <f>IF(AND(N206&gt;0,O206=0),"Yes","No")</f>
        <v/>
      </c>
      <c r="Q206" s="4" t="n">
        <v>0</v>
      </c>
      <c r="R206" s="4" t="n">
        <v>0</v>
      </c>
      <c r="S206" s="4" t="n">
        <v>0</v>
      </c>
      <c r="T206" s="4" t="inlineStr">
        <is>
          <t>C++</t>
        </is>
      </c>
      <c r="U206" s="4" t="n">
        <v>27.7</v>
      </c>
      <c r="V206" s="9" t="inlineStr">
        <is>
          <t>Submission 953889600</t>
        </is>
      </c>
      <c r="W206" s="9" t="inlineStr">
        <is>
          <t>Open code</t>
        </is>
      </c>
      <c r="X206" s="4" t="n">
        <v>2</v>
      </c>
      <c r="Y206" s="4" t="inlineStr">
        <is>
          <t>2023-05</t>
        </is>
      </c>
    </row>
    <row r="207">
      <c r="A207" s="4" t="n">
        <v>206</v>
      </c>
      <c r="B207" s="4" t="n">
        <v>437</v>
      </c>
      <c r="C207" s="9" t="inlineStr">
        <is>
          <t>Path Sum III</t>
        </is>
      </c>
      <c r="D207" s="12" t="inlineStr">
        <is>
          <t>Medium</t>
        </is>
      </c>
      <c r="E207" s="4" t="inlineStr">
        <is>
          <t>Binary Tree (DFS &amp; Recursion)</t>
        </is>
      </c>
      <c r="F207" s="4" t="inlineStr">
        <is>
          <t>Prefix sum on tree paths</t>
        </is>
      </c>
      <c r="G207" s="4" t="inlineStr">
        <is>
          <t>Trees</t>
        </is>
      </c>
      <c r="H207" s="4" t="inlineStr">
        <is>
          <t>tree, depth-first-search, binary-tree</t>
        </is>
      </c>
      <c r="I207" s="4" t="inlineStr">
        <is>
          <t>Solved</t>
        </is>
      </c>
      <c r="J207" s="11" t="n">
        <v>45066.70734953704</v>
      </c>
      <c r="K207" s="11" t="n">
        <v>45066.73137731481</v>
      </c>
      <c r="L207" s="11" t="n">
        <v>45778.38780092593</v>
      </c>
      <c r="M207" s="4" t="n">
        <v>7</v>
      </c>
      <c r="N207" s="4" t="n">
        <v>3</v>
      </c>
      <c r="O207" s="4" t="n">
        <v>3</v>
      </c>
      <c r="P207" s="4">
        <f>IF(AND(N207&gt;0,O207=0),"Yes","No")</f>
        <v/>
      </c>
      <c r="Q207" s="4" t="n">
        <v>2</v>
      </c>
      <c r="R207" s="4" t="n">
        <v>0</v>
      </c>
      <c r="S207" s="4" t="n">
        <v>1</v>
      </c>
      <c r="T207" s="4" t="inlineStr">
        <is>
          <t>C++</t>
        </is>
      </c>
      <c r="U207" s="4" t="n">
        <v>79.8</v>
      </c>
      <c r="V207" s="9" t="inlineStr">
        <is>
          <t>Submission 1622444693</t>
        </is>
      </c>
      <c r="W207" s="9" t="inlineStr">
        <is>
          <t>Open code</t>
        </is>
      </c>
      <c r="X207" s="4" t="n">
        <v>0</v>
      </c>
      <c r="Y207" s="4" t="inlineStr">
        <is>
          <t>2023-05</t>
        </is>
      </c>
    </row>
    <row r="208">
      <c r="A208" s="4" t="n">
        <v>207</v>
      </c>
      <c r="B208" s="4" t="n">
        <v>268</v>
      </c>
      <c r="C208" s="9" t="inlineStr">
        <is>
          <t>Missing Number</t>
        </is>
      </c>
      <c r="D208" s="10" t="inlineStr">
        <is>
          <t>Easy</t>
        </is>
      </c>
      <c r="E208" s="4" t="inlineStr">
        <is>
          <t>Math &amp; Bit Manipulation</t>
        </is>
      </c>
      <c r="F208" s="4" t="inlineStr">
        <is>
          <t>XOR / sum</t>
        </is>
      </c>
      <c r="G208" s="4" t="inlineStr">
        <is>
          <t>Arrays &amp; Strings</t>
        </is>
      </c>
      <c r="H208" s="4" t="inlineStr">
        <is>
          <t>array, hash-table, math, binary-search, bit-manipulation, sorting</t>
        </is>
      </c>
      <c r="I208" s="4" t="inlineStr">
        <is>
          <t>Solved</t>
        </is>
      </c>
      <c r="J208" s="11" t="n">
        <v>45066.75496527777</v>
      </c>
      <c r="K208" s="11" t="n">
        <v>45066.75496527777</v>
      </c>
      <c r="L208" s="11" t="n">
        <v>45070.35435185185</v>
      </c>
      <c r="M208" s="4" t="n">
        <v>5</v>
      </c>
      <c r="N208" s="4" t="n">
        <v>5</v>
      </c>
      <c r="O208" s="4" t="n">
        <v>0</v>
      </c>
      <c r="P208" s="4">
        <f>IF(AND(N208&gt;0,O208=0),"Yes","No")</f>
        <v/>
      </c>
      <c r="Q208" s="4" t="n">
        <v>0</v>
      </c>
      <c r="R208" s="4" t="n">
        <v>0</v>
      </c>
      <c r="S208" s="4" t="n">
        <v>0</v>
      </c>
      <c r="T208" s="4" t="inlineStr">
        <is>
          <t>C++</t>
        </is>
      </c>
      <c r="U208" s="4" t="n">
        <v>10.9</v>
      </c>
      <c r="V208" s="9" t="inlineStr">
        <is>
          <t>Submission 956172334</t>
        </is>
      </c>
      <c r="W208" s="9" t="inlineStr">
        <is>
          <t>Open code</t>
        </is>
      </c>
      <c r="X208" s="4" t="n">
        <v>4</v>
      </c>
      <c r="Y208" s="4" t="inlineStr">
        <is>
          <t>2023-05</t>
        </is>
      </c>
    </row>
    <row r="209">
      <c r="A209" s="4" t="n">
        <v>208</v>
      </c>
      <c r="B209" s="4" t="n">
        <v>206</v>
      </c>
      <c r="C209" s="9" t="inlineStr">
        <is>
          <t>Reverse Linked List</t>
        </is>
      </c>
      <c r="D209" s="10" t="inlineStr">
        <is>
          <t>Easy</t>
        </is>
      </c>
      <c r="E209" s="4" t="inlineStr">
        <is>
          <t>Linked List</t>
        </is>
      </c>
      <c r="F209" s="4" t="inlineStr">
        <is>
          <t>Reverse</t>
        </is>
      </c>
      <c r="G209" s="4" t="inlineStr">
        <is>
          <t>Linked List</t>
        </is>
      </c>
      <c r="H209" s="4" t="inlineStr">
        <is>
          <t>linked-list, recursion</t>
        </is>
      </c>
      <c r="I209" s="4" t="inlineStr">
        <is>
          <t>Solved</t>
        </is>
      </c>
      <c r="J209" s="11" t="n">
        <v>45066.75719907408</v>
      </c>
      <c r="K209" s="11" t="n">
        <v>45066.75719907408</v>
      </c>
      <c r="L209" s="11" t="n">
        <v>45066.75719907408</v>
      </c>
      <c r="M209" s="4" t="n">
        <v>1</v>
      </c>
      <c r="N209" s="4" t="n">
        <v>1</v>
      </c>
      <c r="O209" s="4" t="n">
        <v>0</v>
      </c>
      <c r="P209" s="4">
        <f>IF(AND(N209&gt;0,O209=0),"Yes","No")</f>
        <v/>
      </c>
      <c r="Q209" s="4" t="n">
        <v>0</v>
      </c>
      <c r="R209" s="4" t="n">
        <v>0</v>
      </c>
      <c r="S209" s="4" t="n">
        <v>0</v>
      </c>
      <c r="T209" s="4" t="inlineStr">
        <is>
          <t>C++</t>
        </is>
      </c>
      <c r="U209" s="4" t="n">
        <v>0.8</v>
      </c>
      <c r="V209" s="9" t="inlineStr">
        <is>
          <t>Submission 953894557</t>
        </is>
      </c>
      <c r="W209" s="9" t="inlineStr">
        <is>
          <t>Open code</t>
        </is>
      </c>
      <c r="X209" s="4" t="n">
        <v>0</v>
      </c>
      <c r="Y209" s="4" t="inlineStr">
        <is>
          <t>2023-05</t>
        </is>
      </c>
    </row>
    <row r="210">
      <c r="A210" s="4" t="n">
        <v>209</v>
      </c>
      <c r="B210" s="4" t="n">
        <v>92</v>
      </c>
      <c r="C210" s="9" t="inlineStr">
        <is>
          <t>Reverse Linked List II</t>
        </is>
      </c>
      <c r="D210" s="12" t="inlineStr">
        <is>
          <t>Medium</t>
        </is>
      </c>
      <c r="E210" s="4" t="inlineStr">
        <is>
          <t>Linked List</t>
        </is>
      </c>
      <c r="F210" s="4" t="inlineStr">
        <is>
          <t>Reverse a sublist</t>
        </is>
      </c>
      <c r="G210" s="4" t="inlineStr">
        <is>
          <t>Linked List</t>
        </is>
      </c>
      <c r="H210" s="4" t="inlineStr">
        <is>
          <t>linked-list</t>
        </is>
      </c>
      <c r="I210" s="4" t="inlineStr">
        <is>
          <t>Solved</t>
        </is>
      </c>
      <c r="J210" s="11" t="n">
        <v>45066.76181712963</v>
      </c>
      <c r="K210" s="11" t="n">
        <v>45066.76181712963</v>
      </c>
      <c r="L210" s="11" t="n">
        <v>45066.76181712963</v>
      </c>
      <c r="M210" s="4" t="n">
        <v>1</v>
      </c>
      <c r="N210" s="4" t="n">
        <v>1</v>
      </c>
      <c r="O210" s="4" t="n">
        <v>0</v>
      </c>
      <c r="P210" s="4">
        <f>IF(AND(N210&gt;0,O210=0),"Yes","No")</f>
        <v/>
      </c>
      <c r="Q210" s="4" t="n">
        <v>0</v>
      </c>
      <c r="R210" s="4" t="n">
        <v>0</v>
      </c>
      <c r="S210" s="4" t="n">
        <v>0</v>
      </c>
      <c r="T210" s="4" t="inlineStr">
        <is>
          <t>C++</t>
        </is>
      </c>
      <c r="U210" s="4" t="n">
        <v>0.1</v>
      </c>
      <c r="V210" s="9" t="inlineStr">
        <is>
          <t>Submission 953897121</t>
        </is>
      </c>
      <c r="W210" s="9" t="inlineStr">
        <is>
          <t>Open code</t>
        </is>
      </c>
      <c r="X210" s="4" t="n">
        <v>1</v>
      </c>
      <c r="Y210" s="4" t="inlineStr">
        <is>
          <t>2023-05</t>
        </is>
      </c>
    </row>
    <row r="211">
      <c r="A211" s="4" t="n">
        <v>210</v>
      </c>
      <c r="B211" s="4" t="n">
        <v>41</v>
      </c>
      <c r="C211" s="9" t="inlineStr">
        <is>
          <t>First Missing Positive</t>
        </is>
      </c>
      <c r="D211" s="13" t="inlineStr">
        <is>
          <t>Hard</t>
        </is>
      </c>
      <c r="E211" s="4" t="inlineStr">
        <is>
          <t>Arrays, Hashing &amp; Sorting</t>
        </is>
      </c>
      <c r="F211" s="4" t="inlineStr">
        <is>
          <t>Cyclic sort</t>
        </is>
      </c>
      <c r="G211" s="4" t="inlineStr">
        <is>
          <t>Arrays &amp; Strings</t>
        </is>
      </c>
      <c r="H211" s="4" t="inlineStr">
        <is>
          <t>array, hash-table</t>
        </is>
      </c>
      <c r="I211" s="4" t="inlineStr">
        <is>
          <t>Solved</t>
        </is>
      </c>
      <c r="J211" s="11" t="n">
        <v>45067.34128472222</v>
      </c>
      <c r="K211" s="11" t="n">
        <v>45067.34489583333</v>
      </c>
      <c r="L211" s="11" t="n">
        <v>45070.38806712963</v>
      </c>
      <c r="M211" s="4" t="n">
        <v>11</v>
      </c>
      <c r="N211" s="4" t="n">
        <v>6</v>
      </c>
      <c r="O211" s="4" t="n">
        <v>3</v>
      </c>
      <c r="P211" s="4">
        <f>IF(AND(N211&gt;0,O211=0),"Yes","No")</f>
        <v/>
      </c>
      <c r="Q211" s="4" t="n">
        <v>3</v>
      </c>
      <c r="R211" s="4" t="n">
        <v>0</v>
      </c>
      <c r="S211" s="4" t="n">
        <v>0</v>
      </c>
      <c r="T211" s="4" t="inlineStr">
        <is>
          <t>C++</t>
        </is>
      </c>
      <c r="U211" s="4" t="n">
        <v>14.1</v>
      </c>
      <c r="V211" s="9" t="inlineStr">
        <is>
          <t>Submission 956190757</t>
        </is>
      </c>
      <c r="W211" s="9" t="inlineStr">
        <is>
          <t>Open code</t>
        </is>
      </c>
      <c r="X211" s="4" t="n">
        <v>0</v>
      </c>
      <c r="Y211" s="4" t="inlineStr">
        <is>
          <t>2023-05</t>
        </is>
      </c>
    </row>
    <row r="212">
      <c r="A212" s="4" t="n">
        <v>211</v>
      </c>
      <c r="B212" s="4" t="n">
        <v>572</v>
      </c>
      <c r="C212" s="9" t="inlineStr">
        <is>
          <t>Subtree of Another Tree</t>
        </is>
      </c>
      <c r="D212" s="10" t="inlineStr">
        <is>
          <t>Easy</t>
        </is>
      </c>
      <c r="E212" s="4" t="inlineStr">
        <is>
          <t>Binary Tree (DFS &amp; Recursion)</t>
        </is>
      </c>
      <c r="F212" s="4" t="inlineStr">
        <is>
          <t>Tree matching</t>
        </is>
      </c>
      <c r="G212" s="4" t="inlineStr">
        <is>
          <t>Trees</t>
        </is>
      </c>
      <c r="H212" s="4" t="inlineStr">
        <is>
          <t>tree, depth-first-search, string-matching, binary-tree, hash-function</t>
        </is>
      </c>
      <c r="I212" s="4" t="inlineStr">
        <is>
          <t>Solved</t>
        </is>
      </c>
      <c r="J212" s="11" t="n">
        <v>45067.35909722222</v>
      </c>
      <c r="K212" s="11" t="n">
        <v>45067.35909722222</v>
      </c>
      <c r="L212" s="11" t="n">
        <v>45067.36495370371</v>
      </c>
      <c r="M212" s="4" t="n">
        <v>4</v>
      </c>
      <c r="N212" s="4" t="n">
        <v>4</v>
      </c>
      <c r="O212" s="4" t="n">
        <v>0</v>
      </c>
      <c r="P212" s="4">
        <f>IF(AND(N212&gt;0,O212=0),"Yes","No")</f>
        <v/>
      </c>
      <c r="Q212" s="4" t="n">
        <v>0</v>
      </c>
      <c r="R212" s="4" t="n">
        <v>0</v>
      </c>
      <c r="S212" s="4" t="n">
        <v>0</v>
      </c>
      <c r="T212" s="4" t="inlineStr">
        <is>
          <t>C++</t>
        </is>
      </c>
      <c r="U212" s="4" t="n">
        <v>5.1</v>
      </c>
      <c r="V212" s="9" t="inlineStr">
        <is>
          <t>Submission 954246623</t>
        </is>
      </c>
      <c r="W212" s="9" t="inlineStr">
        <is>
          <t>Open code</t>
        </is>
      </c>
      <c r="X212" s="4" t="n">
        <v>0</v>
      </c>
      <c r="Y212" s="4" t="inlineStr">
        <is>
          <t>2023-05</t>
        </is>
      </c>
    </row>
    <row r="213">
      <c r="A213" s="4" t="n">
        <v>212</v>
      </c>
      <c r="B213" s="4" t="n">
        <v>15</v>
      </c>
      <c r="C213" s="9" t="inlineStr">
        <is>
          <t>3Sum</t>
        </is>
      </c>
      <c r="D213" s="12" t="inlineStr">
        <is>
          <t>Medium</t>
        </is>
      </c>
      <c r="E213" s="4" t="inlineStr">
        <is>
          <t>Two Pointers</t>
        </is>
      </c>
      <c r="F213" s="4" t="inlineStr">
        <is>
          <t>Sort + two pointers</t>
        </is>
      </c>
      <c r="G213" s="4" t="inlineStr">
        <is>
          <t>Arrays &amp; Strings</t>
        </is>
      </c>
      <c r="H213" s="4" t="inlineStr">
        <is>
          <t>array, two-pointers, sorting</t>
        </is>
      </c>
      <c r="I213" s="4" t="inlineStr">
        <is>
          <t>Solved</t>
        </is>
      </c>
      <c r="J213" s="11" t="n">
        <v>45067.38318287037</v>
      </c>
      <c r="K213" s="11" t="n">
        <v>45067.38318287037</v>
      </c>
      <c r="L213" s="11" t="n">
        <v>45290.27266203704</v>
      </c>
      <c r="M213" s="4" t="n">
        <v>11</v>
      </c>
      <c r="N213" s="4" t="n">
        <v>9</v>
      </c>
      <c r="O213" s="4" t="n">
        <v>0</v>
      </c>
      <c r="P213" s="4">
        <f>IF(AND(N213&gt;0,O213=0),"Yes","No")</f>
        <v/>
      </c>
      <c r="Q213" s="4" t="n">
        <v>0</v>
      </c>
      <c r="R213" s="4" t="n">
        <v>0</v>
      </c>
      <c r="S213" s="4" t="n">
        <v>0</v>
      </c>
      <c r="T213" s="4" t="inlineStr">
        <is>
          <t>C++, Python3</t>
        </is>
      </c>
      <c r="U213" s="4" t="n">
        <v>15.1</v>
      </c>
      <c r="V213" s="9" t="inlineStr">
        <is>
          <t>Submission 1131807750</t>
        </is>
      </c>
      <c r="W213" s="9" t="inlineStr">
        <is>
          <t>Open code</t>
        </is>
      </c>
      <c r="X213" s="4" t="n">
        <v>8</v>
      </c>
      <c r="Y213" s="4" t="inlineStr">
        <is>
          <t>2023-05</t>
        </is>
      </c>
    </row>
    <row r="214">
      <c r="A214" s="4" t="n">
        <v>213</v>
      </c>
      <c r="B214" s="4" t="n">
        <v>167</v>
      </c>
      <c r="C214" s="9" t="inlineStr">
        <is>
          <t>Two Sum II - Input Array Is Sorted</t>
        </is>
      </c>
      <c r="D214" s="12" t="inlineStr">
        <is>
          <t>Medium</t>
        </is>
      </c>
      <c r="E214" s="4" t="inlineStr">
        <is>
          <t>Two Pointers</t>
        </is>
      </c>
      <c r="F214" s="4" t="inlineStr">
        <is>
          <t>Opposite ends</t>
        </is>
      </c>
      <c r="G214" s="4" t="inlineStr">
        <is>
          <t>Arrays &amp; Strings</t>
        </is>
      </c>
      <c r="H214" s="4" t="inlineStr">
        <is>
          <t>array, two-pointers, binary-search</t>
        </is>
      </c>
      <c r="I214" s="4" t="inlineStr">
        <is>
          <t>Solved</t>
        </is>
      </c>
      <c r="J214" s="11" t="n">
        <v>45067.38561342593</v>
      </c>
      <c r="K214" s="11" t="n">
        <v>45067.38561342593</v>
      </c>
      <c r="L214" s="11" t="n">
        <v>45376.82878472222</v>
      </c>
      <c r="M214" s="4" t="n">
        <v>2</v>
      </c>
      <c r="N214" s="4" t="n">
        <v>2</v>
      </c>
      <c r="O214" s="4" t="n">
        <v>0</v>
      </c>
      <c r="P214" s="4">
        <f>IF(AND(N214&gt;0,O214=0),"Yes","No")</f>
        <v/>
      </c>
      <c r="Q214" s="4" t="n">
        <v>0</v>
      </c>
      <c r="R214" s="4" t="n">
        <v>0</v>
      </c>
      <c r="S214" s="4" t="n">
        <v>0</v>
      </c>
      <c r="T214" s="4" t="inlineStr">
        <is>
          <t>C++</t>
        </is>
      </c>
      <c r="U214" s="4" t="n">
        <v>2.4</v>
      </c>
      <c r="V214" s="9" t="inlineStr">
        <is>
          <t>Submission 1213523765</t>
        </is>
      </c>
      <c r="W214" s="9" t="inlineStr">
        <is>
          <t>Open code</t>
        </is>
      </c>
      <c r="X214" s="4" t="n">
        <v>2</v>
      </c>
      <c r="Y214" s="4" t="inlineStr">
        <is>
          <t>2023-05</t>
        </is>
      </c>
    </row>
    <row r="215">
      <c r="A215" s="4" t="n">
        <v>214</v>
      </c>
      <c r="B215" s="4" t="n">
        <v>16</v>
      </c>
      <c r="C215" s="9" t="inlineStr">
        <is>
          <t>3Sum Closest</t>
        </is>
      </c>
      <c r="D215" s="12" t="inlineStr">
        <is>
          <t>Medium</t>
        </is>
      </c>
      <c r="E215" s="4" t="inlineStr">
        <is>
          <t>Two Pointers</t>
        </is>
      </c>
      <c r="F215" s="4" t="inlineStr">
        <is>
          <t>Sort + two pointers</t>
        </is>
      </c>
      <c r="G215" s="4" t="inlineStr">
        <is>
          <t>Arrays &amp; Strings</t>
        </is>
      </c>
      <c r="H215" s="4" t="inlineStr">
        <is>
          <t>array, two-pointers, sorting</t>
        </is>
      </c>
      <c r="I215" s="4" t="inlineStr">
        <is>
          <t>Solved</t>
        </is>
      </c>
      <c r="J215" s="11" t="n">
        <v>45067.49457175926</v>
      </c>
      <c r="K215" s="11" t="n">
        <v>45068.63537037037</v>
      </c>
      <c r="L215" s="11" t="n">
        <v>45068.63825231481</v>
      </c>
      <c r="M215" s="4" t="n">
        <v>8</v>
      </c>
      <c r="N215" s="4" t="n">
        <v>3</v>
      </c>
      <c r="O215" s="4" t="n">
        <v>5</v>
      </c>
      <c r="P215" s="4">
        <f>IF(AND(N215&gt;0,O215=0),"Yes","No")</f>
        <v/>
      </c>
      <c r="Q215" s="4" t="n">
        <v>5</v>
      </c>
      <c r="R215" s="4" t="n">
        <v>0</v>
      </c>
      <c r="S215" s="4" t="n">
        <v>0</v>
      </c>
      <c r="T215" s="4" t="inlineStr">
        <is>
          <t>C++</t>
        </is>
      </c>
      <c r="U215" s="4" t="n">
        <v>6</v>
      </c>
      <c r="V215" s="9" t="inlineStr">
        <is>
          <t>Submission 955019848</t>
        </is>
      </c>
      <c r="W215" s="9" t="inlineStr">
        <is>
          <t>Open code</t>
        </is>
      </c>
      <c r="X215" s="4" t="n">
        <v>0</v>
      </c>
      <c r="Y215" s="4" t="inlineStr">
        <is>
          <t>2023-05</t>
        </is>
      </c>
    </row>
    <row r="216">
      <c r="A216" s="4" t="n">
        <v>215</v>
      </c>
      <c r="B216" s="4" t="n">
        <v>833</v>
      </c>
      <c r="C216" s="9" t="inlineStr">
        <is>
          <t>Find And Replace in String</t>
        </is>
      </c>
      <c r="D216" s="12" t="inlineStr">
        <is>
          <t>Medium</t>
        </is>
      </c>
      <c r="E216" s="4" t="inlineStr">
        <is>
          <t>Strings &amp; Simulation</t>
        </is>
      </c>
      <c r="F216" s="4" t="inlineStr">
        <is>
          <t>Index replacement</t>
        </is>
      </c>
      <c r="G216" s="4" t="inlineStr">
        <is>
          <t>Arrays &amp; Strings</t>
        </is>
      </c>
      <c r="H216" s="4" t="inlineStr">
        <is>
          <t>array, hash-table, string, sorting</t>
        </is>
      </c>
      <c r="I216" s="4" t="inlineStr">
        <is>
          <t>Solved</t>
        </is>
      </c>
      <c r="J216" s="11" t="n">
        <v>45067.74167824074</v>
      </c>
      <c r="K216" s="11" t="n">
        <v>45067.74167824074</v>
      </c>
      <c r="L216" s="11" t="n">
        <v>45067.74366898148</v>
      </c>
      <c r="M216" s="4" t="n">
        <v>4</v>
      </c>
      <c r="N216" s="4" t="n">
        <v>4</v>
      </c>
      <c r="O216" s="4" t="n">
        <v>0</v>
      </c>
      <c r="P216" s="4">
        <f>IF(AND(N216&gt;0,O216=0),"Yes","No")</f>
        <v/>
      </c>
      <c r="Q216" s="4" t="n">
        <v>0</v>
      </c>
      <c r="R216" s="4" t="n">
        <v>0</v>
      </c>
      <c r="S216" s="4" t="n">
        <v>0</v>
      </c>
      <c r="T216" s="4" t="inlineStr">
        <is>
          <t>C++</t>
        </is>
      </c>
      <c r="U216" s="4" t="n">
        <v>20.7</v>
      </c>
      <c r="V216" s="9" t="inlineStr">
        <is>
          <t>Submission 954492404</t>
        </is>
      </c>
      <c r="W216" s="9" t="inlineStr">
        <is>
          <t>Open code</t>
        </is>
      </c>
      <c r="X216" s="4" t="n">
        <v>0</v>
      </c>
      <c r="Y216" s="4" t="inlineStr">
        <is>
          <t>2023-05</t>
        </is>
      </c>
    </row>
    <row r="217">
      <c r="A217" s="4" t="n">
        <v>216</v>
      </c>
      <c r="B217" s="4" t="n">
        <v>1153</v>
      </c>
      <c r="C217" s="9" t="inlineStr">
        <is>
          <t>String Transforms Into Another String</t>
        </is>
      </c>
      <c r="D217" s="13" t="inlineStr">
        <is>
          <t>Hard</t>
        </is>
      </c>
      <c r="E217" s="4" t="inlineStr">
        <is>
          <t>Graph: General BFS/DFS</t>
        </is>
      </c>
      <c r="F217" s="4" t="inlineStr">
        <is>
          <t>Mapping graph cycles</t>
        </is>
      </c>
      <c r="G217" s="4" t="inlineStr">
        <is>
          <t>Graphs</t>
        </is>
      </c>
      <c r="H217" s="4" t="inlineStr">
        <is>
          <t>hash-table, string, graph</t>
        </is>
      </c>
      <c r="I217" s="4" t="inlineStr">
        <is>
          <t>Solved</t>
        </is>
      </c>
      <c r="J217" s="11" t="n">
        <v>45067.75612268518</v>
      </c>
      <c r="K217" s="11" t="n">
        <v>45069.59862268518</v>
      </c>
      <c r="L217" s="11" t="n">
        <v>45069.59862268518</v>
      </c>
      <c r="M217" s="4" t="n">
        <v>3</v>
      </c>
      <c r="N217" s="4" t="n">
        <v>1</v>
      </c>
      <c r="O217" s="4" t="n">
        <v>2</v>
      </c>
      <c r="P217" s="4">
        <f>IF(AND(N217&gt;0,O217=0),"Yes","No")</f>
        <v/>
      </c>
      <c r="Q217" s="4" t="n">
        <v>2</v>
      </c>
      <c r="R217" s="4" t="n">
        <v>0</v>
      </c>
      <c r="S217" s="4" t="n">
        <v>0</v>
      </c>
      <c r="T217" s="4" t="inlineStr">
        <is>
          <t>C++</t>
        </is>
      </c>
      <c r="U217" s="4" t="n">
        <v>89.2</v>
      </c>
      <c r="V217" s="9" t="inlineStr">
        <is>
          <t>Submission 955672846</t>
        </is>
      </c>
      <c r="W217" s="9" t="inlineStr">
        <is>
          <t>Open code</t>
        </is>
      </c>
      <c r="X217" s="4" t="n">
        <v>0</v>
      </c>
      <c r="Y217" s="4" t="inlineStr">
        <is>
          <t>2023-05</t>
        </is>
      </c>
    </row>
    <row r="218">
      <c r="A218" s="4" t="n">
        <v>217</v>
      </c>
      <c r="B218" s="4" t="n">
        <v>560</v>
      </c>
      <c r="C218" s="9" t="inlineStr">
        <is>
          <t>Subarray Sum Equals K</t>
        </is>
      </c>
      <c r="D218" s="12" t="inlineStr">
        <is>
          <t>Medium</t>
        </is>
      </c>
      <c r="E218" s="4" t="inlineStr">
        <is>
          <t>Prefix Sum &amp; Difference Array</t>
        </is>
      </c>
      <c r="F218" s="4" t="inlineStr">
        <is>
          <t>Prefix sum + hash map</t>
        </is>
      </c>
      <c r="G218" s="4" t="inlineStr">
        <is>
          <t>Arrays &amp; Strings</t>
        </is>
      </c>
      <c r="H218" s="4" t="inlineStr">
        <is>
          <t>array, hash-table, prefix-sum</t>
        </is>
      </c>
      <c r="I218" s="4" t="inlineStr">
        <is>
          <t>Solved</t>
        </is>
      </c>
      <c r="J218" s="11" t="n">
        <v>45068.47322916667</v>
      </c>
      <c r="K218" s="11" t="n">
        <v>45068.47322916667</v>
      </c>
      <c r="L218" s="11" t="n">
        <v>45845.96380787037</v>
      </c>
      <c r="M218" s="4" t="n">
        <v>4</v>
      </c>
      <c r="N218" s="4" t="n">
        <v>4</v>
      </c>
      <c r="O218" s="4" t="n">
        <v>0</v>
      </c>
      <c r="P218" s="4">
        <f>IF(AND(N218&gt;0,O218=0),"Yes","No")</f>
        <v/>
      </c>
      <c r="Q218" s="4" t="n">
        <v>0</v>
      </c>
      <c r="R218" s="4" t="n">
        <v>0</v>
      </c>
      <c r="S218" s="4" t="n">
        <v>0</v>
      </c>
      <c r="T218" s="4" t="inlineStr">
        <is>
          <t>C++, Python3</t>
        </is>
      </c>
      <c r="U218" s="4" t="n">
        <v>90.5</v>
      </c>
      <c r="V218" s="9" t="inlineStr">
        <is>
          <t>Submission 1689878099</t>
        </is>
      </c>
      <c r="W218" s="9" t="inlineStr">
        <is>
          <t>Open code</t>
        </is>
      </c>
      <c r="X218" s="4" t="n">
        <v>1</v>
      </c>
      <c r="Y218" s="4" t="inlineStr">
        <is>
          <t>2023-05</t>
        </is>
      </c>
    </row>
    <row r="219">
      <c r="A219" s="4" t="n">
        <v>218</v>
      </c>
      <c r="B219" s="4" t="n">
        <v>35</v>
      </c>
      <c r="C219" s="9" t="inlineStr">
        <is>
          <t>Search Insert Position</t>
        </is>
      </c>
      <c r="D219" s="10" t="inlineStr">
        <is>
          <t>Easy</t>
        </is>
      </c>
      <c r="E219" s="4" t="inlineStr">
        <is>
          <t>Binary Search</t>
        </is>
      </c>
      <c r="F219" s="4" t="inlineStr">
        <is>
          <t>Lower bound</t>
        </is>
      </c>
      <c r="G219" s="4" t="inlineStr">
        <is>
          <t>Searching</t>
        </is>
      </c>
      <c r="H219" s="4" t="inlineStr">
        <is>
          <t>array, binary-search</t>
        </is>
      </c>
      <c r="I219" s="4" t="inlineStr">
        <is>
          <t>Solved</t>
        </is>
      </c>
      <c r="J219" s="11" t="n">
        <v>45068.52625</v>
      </c>
      <c r="K219" s="11" t="n">
        <v>45068.52625</v>
      </c>
      <c r="L219" s="11" t="n">
        <v>45068.52625</v>
      </c>
      <c r="M219" s="4" t="n">
        <v>1</v>
      </c>
      <c r="N219" s="4" t="n">
        <v>1</v>
      </c>
      <c r="O219" s="4" t="n">
        <v>0</v>
      </c>
      <c r="P219" s="4">
        <f>IF(AND(N219&gt;0,O219=0),"Yes","No")</f>
        <v/>
      </c>
      <c r="Q219" s="4" t="n">
        <v>0</v>
      </c>
      <c r="R219" s="4" t="n">
        <v>0</v>
      </c>
      <c r="S219" s="4" t="n">
        <v>0</v>
      </c>
      <c r="T219" s="4" t="inlineStr">
        <is>
          <t>C++</t>
        </is>
      </c>
      <c r="U219" s="4" t="n">
        <v>0.4</v>
      </c>
      <c r="V219" s="9" t="inlineStr">
        <is>
          <t>Submission 954943868</t>
        </is>
      </c>
      <c r="W219" s="9" t="inlineStr">
        <is>
          <t>Open code</t>
        </is>
      </c>
      <c r="X219" s="4" t="n">
        <v>0</v>
      </c>
      <c r="Y219" s="4" t="inlineStr">
        <is>
          <t>2023-05</t>
        </is>
      </c>
    </row>
    <row r="220">
      <c r="A220" s="4" t="n">
        <v>219</v>
      </c>
      <c r="B220" s="4" t="n">
        <v>744</v>
      </c>
      <c r="C220" s="9" t="inlineStr">
        <is>
          <t>Find Smallest Letter Greater Than Target</t>
        </is>
      </c>
      <c r="D220" s="10" t="inlineStr">
        <is>
          <t>Easy</t>
        </is>
      </c>
      <c r="E220" s="4" t="inlineStr">
        <is>
          <t>Binary Search</t>
        </is>
      </c>
      <c r="F220" s="4" t="inlineStr">
        <is>
          <t>Upper bound</t>
        </is>
      </c>
      <c r="G220" s="4" t="inlineStr">
        <is>
          <t>Searching</t>
        </is>
      </c>
      <c r="H220" s="4" t="inlineStr">
        <is>
          <t>array, binary-search</t>
        </is>
      </c>
      <c r="I220" s="4" t="inlineStr">
        <is>
          <t>Solved</t>
        </is>
      </c>
      <c r="J220" s="11" t="n">
        <v>45068.53961805555</v>
      </c>
      <c r="K220" s="11" t="n">
        <v>45068.53961805555</v>
      </c>
      <c r="L220" s="11" t="n">
        <v>45068.54667824074</v>
      </c>
      <c r="M220" s="4" t="n">
        <v>3</v>
      </c>
      <c r="N220" s="4" t="n">
        <v>2</v>
      </c>
      <c r="O220" s="4" t="n">
        <v>0</v>
      </c>
      <c r="P220" s="4">
        <f>IF(AND(N220&gt;0,O220=0),"Yes","No")</f>
        <v/>
      </c>
      <c r="Q220" s="4" t="n">
        <v>0</v>
      </c>
      <c r="R220" s="4" t="n">
        <v>0</v>
      </c>
      <c r="S220" s="4" t="n">
        <v>0</v>
      </c>
      <c r="T220" s="4" t="inlineStr">
        <is>
          <t>C++</t>
        </is>
      </c>
      <c r="U220" s="4" t="n">
        <v>0.2</v>
      </c>
      <c r="V220" s="9" t="inlineStr">
        <is>
          <t>Submission 954958311</t>
        </is>
      </c>
      <c r="W220" s="9" t="inlineStr">
        <is>
          <t>Open code</t>
        </is>
      </c>
      <c r="X220" s="4" t="n">
        <v>0</v>
      </c>
      <c r="Y220" s="4" t="inlineStr">
        <is>
          <t>2023-05</t>
        </is>
      </c>
    </row>
    <row r="221">
      <c r="A221" s="4" t="n">
        <v>220</v>
      </c>
      <c r="B221" s="4" t="n">
        <v>852</v>
      </c>
      <c r="C221" s="9" t="inlineStr">
        <is>
          <t>Peak Index in a Mountain Array</t>
        </is>
      </c>
      <c r="D221" s="12" t="inlineStr">
        <is>
          <t>Medium</t>
        </is>
      </c>
      <c r="E221" s="4" t="inlineStr">
        <is>
          <t>Binary Search</t>
        </is>
      </c>
      <c r="F221" s="4" t="inlineStr">
        <is>
          <t>Peak</t>
        </is>
      </c>
      <c r="G221" s="4" t="inlineStr">
        <is>
          <t>Searching</t>
        </is>
      </c>
      <c r="H221" s="4" t="inlineStr">
        <is>
          <t>array, binary-search, ternary-search</t>
        </is>
      </c>
      <c r="I221" s="4" t="inlineStr">
        <is>
          <t>Solved</t>
        </is>
      </c>
      <c r="J221" s="11" t="n">
        <v>45068.59052083334</v>
      </c>
      <c r="K221" s="11" t="n">
        <v>45068.59171296296</v>
      </c>
      <c r="L221" s="11" t="n">
        <v>45068.60503472222</v>
      </c>
      <c r="M221" s="4" t="n">
        <v>6</v>
      </c>
      <c r="N221" s="4" t="n">
        <v>5</v>
      </c>
      <c r="O221" s="4" t="n">
        <v>1</v>
      </c>
      <c r="P221" s="4">
        <f>IF(AND(N221&gt;0,O221=0),"Yes","No")</f>
        <v/>
      </c>
      <c r="Q221" s="4" t="n">
        <v>0</v>
      </c>
      <c r="R221" s="4" t="n">
        <v>1</v>
      </c>
      <c r="S221" s="4" t="n">
        <v>0</v>
      </c>
      <c r="T221" s="4" t="inlineStr">
        <is>
          <t>C++</t>
        </is>
      </c>
      <c r="U221" s="4" t="n">
        <v>0.4</v>
      </c>
      <c r="V221" s="9" t="inlineStr">
        <is>
          <t>Submission 954997100</t>
        </is>
      </c>
      <c r="W221" s="9" t="inlineStr">
        <is>
          <t>Open code</t>
        </is>
      </c>
      <c r="X221" s="4" t="n">
        <v>0</v>
      </c>
      <c r="Y221" s="4" t="inlineStr">
        <is>
          <t>2023-05</t>
        </is>
      </c>
    </row>
    <row r="222">
      <c r="A222" s="4" t="n">
        <v>221</v>
      </c>
      <c r="B222" s="4" t="n">
        <v>1095</v>
      </c>
      <c r="C222" s="9" t="inlineStr">
        <is>
          <t>Find in Mountain Array</t>
        </is>
      </c>
      <c r="D222" s="13" t="inlineStr">
        <is>
          <t>Hard</t>
        </is>
      </c>
      <c r="E222" s="4" t="inlineStr">
        <is>
          <t>Binary Search</t>
        </is>
      </c>
      <c r="F222" s="4" t="inlineStr">
        <is>
          <t>Peak + two searches</t>
        </is>
      </c>
      <c r="G222" s="4" t="inlineStr">
        <is>
          <t>Searching</t>
        </is>
      </c>
      <c r="H222" s="4" t="inlineStr">
        <is>
          <t>array, binary-search, interactive, ternary-search</t>
        </is>
      </c>
      <c r="I222" s="4" t="inlineStr">
        <is>
          <t>Solved</t>
        </is>
      </c>
      <c r="J222" s="11" t="n">
        <v>45068.61585648148</v>
      </c>
      <c r="K222" s="11" t="n">
        <v>45068.61965277778</v>
      </c>
      <c r="L222" s="11" t="n">
        <v>45298.195</v>
      </c>
      <c r="M222" s="4" t="n">
        <v>8</v>
      </c>
      <c r="N222" s="4" t="n">
        <v>6</v>
      </c>
      <c r="O222" s="4" t="n">
        <v>1</v>
      </c>
      <c r="P222" s="4">
        <f>IF(AND(N222&gt;0,O222=0),"Yes","No")</f>
        <v/>
      </c>
      <c r="Q222" s="4" t="n">
        <v>1</v>
      </c>
      <c r="R222" s="4" t="n">
        <v>0</v>
      </c>
      <c r="S222" s="4" t="n">
        <v>0</v>
      </c>
      <c r="T222" s="4" t="inlineStr">
        <is>
          <t>C++, Python3</t>
        </is>
      </c>
      <c r="U222" s="4" t="n">
        <v>94.8</v>
      </c>
      <c r="V222" s="9" t="inlineStr">
        <is>
          <t>Submission 1138956729</t>
        </is>
      </c>
      <c r="W222" s="9" t="inlineStr">
        <is>
          <t>Open code</t>
        </is>
      </c>
      <c r="X222" s="4" t="n">
        <v>0</v>
      </c>
      <c r="Y222" s="4" t="inlineStr">
        <is>
          <t>2023-05</t>
        </is>
      </c>
    </row>
    <row r="223">
      <c r="A223" s="4" t="n">
        <v>222</v>
      </c>
      <c r="B223" s="4" t="n">
        <v>162</v>
      </c>
      <c r="C223" s="9" t="inlineStr">
        <is>
          <t>Find Peak Element</t>
        </is>
      </c>
      <c r="D223" s="12" t="inlineStr">
        <is>
          <t>Medium</t>
        </is>
      </c>
      <c r="E223" s="4" t="inlineStr">
        <is>
          <t>Binary Search</t>
        </is>
      </c>
      <c r="F223" s="4" t="inlineStr">
        <is>
          <t>Peak</t>
        </is>
      </c>
      <c r="G223" s="4" t="inlineStr">
        <is>
          <t>Searching</t>
        </is>
      </c>
      <c r="H223" s="4" t="inlineStr">
        <is>
          <t>array, binary-search</t>
        </is>
      </c>
      <c r="I223" s="4" t="inlineStr">
        <is>
          <t>Solved</t>
        </is>
      </c>
      <c r="J223" s="11" t="n">
        <v>45068.62157407407</v>
      </c>
      <c r="K223" s="11" t="n">
        <v>45068.62157407407</v>
      </c>
      <c r="L223" s="11" t="n">
        <v>45328.23423611111</v>
      </c>
      <c r="M223" s="4" t="n">
        <v>7</v>
      </c>
      <c r="N223" s="4" t="n">
        <v>6</v>
      </c>
      <c r="O223" s="4" t="n">
        <v>0</v>
      </c>
      <c r="P223" s="4">
        <f>IF(AND(N223&gt;0,O223=0),"Yes","No")</f>
        <v/>
      </c>
      <c r="Q223" s="4" t="n">
        <v>0</v>
      </c>
      <c r="R223" s="4" t="n">
        <v>0</v>
      </c>
      <c r="S223" s="4" t="n">
        <v>0</v>
      </c>
      <c r="T223" s="4" t="inlineStr">
        <is>
          <t>C++, Python3</t>
        </is>
      </c>
      <c r="U223" s="4" t="n">
        <v>0.3</v>
      </c>
      <c r="V223" s="9" t="inlineStr">
        <is>
          <t>Submission 1167286757</t>
        </is>
      </c>
      <c r="W223" s="9" t="inlineStr">
        <is>
          <t>Open code</t>
        </is>
      </c>
      <c r="X223" s="4" t="n">
        <v>8</v>
      </c>
      <c r="Y223" s="4" t="inlineStr">
        <is>
          <t>2023-05</t>
        </is>
      </c>
    </row>
    <row r="224">
      <c r="A224" s="4" t="n">
        <v>223</v>
      </c>
      <c r="B224" s="4" t="n">
        <v>81</v>
      </c>
      <c r="C224" s="9" t="inlineStr">
        <is>
          <t>Search in Rotated Sorted Array II</t>
        </is>
      </c>
      <c r="D224" s="12" t="inlineStr">
        <is>
          <t>Medium</t>
        </is>
      </c>
      <c r="E224" s="4" t="inlineStr">
        <is>
          <t>Binary Search</t>
        </is>
      </c>
      <c r="F224" s="4" t="inlineStr">
        <is>
          <t>Rotated with duplicates</t>
        </is>
      </c>
      <c r="G224" s="4" t="inlineStr">
        <is>
          <t>Searching</t>
        </is>
      </c>
      <c r="H224" s="4" t="inlineStr">
        <is>
          <t>array, binary-search</t>
        </is>
      </c>
      <c r="I224" s="4" t="inlineStr">
        <is>
          <t>Solved</t>
        </is>
      </c>
      <c r="J224" s="11" t="n">
        <v>45068.68234953703</v>
      </c>
      <c r="K224" s="11" t="n">
        <v>45068.70945601852</v>
      </c>
      <c r="L224" s="11" t="n">
        <v>45068.70945601852</v>
      </c>
      <c r="M224" s="4" t="n">
        <v>6</v>
      </c>
      <c r="N224" s="4" t="n">
        <v>1</v>
      </c>
      <c r="O224" s="4" t="n">
        <v>5</v>
      </c>
      <c r="P224" s="4">
        <f>IF(AND(N224&gt;0,O224=0),"Yes","No")</f>
        <v/>
      </c>
      <c r="Q224" s="4" t="n">
        <v>3</v>
      </c>
      <c r="R224" s="4" t="n">
        <v>0</v>
      </c>
      <c r="S224" s="4" t="n">
        <v>2</v>
      </c>
      <c r="T224" s="4" t="inlineStr">
        <is>
          <t>C++</t>
        </is>
      </c>
      <c r="U224" s="4" t="n">
        <v>0.6</v>
      </c>
      <c r="V224" s="9" t="inlineStr">
        <is>
          <t>Submission 955068317</t>
        </is>
      </c>
      <c r="W224" s="9" t="inlineStr">
        <is>
          <t>Open code</t>
        </is>
      </c>
      <c r="X224" s="4" t="n">
        <v>5</v>
      </c>
      <c r="Y224" s="4" t="inlineStr">
        <is>
          <t>2023-05</t>
        </is>
      </c>
    </row>
    <row r="225">
      <c r="A225" s="4" t="n">
        <v>224</v>
      </c>
      <c r="B225" s="4" t="n">
        <v>153</v>
      </c>
      <c r="C225" s="9" t="inlineStr">
        <is>
          <t>Find Minimum in Rotated Sorted Array</t>
        </is>
      </c>
      <c r="D225" s="12" t="inlineStr">
        <is>
          <t>Medium</t>
        </is>
      </c>
      <c r="E225" s="4" t="inlineStr">
        <is>
          <t>Binary Search</t>
        </is>
      </c>
      <c r="F225" s="4" t="inlineStr">
        <is>
          <t>Rotated minimum</t>
        </is>
      </c>
      <c r="G225" s="4" t="inlineStr">
        <is>
          <t>Searching</t>
        </is>
      </c>
      <c r="H225" s="4" t="inlineStr">
        <is>
          <t>array, binary-search</t>
        </is>
      </c>
      <c r="I225" s="4" t="inlineStr">
        <is>
          <t>Solved</t>
        </is>
      </c>
      <c r="J225" s="11" t="n">
        <v>45068.74005787037</v>
      </c>
      <c r="K225" s="11" t="n">
        <v>45068.74005787037</v>
      </c>
      <c r="L225" s="11" t="n">
        <v>45738.63180555555</v>
      </c>
      <c r="M225" s="4" t="n">
        <v>5</v>
      </c>
      <c r="N225" s="4" t="n">
        <v>5</v>
      </c>
      <c r="O225" s="4" t="n">
        <v>0</v>
      </c>
      <c r="P225" s="4">
        <f>IF(AND(N225&gt;0,O225=0),"Yes","No")</f>
        <v/>
      </c>
      <c r="Q225" s="4" t="n">
        <v>0</v>
      </c>
      <c r="R225" s="4" t="n">
        <v>0</v>
      </c>
      <c r="S225" s="4" t="n">
        <v>0</v>
      </c>
      <c r="T225" s="4" t="inlineStr">
        <is>
          <t>C++</t>
        </is>
      </c>
      <c r="U225" s="4" t="n">
        <v>100</v>
      </c>
      <c r="V225" s="9" t="inlineStr">
        <is>
          <t>Submission 1582142227</t>
        </is>
      </c>
      <c r="W225" s="9" t="inlineStr">
        <is>
          <t>Open code</t>
        </is>
      </c>
      <c r="X225" s="4" t="n">
        <v>4</v>
      </c>
      <c r="Y225" s="4" t="inlineStr">
        <is>
          <t>2023-05</t>
        </is>
      </c>
    </row>
    <row r="226">
      <c r="A226" s="4" t="n">
        <v>225</v>
      </c>
      <c r="B226" s="4" t="n">
        <v>410</v>
      </c>
      <c r="C226" s="9" t="inlineStr">
        <is>
          <t>Split Array Largest Sum</t>
        </is>
      </c>
      <c r="D226" s="13" t="inlineStr">
        <is>
          <t>Hard</t>
        </is>
      </c>
      <c r="E226" s="4" t="inlineStr">
        <is>
          <t>Binary Search on Answer</t>
        </is>
      </c>
      <c r="F226" s="4" t="inlineStr">
        <is>
          <t>Minimise the max partition</t>
        </is>
      </c>
      <c r="G226" s="4" t="inlineStr">
        <is>
          <t>Searching</t>
        </is>
      </c>
      <c r="H226" s="4" t="inlineStr">
        <is>
          <t>array, binary-search, dynamic-programming, greedy, prefix-sum</t>
        </is>
      </c>
      <c r="I226" s="4" t="inlineStr">
        <is>
          <t>Solved</t>
        </is>
      </c>
      <c r="J226" s="11" t="n">
        <v>45068.78184027778</v>
      </c>
      <c r="K226" s="11" t="n">
        <v>45068.78184027778</v>
      </c>
      <c r="L226" s="11" t="n">
        <v>45068.80427083333</v>
      </c>
      <c r="M226" s="4" t="n">
        <v>4</v>
      </c>
      <c r="N226" s="4" t="n">
        <v>3</v>
      </c>
      <c r="O226" s="4" t="n">
        <v>0</v>
      </c>
      <c r="P226" s="4">
        <f>IF(AND(N226&gt;0,O226=0),"Yes","No")</f>
        <v/>
      </c>
      <c r="Q226" s="4" t="n">
        <v>0</v>
      </c>
      <c r="R226" s="4" t="n">
        <v>0</v>
      </c>
      <c r="S226" s="4" t="n">
        <v>0</v>
      </c>
      <c r="T226" s="4" t="inlineStr">
        <is>
          <t>C++</t>
        </is>
      </c>
      <c r="U226" s="4" t="n">
        <v>100</v>
      </c>
      <c r="V226" s="9" t="inlineStr">
        <is>
          <t>Submission 955134998</t>
        </is>
      </c>
      <c r="W226" s="9" t="inlineStr">
        <is>
          <t>Open code</t>
        </is>
      </c>
      <c r="X226" s="4" t="n">
        <v>1</v>
      </c>
      <c r="Y226" s="4" t="inlineStr">
        <is>
          <t>2023-05</t>
        </is>
      </c>
    </row>
    <row r="227">
      <c r="A227" s="4" t="n">
        <v>226</v>
      </c>
      <c r="B227" s="4" t="n">
        <v>21</v>
      </c>
      <c r="C227" s="9" t="inlineStr">
        <is>
          <t>Merge Two Sorted Lists</t>
        </is>
      </c>
      <c r="D227" s="10" t="inlineStr">
        <is>
          <t>Easy</t>
        </is>
      </c>
      <c r="E227" s="4" t="inlineStr">
        <is>
          <t>Linked List</t>
        </is>
      </c>
      <c r="F227" s="4" t="inlineStr">
        <is>
          <t>Merge</t>
        </is>
      </c>
      <c r="G227" s="4" t="inlineStr">
        <is>
          <t>Linked List</t>
        </is>
      </c>
      <c r="H227" s="4" t="inlineStr">
        <is>
          <t>linked-list, recursion</t>
        </is>
      </c>
      <c r="I227" s="4" t="inlineStr">
        <is>
          <t>Solved</t>
        </is>
      </c>
      <c r="J227" s="11" t="n">
        <v>45069.4267824074</v>
      </c>
      <c r="K227" s="11" t="n">
        <v>45069.4267824074</v>
      </c>
      <c r="L227" s="11" t="n">
        <v>45739.69313657407</v>
      </c>
      <c r="M227" s="4" t="n">
        <v>3</v>
      </c>
      <c r="N227" s="4" t="n">
        <v>3</v>
      </c>
      <c r="O227" s="4" t="n">
        <v>0</v>
      </c>
      <c r="P227" s="4">
        <f>IF(AND(N227&gt;0,O227=0),"Yes","No")</f>
        <v/>
      </c>
      <c r="Q227" s="4" t="n">
        <v>0</v>
      </c>
      <c r="R227" s="4" t="n">
        <v>0</v>
      </c>
      <c r="S227" s="4" t="n">
        <v>0</v>
      </c>
      <c r="T227" s="4" t="inlineStr">
        <is>
          <t>C++</t>
        </is>
      </c>
      <c r="U227" s="4" t="n">
        <v>100</v>
      </c>
      <c r="V227" s="9" t="inlineStr">
        <is>
          <t>Submission 1583232564</t>
        </is>
      </c>
      <c r="W227" s="9" t="inlineStr">
        <is>
          <t>Open code</t>
        </is>
      </c>
      <c r="X227" s="4" t="n">
        <v>5</v>
      </c>
      <c r="Y227" s="4" t="inlineStr">
        <is>
          <t>2023-05</t>
        </is>
      </c>
    </row>
    <row r="228">
      <c r="A228" s="4" t="n">
        <v>227</v>
      </c>
      <c r="B228" s="4" t="n">
        <v>849</v>
      </c>
      <c r="C228" s="9" t="inlineStr">
        <is>
          <t>Maximize Distance to Closest Person</t>
        </is>
      </c>
      <c r="D228" s="12" t="inlineStr">
        <is>
          <t>Medium</t>
        </is>
      </c>
      <c r="E228" s="4" t="inlineStr">
        <is>
          <t>Arrays, Hashing &amp; Sorting</t>
        </is>
      </c>
      <c r="F228" s="4" t="inlineStr">
        <is>
          <t>Gap scan</t>
        </is>
      </c>
      <c r="G228" s="4" t="inlineStr">
        <is>
          <t>Arrays &amp; Strings</t>
        </is>
      </c>
      <c r="H228" s="4" t="inlineStr">
        <is>
          <t>array</t>
        </is>
      </c>
      <c r="I228" s="4" t="inlineStr">
        <is>
          <t>Solved</t>
        </is>
      </c>
      <c r="J228" s="11" t="n">
        <v>45069.57262731482</v>
      </c>
      <c r="K228" s="11" t="n">
        <v>45069.57262731482</v>
      </c>
      <c r="L228" s="11" t="n">
        <v>45069.57413194444</v>
      </c>
      <c r="M228" s="4" t="n">
        <v>2</v>
      </c>
      <c r="N228" s="4" t="n">
        <v>2</v>
      </c>
      <c r="O228" s="4" t="n">
        <v>0</v>
      </c>
      <c r="P228" s="4">
        <f>IF(AND(N228&gt;0,O228=0),"Yes","No")</f>
        <v/>
      </c>
      <c r="Q228" s="4" t="n">
        <v>0</v>
      </c>
      <c r="R228" s="4" t="n">
        <v>0</v>
      </c>
      <c r="S228" s="4" t="n">
        <v>0</v>
      </c>
      <c r="T228" s="4" t="inlineStr">
        <is>
          <t>C++</t>
        </is>
      </c>
      <c r="U228" s="4" t="n">
        <v>6.5</v>
      </c>
      <c r="V228" s="9" t="inlineStr">
        <is>
          <t>Submission 955656576</t>
        </is>
      </c>
      <c r="W228" s="9" t="inlineStr">
        <is>
          <t>Open code</t>
        </is>
      </c>
      <c r="X228" s="4" t="n">
        <v>0</v>
      </c>
      <c r="Y228" s="4" t="inlineStr">
        <is>
          <t>2023-05</t>
        </is>
      </c>
    </row>
    <row r="229">
      <c r="A229" s="4" t="n">
        <v>228</v>
      </c>
      <c r="B229" s="4" t="n">
        <v>297</v>
      </c>
      <c r="C229" s="9" t="inlineStr">
        <is>
          <t>Serialize and Deserialize Binary Tree</t>
        </is>
      </c>
      <c r="D229" s="13" t="inlineStr">
        <is>
          <t>Hard</t>
        </is>
      </c>
      <c r="E229" s="4" t="inlineStr">
        <is>
          <t>Binary Tree (DFS &amp; Recursion)</t>
        </is>
      </c>
      <c r="F229" s="4" t="inlineStr">
        <is>
          <t>Serialization</t>
        </is>
      </c>
      <c r="G229" s="4" t="inlineStr">
        <is>
          <t>Trees</t>
        </is>
      </c>
      <c r="H229" s="4" t="inlineStr">
        <is>
          <t>string, tree, depth-first-search, breadth-first-search, design, binary-tree</t>
        </is>
      </c>
      <c r="I229" s="4" t="inlineStr">
        <is>
          <t>Solved</t>
        </is>
      </c>
      <c r="J229" s="11" t="n">
        <v>45069.58671296296</v>
      </c>
      <c r="K229" s="11" t="n">
        <v>45069.58671296296</v>
      </c>
      <c r="L229" s="11" t="n">
        <v>45289.24421296296</v>
      </c>
      <c r="M229" s="4" t="n">
        <v>3</v>
      </c>
      <c r="N229" s="4" t="n">
        <v>3</v>
      </c>
      <c r="O229" s="4" t="n">
        <v>0</v>
      </c>
      <c r="P229" s="4">
        <f>IF(AND(N229&gt;0,O229=0),"Yes","No")</f>
        <v/>
      </c>
      <c r="Q229" s="4" t="n">
        <v>0</v>
      </c>
      <c r="R229" s="4" t="n">
        <v>0</v>
      </c>
      <c r="S229" s="4" t="n">
        <v>0</v>
      </c>
      <c r="T229" s="4" t="inlineStr">
        <is>
          <t>C++, Python3</t>
        </is>
      </c>
      <c r="U229" s="4" t="n">
        <v>60.8</v>
      </c>
      <c r="V229" s="9" t="inlineStr">
        <is>
          <t>Submission 1130969649</t>
        </is>
      </c>
      <c r="W229" s="9" t="inlineStr">
        <is>
          <t>Open code</t>
        </is>
      </c>
      <c r="X229" s="4" t="n">
        <v>0</v>
      </c>
      <c r="Y229" s="4" t="inlineStr">
        <is>
          <t>2023-05</t>
        </is>
      </c>
    </row>
    <row r="230">
      <c r="A230" s="4" t="n">
        <v>229</v>
      </c>
      <c r="B230" s="4" t="n">
        <v>205</v>
      </c>
      <c r="C230" s="9" t="inlineStr">
        <is>
          <t>Isomorphic Strings</t>
        </is>
      </c>
      <c r="D230" s="10" t="inlineStr">
        <is>
          <t>Easy</t>
        </is>
      </c>
      <c r="E230" s="4" t="inlineStr">
        <is>
          <t>Arrays, Hashing &amp; Sorting</t>
        </is>
      </c>
      <c r="F230" s="4" t="inlineStr">
        <is>
          <t>Two-way map</t>
        </is>
      </c>
      <c r="G230" s="4" t="inlineStr">
        <is>
          <t>Arrays &amp; Strings</t>
        </is>
      </c>
      <c r="H230" s="4" t="inlineStr">
        <is>
          <t>hash-table, string</t>
        </is>
      </c>
      <c r="I230" s="4" t="inlineStr">
        <is>
          <t>Solved</t>
        </is>
      </c>
      <c r="J230" s="11" t="n">
        <v>45069.58957175926</v>
      </c>
      <c r="K230" s="11" t="n">
        <v>45069.59167824074</v>
      </c>
      <c r="L230" s="11" t="n">
        <v>45069.63138888889</v>
      </c>
      <c r="M230" s="4" t="n">
        <v>3</v>
      </c>
      <c r="N230" s="4" t="n">
        <v>2</v>
      </c>
      <c r="O230" s="4" t="n">
        <v>1</v>
      </c>
      <c r="P230" s="4">
        <f>IF(AND(N230&gt;0,O230=0),"Yes","No")</f>
        <v/>
      </c>
      <c r="Q230" s="4" t="n">
        <v>1</v>
      </c>
      <c r="R230" s="4" t="n">
        <v>0</v>
      </c>
      <c r="S230" s="4" t="n">
        <v>0</v>
      </c>
      <c r="T230" s="4" t="inlineStr">
        <is>
          <t>C++</t>
        </is>
      </c>
      <c r="U230" s="4" t="n">
        <v>6.3</v>
      </c>
      <c r="V230" s="9" t="inlineStr">
        <is>
          <t>Submission 955695727</t>
        </is>
      </c>
      <c r="W230" s="9" t="inlineStr">
        <is>
          <t>Open code</t>
        </is>
      </c>
      <c r="X230" s="4" t="n">
        <v>0</v>
      </c>
      <c r="Y230" s="4" t="inlineStr">
        <is>
          <t>2023-05</t>
        </is>
      </c>
    </row>
    <row r="231">
      <c r="A231" s="4" t="n">
        <v>230</v>
      </c>
      <c r="B231" s="4" t="n">
        <v>448</v>
      </c>
      <c r="C231" s="9" t="inlineStr">
        <is>
          <t>Find All Numbers Disappeared in an Array</t>
        </is>
      </c>
      <c r="D231" s="10" t="inlineStr">
        <is>
          <t>Easy</t>
        </is>
      </c>
      <c r="E231" s="4" t="inlineStr">
        <is>
          <t>Arrays, Hashing &amp; Sorting</t>
        </is>
      </c>
      <c r="F231" s="4" t="inlineStr">
        <is>
          <t>Index marking</t>
        </is>
      </c>
      <c r="G231" s="4" t="inlineStr">
        <is>
          <t>Arrays &amp; Strings</t>
        </is>
      </c>
      <c r="H231" s="4" t="inlineStr">
        <is>
          <t>array, hash-table</t>
        </is>
      </c>
      <c r="I231" s="4" t="inlineStr">
        <is>
          <t>Solved</t>
        </is>
      </c>
      <c r="J231" s="11" t="n">
        <v>45070.35791666667</v>
      </c>
      <c r="K231" s="11" t="n">
        <v>45070.35791666667</v>
      </c>
      <c r="L231" s="11" t="n">
        <v>45070.35791666667</v>
      </c>
      <c r="M231" s="4" t="n">
        <v>1</v>
      </c>
      <c r="N231" s="4" t="n">
        <v>1</v>
      </c>
      <c r="O231" s="4" t="n">
        <v>0</v>
      </c>
      <c r="P231" s="4">
        <f>IF(AND(N231&gt;0,O231=0),"Yes","No")</f>
        <v/>
      </c>
      <c r="Q231" s="4" t="n">
        <v>0</v>
      </c>
      <c r="R231" s="4" t="n">
        <v>0</v>
      </c>
      <c r="S231" s="4" t="n">
        <v>0</v>
      </c>
      <c r="T231" s="4" t="inlineStr">
        <is>
          <t>C++</t>
        </is>
      </c>
      <c r="U231" s="4" t="n">
        <v>12.8</v>
      </c>
      <c r="V231" s="9" t="inlineStr">
        <is>
          <t>Submission 956174180</t>
        </is>
      </c>
      <c r="W231" s="9" t="inlineStr">
        <is>
          <t>Open code</t>
        </is>
      </c>
      <c r="X231" s="4" t="n">
        <v>0</v>
      </c>
      <c r="Y231" s="4" t="inlineStr">
        <is>
          <t>2023-05</t>
        </is>
      </c>
    </row>
    <row r="232">
      <c r="A232" s="4" t="n">
        <v>231</v>
      </c>
      <c r="B232" s="4" t="n">
        <v>287</v>
      </c>
      <c r="C232" s="9" t="inlineStr">
        <is>
          <t>Find the Duplicate Number</t>
        </is>
      </c>
      <c r="D232" s="12" t="inlineStr">
        <is>
          <t>Medium</t>
        </is>
      </c>
      <c r="E232" s="4" t="inlineStr">
        <is>
          <t>Two Pointers</t>
        </is>
      </c>
      <c r="F232" s="4" t="inlineStr">
        <is>
          <t>Floyd cycle detection</t>
        </is>
      </c>
      <c r="G232" s="4" t="inlineStr">
        <is>
          <t>Arrays &amp; Strings</t>
        </is>
      </c>
      <c r="H232" s="4" t="inlineStr">
        <is>
          <t>array, two-pointers, binary-search, bit-manipulation, pigeonhole-principle, floyds-cycle-finding-algorithm</t>
        </is>
      </c>
      <c r="I232" s="4" t="inlineStr">
        <is>
          <t>Solved</t>
        </is>
      </c>
      <c r="J232" s="11" t="n">
        <v>45070.3627662037</v>
      </c>
      <c r="K232" s="11" t="n">
        <v>45070.3627662037</v>
      </c>
      <c r="L232" s="11" t="n">
        <v>45070.3627662037</v>
      </c>
      <c r="M232" s="4" t="n">
        <v>1</v>
      </c>
      <c r="N232" s="4" t="n">
        <v>1</v>
      </c>
      <c r="O232" s="4" t="n">
        <v>0</v>
      </c>
      <c r="P232" s="4">
        <f>IF(AND(N232&gt;0,O232=0),"Yes","No")</f>
        <v/>
      </c>
      <c r="Q232" s="4" t="n">
        <v>0</v>
      </c>
      <c r="R232" s="4" t="n">
        <v>0</v>
      </c>
      <c r="S232" s="4" t="n">
        <v>0</v>
      </c>
      <c r="T232" s="4" t="inlineStr">
        <is>
          <t>C++</t>
        </is>
      </c>
      <c r="U232" s="4" t="n">
        <v>5</v>
      </c>
      <c r="V232" s="9" t="inlineStr">
        <is>
          <t>Submission 956176711</t>
        </is>
      </c>
      <c r="W232" s="9" t="inlineStr">
        <is>
          <t>Open code</t>
        </is>
      </c>
      <c r="X232" s="4" t="n">
        <v>2</v>
      </c>
      <c r="Y232" s="4" t="inlineStr">
        <is>
          <t>2023-05</t>
        </is>
      </c>
    </row>
    <row r="233">
      <c r="A233" s="4" t="n">
        <v>232</v>
      </c>
      <c r="B233" s="4" t="n">
        <v>442</v>
      </c>
      <c r="C233" s="9" t="inlineStr">
        <is>
          <t>Find All Duplicates in an Array</t>
        </is>
      </c>
      <c r="D233" s="12" t="inlineStr">
        <is>
          <t>Medium</t>
        </is>
      </c>
      <c r="E233" s="4" t="inlineStr">
        <is>
          <t>Arrays, Hashing &amp; Sorting</t>
        </is>
      </c>
      <c r="F233" s="4" t="inlineStr">
        <is>
          <t>Index marking</t>
        </is>
      </c>
      <c r="G233" s="4" t="inlineStr">
        <is>
          <t>Arrays &amp; Strings</t>
        </is>
      </c>
      <c r="H233" s="4" t="inlineStr">
        <is>
          <t>array, hash-table, sorting</t>
        </is>
      </c>
      <c r="I233" s="4" t="inlineStr">
        <is>
          <t>Solved</t>
        </is>
      </c>
      <c r="J233" s="11" t="n">
        <v>45070.36489583334</v>
      </c>
      <c r="K233" s="11" t="n">
        <v>45070.36489583334</v>
      </c>
      <c r="L233" s="11" t="n">
        <v>45070.36489583334</v>
      </c>
      <c r="M233" s="4" t="n">
        <v>1</v>
      </c>
      <c r="N233" s="4" t="n">
        <v>1</v>
      </c>
      <c r="O233" s="4" t="n">
        <v>0</v>
      </c>
      <c r="P233" s="4">
        <f>IF(AND(N233&gt;0,O233=0),"Yes","No")</f>
        <v/>
      </c>
      <c r="Q233" s="4" t="n">
        <v>0</v>
      </c>
      <c r="R233" s="4" t="n">
        <v>0</v>
      </c>
      <c r="S233" s="4" t="n">
        <v>0</v>
      </c>
      <c r="T233" s="4" t="inlineStr">
        <is>
          <t>C++</t>
        </is>
      </c>
      <c r="U233" s="4" t="n">
        <v>18</v>
      </c>
      <c r="V233" s="9" t="inlineStr">
        <is>
          <t>Submission 956177792</t>
        </is>
      </c>
      <c r="W233" s="9" t="inlineStr">
        <is>
          <t>Open code</t>
        </is>
      </c>
      <c r="X233" s="4" t="n">
        <v>0</v>
      </c>
      <c r="Y233" s="4" t="inlineStr">
        <is>
          <t>2023-05</t>
        </is>
      </c>
    </row>
    <row r="234">
      <c r="A234" s="4" t="n">
        <v>233</v>
      </c>
      <c r="B234" s="4" t="n">
        <v>645</v>
      </c>
      <c r="C234" s="9" t="inlineStr">
        <is>
          <t>Set Mismatch</t>
        </is>
      </c>
      <c r="D234" s="10" t="inlineStr">
        <is>
          <t>Easy</t>
        </is>
      </c>
      <c r="E234" s="4" t="inlineStr">
        <is>
          <t>Arrays, Hashing &amp; Sorting</t>
        </is>
      </c>
      <c r="F234" s="4" t="inlineStr">
        <is>
          <t>Index marking</t>
        </is>
      </c>
      <c r="G234" s="4" t="inlineStr">
        <is>
          <t>Arrays &amp; Strings</t>
        </is>
      </c>
      <c r="H234" s="4" t="inlineStr">
        <is>
          <t>array, hash-table, bit-manipulation, sorting</t>
        </is>
      </c>
      <c r="I234" s="4" t="inlineStr">
        <is>
          <t>Solved</t>
        </is>
      </c>
      <c r="J234" s="11" t="n">
        <v>45070.37226851852</v>
      </c>
      <c r="K234" s="11" t="n">
        <v>45070.37226851852</v>
      </c>
      <c r="L234" s="11" t="n">
        <v>45070.37226851852</v>
      </c>
      <c r="M234" s="4" t="n">
        <v>1</v>
      </c>
      <c r="N234" s="4" t="n">
        <v>1</v>
      </c>
      <c r="O234" s="4" t="n">
        <v>0</v>
      </c>
      <c r="P234" s="4">
        <f>IF(AND(N234&gt;0,O234=0),"Yes","No")</f>
        <v/>
      </c>
      <c r="Q234" s="4" t="n">
        <v>0</v>
      </c>
      <c r="R234" s="4" t="n">
        <v>0</v>
      </c>
      <c r="S234" s="4" t="n">
        <v>0</v>
      </c>
      <c r="T234" s="4" t="inlineStr">
        <is>
          <t>C++</t>
        </is>
      </c>
      <c r="U234" s="4" t="n">
        <v>16.8</v>
      </c>
      <c r="V234" s="9" t="inlineStr">
        <is>
          <t>Submission 956181760</t>
        </is>
      </c>
      <c r="W234" s="9" t="inlineStr">
        <is>
          <t>Open code</t>
        </is>
      </c>
      <c r="X234" s="4" t="n">
        <v>0</v>
      </c>
      <c r="Y234" s="4" t="inlineStr">
        <is>
          <t>2023-05</t>
        </is>
      </c>
    </row>
    <row r="235">
      <c r="A235" s="4" t="n">
        <v>234</v>
      </c>
      <c r="B235" s="4" t="n">
        <v>832</v>
      </c>
      <c r="C235" s="9" t="inlineStr">
        <is>
          <t>Flipping an Image</t>
        </is>
      </c>
      <c r="D235" s="10" t="inlineStr">
        <is>
          <t>Easy</t>
        </is>
      </c>
      <c r="E235" s="4" t="inlineStr">
        <is>
          <t>Two Pointers</t>
        </is>
      </c>
      <c r="F235" s="4" t="inlineStr">
        <is>
          <t>Reverse + invert</t>
        </is>
      </c>
      <c r="G235" s="4" t="inlineStr">
        <is>
          <t>Arrays &amp; Strings</t>
        </is>
      </c>
      <c r="H235" s="4" t="inlineStr">
        <is>
          <t>array, two-pointers, bit-manipulation, matrix, simulation</t>
        </is>
      </c>
      <c r="I235" s="4" t="inlineStr">
        <is>
          <t>Solved</t>
        </is>
      </c>
      <c r="J235" s="11" t="n">
        <v>45070.51024305556</v>
      </c>
      <c r="K235" s="11" t="n">
        <v>45070.51024305556</v>
      </c>
      <c r="L235" s="11" t="n">
        <v>45070.51024305556</v>
      </c>
      <c r="M235" s="4" t="n">
        <v>1</v>
      </c>
      <c r="N235" s="4" t="n">
        <v>1</v>
      </c>
      <c r="O235" s="4" t="n">
        <v>0</v>
      </c>
      <c r="P235" s="4">
        <f>IF(AND(N235&gt;0,O235=0),"Yes","No")</f>
        <v/>
      </c>
      <c r="Q235" s="4" t="n">
        <v>0</v>
      </c>
      <c r="R235" s="4" t="n">
        <v>0</v>
      </c>
      <c r="S235" s="4" t="n">
        <v>0</v>
      </c>
      <c r="T235" s="4" t="inlineStr">
        <is>
          <t>C++</t>
        </is>
      </c>
      <c r="U235" s="4" t="n">
        <v>0.6</v>
      </c>
      <c r="V235" s="9" t="inlineStr">
        <is>
          <t>Submission 956272640</t>
        </is>
      </c>
      <c r="W235" s="9" t="inlineStr">
        <is>
          <t>Open code</t>
        </is>
      </c>
      <c r="X235" s="4" t="n">
        <v>0</v>
      </c>
      <c r="Y235" s="4" t="inlineStr">
        <is>
          <t>2023-05</t>
        </is>
      </c>
    </row>
    <row r="236">
      <c r="A236" s="4" t="n">
        <v>235</v>
      </c>
      <c r="B236" s="4" t="n">
        <v>124</v>
      </c>
      <c r="C236" s="9" t="inlineStr">
        <is>
          <t>Binary Tree Maximum Path Sum</t>
        </is>
      </c>
      <c r="D236" s="13" t="inlineStr">
        <is>
          <t>Hard</t>
        </is>
      </c>
      <c r="E236" s="4" t="inlineStr">
        <is>
          <t>DP: On Trees</t>
        </is>
      </c>
      <c r="F236" s="4" t="inlineStr">
        <is>
          <t>Max gain</t>
        </is>
      </c>
      <c r="G236" s="4" t="inlineStr">
        <is>
          <t>Dynamic Programming</t>
        </is>
      </c>
      <c r="H236" s="4" t="inlineStr">
        <is>
          <t>dynamic-programming, tree, depth-first-search, binary-tree, dp-on-trees</t>
        </is>
      </c>
      <c r="I236" s="4" t="inlineStr">
        <is>
          <t>Solved</t>
        </is>
      </c>
      <c r="J236" s="11" t="n">
        <v>45218.75413194444</v>
      </c>
      <c r="K236" s="11" t="n">
        <v>45218.75413194444</v>
      </c>
      <c r="L236" s="11" t="n">
        <v>45777.58679398148</v>
      </c>
      <c r="M236" s="4" t="n">
        <v>10</v>
      </c>
      <c r="N236" s="4" t="n">
        <v>3</v>
      </c>
      <c r="O236" s="4" t="n">
        <v>0</v>
      </c>
      <c r="P236" s="4">
        <f>IF(AND(N236&gt;0,O236=0),"Yes","No")</f>
        <v/>
      </c>
      <c r="Q236" s="4" t="n">
        <v>0</v>
      </c>
      <c r="R236" s="4" t="n">
        <v>0</v>
      </c>
      <c r="S236" s="4" t="n">
        <v>0</v>
      </c>
      <c r="T236" s="4" t="inlineStr">
        <is>
          <t>C++, Python3</t>
        </is>
      </c>
      <c r="U236" s="4" t="n">
        <v>6.7</v>
      </c>
      <c r="V236" s="9" t="inlineStr">
        <is>
          <t>Submission 1621809992</t>
        </is>
      </c>
      <c r="W236" s="9" t="inlineStr">
        <is>
          <t>Open code</t>
        </is>
      </c>
      <c r="X236" s="4" t="n">
        <v>2</v>
      </c>
      <c r="Y236" s="4" t="inlineStr">
        <is>
          <t>2023-10</t>
        </is>
      </c>
    </row>
    <row r="237">
      <c r="A237" s="4" t="n">
        <v>236</v>
      </c>
      <c r="B237" s="4" t="n">
        <v>973</v>
      </c>
      <c r="C237" s="9" t="inlineStr">
        <is>
          <t>K Closest Points to Origin</t>
        </is>
      </c>
      <c r="D237" s="12" t="inlineStr">
        <is>
          <t>Medium</t>
        </is>
      </c>
      <c r="E237" s="4" t="inlineStr">
        <is>
          <t>Heap / Top-K</t>
        </is>
      </c>
      <c r="F237" s="4" t="inlineStr">
        <is>
          <t>Size-k max-heap</t>
        </is>
      </c>
      <c r="G237" s="4" t="inlineStr">
        <is>
          <t>Heaps &amp; Intervals</t>
        </is>
      </c>
      <c r="H237" s="4" t="inlineStr">
        <is>
          <t>array, math, divide-and-conquer, geometry, sorting, heap-priority-queue, quickselect, k-d-tree</t>
        </is>
      </c>
      <c r="I237" s="4" t="inlineStr">
        <is>
          <t>Solved</t>
        </is>
      </c>
      <c r="J237" s="11" t="n">
        <v>45243.12809027778</v>
      </c>
      <c r="K237" s="11" t="n">
        <v>45243.12809027778</v>
      </c>
      <c r="L237" s="11" t="n">
        <v>45822.91252314814</v>
      </c>
      <c r="M237" s="4" t="n">
        <v>25</v>
      </c>
      <c r="N237" s="4" t="n">
        <v>7</v>
      </c>
      <c r="O237" s="4" t="n">
        <v>0</v>
      </c>
      <c r="P237" s="4">
        <f>IF(AND(N237&gt;0,O237=0),"Yes","No")</f>
        <v/>
      </c>
      <c r="Q237" s="4" t="n">
        <v>0</v>
      </c>
      <c r="R237" s="4" t="n">
        <v>0</v>
      </c>
      <c r="S237" s="4" t="n">
        <v>0</v>
      </c>
      <c r="T237" s="4" t="inlineStr">
        <is>
          <t>C++, Python3</t>
        </is>
      </c>
      <c r="U237" s="4" t="n">
        <v>54.9</v>
      </c>
      <c r="V237" s="9" t="inlineStr">
        <is>
          <t>Submission 1664026000</t>
        </is>
      </c>
      <c r="W237" s="9" t="inlineStr">
        <is>
          <t>Open code</t>
        </is>
      </c>
      <c r="X237" s="4" t="n">
        <v>2</v>
      </c>
      <c r="Y237" s="4" t="inlineStr">
        <is>
          <t>2023-11</t>
        </is>
      </c>
    </row>
    <row r="238">
      <c r="A238" s="4" t="n">
        <v>237</v>
      </c>
      <c r="B238" s="4" t="n">
        <v>129</v>
      </c>
      <c r="C238" s="9" t="inlineStr">
        <is>
          <t>Sum Root to Leaf Numbers</t>
        </is>
      </c>
      <c r="D238" s="12" t="inlineStr">
        <is>
          <t>Medium</t>
        </is>
      </c>
      <c r="E238" s="4" t="inlineStr">
        <is>
          <t>Binary Tree (DFS &amp; Recursion)</t>
        </is>
      </c>
      <c r="F238" s="4" t="inlineStr">
        <is>
          <t>Path number DFS</t>
        </is>
      </c>
      <c r="G238" s="4" t="inlineStr">
        <is>
          <t>Trees</t>
        </is>
      </c>
      <c r="H238" s="4" t="inlineStr">
        <is>
          <t>tree, depth-first-search, binary-tree</t>
        </is>
      </c>
      <c r="I238" s="4" t="inlineStr">
        <is>
          <t>Solved</t>
        </is>
      </c>
      <c r="J238" s="11" t="n">
        <v>45243.92585648148</v>
      </c>
      <c r="K238" s="11" t="n">
        <v>45262.0979050926</v>
      </c>
      <c r="L238" s="11" t="n">
        <v>45822.91792824074</v>
      </c>
      <c r="M238" s="4" t="n">
        <v>11</v>
      </c>
      <c r="N238" s="4" t="n">
        <v>9</v>
      </c>
      <c r="O238" s="4" t="n">
        <v>2</v>
      </c>
      <c r="P238" s="4">
        <f>IF(AND(N238&gt;0,O238=0),"Yes","No")</f>
        <v/>
      </c>
      <c r="Q238" s="4" t="n">
        <v>0</v>
      </c>
      <c r="R238" s="4" t="n">
        <v>0</v>
      </c>
      <c r="S238" s="4" t="n">
        <v>2</v>
      </c>
      <c r="T238" s="4" t="inlineStr">
        <is>
          <t>C++, Python3</t>
        </is>
      </c>
      <c r="U238" s="4" t="n">
        <v>100</v>
      </c>
      <c r="V238" s="9" t="inlineStr">
        <is>
          <t>Submission 1664032755</t>
        </is>
      </c>
      <c r="W238" s="9" t="inlineStr">
        <is>
          <t>Open code</t>
        </is>
      </c>
      <c r="X238" s="4" t="n">
        <v>0</v>
      </c>
      <c r="Y238" s="4" t="inlineStr">
        <is>
          <t>2023-12</t>
        </is>
      </c>
    </row>
    <row r="239">
      <c r="A239" s="4" t="n">
        <v>238</v>
      </c>
      <c r="B239" s="4" t="n">
        <v>270</v>
      </c>
      <c r="C239" s="9" t="inlineStr">
        <is>
          <t>Closest Binary Search Tree Value</t>
        </is>
      </c>
      <c r="D239" s="10" t="inlineStr">
        <is>
          <t>Easy</t>
        </is>
      </c>
      <c r="E239" s="4" t="inlineStr">
        <is>
          <t>Binary Search Tree</t>
        </is>
      </c>
      <c r="F239" s="4" t="inlineStr">
        <is>
          <t>Guided descent</t>
        </is>
      </c>
      <c r="G239" s="4" t="inlineStr">
        <is>
          <t>Trees</t>
        </is>
      </c>
      <c r="H239" s="4" t="inlineStr">
        <is>
          <t>binary-search, tree, depth-first-search, binary-search-tree, binary-tree</t>
        </is>
      </c>
      <c r="I239" s="4" t="inlineStr">
        <is>
          <t>Solved</t>
        </is>
      </c>
      <c r="J239" s="11" t="n">
        <v>45247.13497685185</v>
      </c>
      <c r="K239" s="11" t="n">
        <v>45247.14107638889</v>
      </c>
      <c r="L239" s="11" t="n">
        <v>45375.58894675926</v>
      </c>
      <c r="M239" s="4" t="n">
        <v>21</v>
      </c>
      <c r="N239" s="4" t="n">
        <v>6</v>
      </c>
      <c r="O239" s="4" t="n">
        <v>6</v>
      </c>
      <c r="P239" s="4">
        <f>IF(AND(N239&gt;0,O239=0),"Yes","No")</f>
        <v/>
      </c>
      <c r="Q239" s="4" t="n">
        <v>5</v>
      </c>
      <c r="R239" s="4" t="n">
        <v>0</v>
      </c>
      <c r="S239" s="4" t="n">
        <v>1</v>
      </c>
      <c r="T239" s="4" t="inlineStr">
        <is>
          <t>C++, Python, Python3</t>
        </is>
      </c>
      <c r="U239" s="4" t="n">
        <v>7.1</v>
      </c>
      <c r="V239" s="9" t="inlineStr">
        <is>
          <t>Submission 1212430017</t>
        </is>
      </c>
      <c r="W239" s="9" t="inlineStr">
        <is>
          <t>Open code</t>
        </is>
      </c>
      <c r="X239" s="4" t="n">
        <v>1</v>
      </c>
      <c r="Y239" s="4" t="inlineStr">
        <is>
          <t>2023-11</t>
        </is>
      </c>
    </row>
    <row r="240">
      <c r="A240" s="4" t="n">
        <v>239</v>
      </c>
      <c r="B240" s="4" t="n">
        <v>50</v>
      </c>
      <c r="C240" s="9" t="inlineStr">
        <is>
          <t>Pow(x, n)</t>
        </is>
      </c>
      <c r="D240" s="12" t="inlineStr">
        <is>
          <t>Medium</t>
        </is>
      </c>
      <c r="E240" s="4" t="inlineStr">
        <is>
          <t>Math &amp; Bit Manipulation</t>
        </is>
      </c>
      <c r="F240" s="4" t="inlineStr">
        <is>
          <t>Fast power</t>
        </is>
      </c>
      <c r="G240" s="4" t="inlineStr">
        <is>
          <t>Arrays &amp; Strings</t>
        </is>
      </c>
      <c r="H240" s="4" t="inlineStr">
        <is>
          <t>math, recursion</t>
        </is>
      </c>
      <c r="I240" s="4" t="inlineStr">
        <is>
          <t>Solved</t>
        </is>
      </c>
      <c r="J240" s="11" t="n">
        <v>45252.86766203704</v>
      </c>
      <c r="K240" s="11" t="n">
        <v>45252.86766203704</v>
      </c>
      <c r="L240" s="11" t="n">
        <v>45823.03677083334</v>
      </c>
      <c r="M240" s="4" t="n">
        <v>10</v>
      </c>
      <c r="N240" s="4" t="n">
        <v>7</v>
      </c>
      <c r="O240" s="4" t="n">
        <v>0</v>
      </c>
      <c r="P240" s="4">
        <f>IF(AND(N240&gt;0,O240=0),"Yes","No")</f>
        <v/>
      </c>
      <c r="Q240" s="4" t="n">
        <v>0</v>
      </c>
      <c r="R240" s="4" t="n">
        <v>0</v>
      </c>
      <c r="S240" s="4" t="n">
        <v>0</v>
      </c>
      <c r="T240" s="4" t="inlineStr">
        <is>
          <t>C++, Python3</t>
        </is>
      </c>
      <c r="U240" s="4" t="n">
        <v>100</v>
      </c>
      <c r="V240" s="9" t="inlineStr">
        <is>
          <t>Submission 1664181690</t>
        </is>
      </c>
      <c r="W240" s="9" t="inlineStr">
        <is>
          <t>Open code</t>
        </is>
      </c>
      <c r="X240" s="4" t="n">
        <v>2</v>
      </c>
      <c r="Y240" s="4" t="inlineStr">
        <is>
          <t>2023-11</t>
        </is>
      </c>
    </row>
    <row r="241">
      <c r="A241" s="4" t="n">
        <v>240</v>
      </c>
      <c r="B241" s="4" t="n">
        <v>680</v>
      </c>
      <c r="C241" s="9" t="inlineStr">
        <is>
          <t>Valid Palindrome II</t>
        </is>
      </c>
      <c r="D241" s="10" t="inlineStr">
        <is>
          <t>Easy</t>
        </is>
      </c>
      <c r="E241" s="4" t="inlineStr">
        <is>
          <t>Two Pointers</t>
        </is>
      </c>
      <c r="F241" s="4" t="inlineStr">
        <is>
          <t>Skip one character</t>
        </is>
      </c>
      <c r="G241" s="4" t="inlineStr">
        <is>
          <t>Arrays &amp; Strings</t>
        </is>
      </c>
      <c r="H241" s="4" t="inlineStr">
        <is>
          <t>two-pointers, string, greedy</t>
        </is>
      </c>
      <c r="I241" s="4" t="inlineStr">
        <is>
          <t>Solved</t>
        </is>
      </c>
      <c r="J241" s="11" t="n">
        <v>45261.16629629629</v>
      </c>
      <c r="K241" s="11" t="n">
        <v>45281.22083333333</v>
      </c>
      <c r="L241" s="11" t="n">
        <v>45822.50766203704</v>
      </c>
      <c r="M241" s="4" t="n">
        <v>6</v>
      </c>
      <c r="N241" s="4" t="n">
        <v>2</v>
      </c>
      <c r="O241" s="4" t="n">
        <v>4</v>
      </c>
      <c r="P241" s="4">
        <f>IF(AND(N241&gt;0,O241=0),"Yes","No")</f>
        <v/>
      </c>
      <c r="Q241" s="4" t="n">
        <v>3</v>
      </c>
      <c r="R241" s="4" t="n">
        <v>0</v>
      </c>
      <c r="S241" s="4" t="n">
        <v>1</v>
      </c>
      <c r="T241" s="4" t="inlineStr">
        <is>
          <t>C++, Python3</t>
        </is>
      </c>
      <c r="U241" s="4" t="n">
        <v>100</v>
      </c>
      <c r="V241" s="9" t="inlineStr">
        <is>
          <t>Submission 1663580515</t>
        </is>
      </c>
      <c r="W241" s="9" t="inlineStr">
        <is>
          <t>Open code</t>
        </is>
      </c>
      <c r="X241" s="4" t="n">
        <v>1</v>
      </c>
      <c r="Y241" s="4" t="inlineStr">
        <is>
          <t>2023-12</t>
        </is>
      </c>
    </row>
    <row r="242">
      <c r="A242" s="4" t="n">
        <v>241</v>
      </c>
      <c r="B242" s="4" t="n">
        <v>278</v>
      </c>
      <c r="C242" s="9" t="inlineStr">
        <is>
          <t>First Bad Version</t>
        </is>
      </c>
      <c r="D242" s="10" t="inlineStr">
        <is>
          <t>Easy</t>
        </is>
      </c>
      <c r="E242" s="4" t="inlineStr">
        <is>
          <t>Binary Search</t>
        </is>
      </c>
      <c r="F242" s="4" t="inlineStr">
        <is>
          <t>First true</t>
        </is>
      </c>
      <c r="G242" s="4" t="inlineStr">
        <is>
          <t>Searching</t>
        </is>
      </c>
      <c r="H242" s="4" t="inlineStr">
        <is>
          <t>binary-search, interactive</t>
        </is>
      </c>
      <c r="I242" s="4" t="inlineStr">
        <is>
          <t>Solved</t>
        </is>
      </c>
      <c r="J242" s="11" t="n">
        <v>45291.35108796296</v>
      </c>
      <c r="K242" s="11" t="n">
        <v>45291.35108796296</v>
      </c>
      <c r="L242" s="11" t="n">
        <v>45375.55475694445</v>
      </c>
      <c r="M242" s="4" t="n">
        <v>5</v>
      </c>
      <c r="N242" s="4" t="n">
        <v>4</v>
      </c>
      <c r="O242" s="4" t="n">
        <v>0</v>
      </c>
      <c r="P242" s="4">
        <f>IF(AND(N242&gt;0,O242=0),"Yes","No")</f>
        <v/>
      </c>
      <c r="Q242" s="4" t="n">
        <v>0</v>
      </c>
      <c r="R242" s="4" t="n">
        <v>0</v>
      </c>
      <c r="S242" s="4" t="n">
        <v>0</v>
      </c>
      <c r="T242" s="4" t="inlineStr">
        <is>
          <t>C++, Python3</t>
        </is>
      </c>
      <c r="U242" s="4" t="n">
        <v>100</v>
      </c>
      <c r="V242" s="9" t="inlineStr">
        <is>
          <t>Submission 1212399382</t>
        </is>
      </c>
      <c r="W242" s="9" t="inlineStr">
        <is>
          <t>Open code</t>
        </is>
      </c>
      <c r="X242" s="4" t="n">
        <v>3</v>
      </c>
      <c r="Y242" s="4" t="inlineStr">
        <is>
          <t>2023-12</t>
        </is>
      </c>
    </row>
    <row r="243">
      <c r="A243" s="4" t="n">
        <v>242</v>
      </c>
      <c r="B243" s="4" t="n">
        <v>57</v>
      </c>
      <c r="C243" s="9" t="inlineStr">
        <is>
          <t>Insert Interval</t>
        </is>
      </c>
      <c r="D243" s="12" t="inlineStr">
        <is>
          <t>Medium</t>
        </is>
      </c>
      <c r="E243" s="4" t="inlineStr">
        <is>
          <t>Intervals &amp; Sweep Line</t>
        </is>
      </c>
      <c r="F243" s="4" t="inlineStr">
        <is>
          <t>Insert and merge</t>
        </is>
      </c>
      <c r="G243" s="4" t="inlineStr">
        <is>
          <t>Heaps &amp; Intervals</t>
        </is>
      </c>
      <c r="H243" s="4" t="inlineStr">
        <is>
          <t>array</t>
        </is>
      </c>
      <c r="I243" s="4" t="inlineStr">
        <is>
          <t>Solved</t>
        </is>
      </c>
      <c r="J243" s="11" t="n">
        <v>45373.4555787037</v>
      </c>
      <c r="K243" s="11" t="n">
        <v>45373.45630787037</v>
      </c>
      <c r="L243" s="11" t="n">
        <v>45374.55513888889</v>
      </c>
      <c r="M243" s="4" t="n">
        <v>5</v>
      </c>
      <c r="N243" s="4" t="n">
        <v>4</v>
      </c>
      <c r="O243" s="4" t="n">
        <v>1</v>
      </c>
      <c r="P243" s="4">
        <f>IF(AND(N243&gt;0,O243=0),"Yes","No")</f>
        <v/>
      </c>
      <c r="Q243" s="4" t="n">
        <v>0</v>
      </c>
      <c r="R243" s="4" t="n">
        <v>0</v>
      </c>
      <c r="S243" s="4" t="n">
        <v>1</v>
      </c>
      <c r="T243" s="4" t="inlineStr">
        <is>
          <t>C++</t>
        </is>
      </c>
      <c r="U243" s="4" t="n">
        <v>6.1</v>
      </c>
      <c r="V243" s="9" t="inlineStr">
        <is>
          <t>Submission 1211476832</t>
        </is>
      </c>
      <c r="W243" s="9" t="inlineStr">
        <is>
          <t>Open code</t>
        </is>
      </c>
      <c r="X243" s="4" t="n">
        <v>4</v>
      </c>
      <c r="Y243" s="4" t="inlineStr">
        <is>
          <t>2024-03</t>
        </is>
      </c>
    </row>
    <row r="244">
      <c r="A244" s="4" t="n">
        <v>243</v>
      </c>
      <c r="B244" s="4" t="n">
        <v>452</v>
      </c>
      <c r="C244" s="9" t="inlineStr">
        <is>
          <t>Minimum Number of Arrows to Burst Balloons</t>
        </is>
      </c>
      <c r="D244" s="12" t="inlineStr">
        <is>
          <t>Medium</t>
        </is>
      </c>
      <c r="E244" s="4" t="inlineStr">
        <is>
          <t>Intervals &amp; Sweep Line</t>
        </is>
      </c>
      <c r="F244" s="4" t="inlineStr">
        <is>
          <t>Greedy by end</t>
        </is>
      </c>
      <c r="G244" s="4" t="inlineStr">
        <is>
          <t>Heaps &amp; Intervals</t>
        </is>
      </c>
      <c r="H244" s="4" t="inlineStr">
        <is>
          <t>array, greedy, sorting</t>
        </is>
      </c>
      <c r="I244" s="4" t="inlineStr">
        <is>
          <t>Solved</t>
        </is>
      </c>
      <c r="J244" s="11" t="n">
        <v>45374.46025462963</v>
      </c>
      <c r="K244" s="11" t="n">
        <v>45374.46086805555</v>
      </c>
      <c r="L244" s="11" t="n">
        <v>45374.46086805555</v>
      </c>
      <c r="M244" s="4" t="n">
        <v>3</v>
      </c>
      <c r="N244" s="4" t="n">
        <v>1</v>
      </c>
      <c r="O244" s="4" t="n">
        <v>2</v>
      </c>
      <c r="P244" s="4">
        <f>IF(AND(N244&gt;0,O244=0),"Yes","No")</f>
        <v/>
      </c>
      <c r="Q244" s="4" t="n">
        <v>1</v>
      </c>
      <c r="R244" s="4" t="n">
        <v>0</v>
      </c>
      <c r="S244" s="4" t="n">
        <v>1</v>
      </c>
      <c r="T244" s="4" t="inlineStr">
        <is>
          <t>C++</t>
        </is>
      </c>
      <c r="U244" s="4" t="n">
        <v>5.6</v>
      </c>
      <c r="V244" s="9" t="inlineStr">
        <is>
          <t>Submission 1211394901</t>
        </is>
      </c>
      <c r="W244" s="9" t="inlineStr">
        <is>
          <t>Open code</t>
        </is>
      </c>
      <c r="X244" s="4" t="n">
        <v>0</v>
      </c>
      <c r="Y244" s="4" t="inlineStr">
        <is>
          <t>2024-03</t>
        </is>
      </c>
    </row>
    <row r="245">
      <c r="A245" s="4" t="n">
        <v>244</v>
      </c>
      <c r="B245" s="4" t="n">
        <v>435</v>
      </c>
      <c r="C245" s="9" t="inlineStr">
        <is>
          <t>Non-overlapping Intervals</t>
        </is>
      </c>
      <c r="D245" s="12" t="inlineStr">
        <is>
          <t>Medium</t>
        </is>
      </c>
      <c r="E245" s="4" t="inlineStr">
        <is>
          <t>Intervals &amp; Sweep Line</t>
        </is>
      </c>
      <c r="F245" s="4" t="inlineStr">
        <is>
          <t>Greedy by end</t>
        </is>
      </c>
      <c r="G245" s="4" t="inlineStr">
        <is>
          <t>Heaps &amp; Intervals</t>
        </is>
      </c>
      <c r="H245" s="4" t="inlineStr">
        <is>
          <t>array, dynamic-programming, greedy, sorting</t>
        </is>
      </c>
      <c r="I245" s="4" t="inlineStr">
        <is>
          <t>Solved</t>
        </is>
      </c>
      <c r="J245" s="11" t="n">
        <v>45374.47670138889</v>
      </c>
      <c r="K245" s="11" t="n">
        <v>45374.47670138889</v>
      </c>
      <c r="L245" s="11" t="n">
        <v>45374.47670138889</v>
      </c>
      <c r="M245" s="4" t="n">
        <v>1</v>
      </c>
      <c r="N245" s="4" t="n">
        <v>1</v>
      </c>
      <c r="O245" s="4" t="n">
        <v>0</v>
      </c>
      <c r="P245" s="4">
        <f>IF(AND(N245&gt;0,O245=0),"Yes","No")</f>
        <v/>
      </c>
      <c r="Q245" s="4" t="n">
        <v>0</v>
      </c>
      <c r="R245" s="4" t="n">
        <v>0</v>
      </c>
      <c r="S245" s="4" t="n">
        <v>0</v>
      </c>
      <c r="T245" s="4" t="inlineStr">
        <is>
          <t>C++</t>
        </is>
      </c>
      <c r="U245" s="4" t="n">
        <v>9.9</v>
      </c>
      <c r="V245" s="9" t="inlineStr">
        <is>
          <t>Submission 1211408422</t>
        </is>
      </c>
      <c r="W245" s="9" t="inlineStr">
        <is>
          <t>Open code</t>
        </is>
      </c>
      <c r="X245" s="4" t="n">
        <v>1</v>
      </c>
      <c r="Y245" s="4" t="inlineStr">
        <is>
          <t>2024-03</t>
        </is>
      </c>
    </row>
    <row r="246">
      <c r="A246" s="4" t="n">
        <v>245</v>
      </c>
      <c r="B246" s="4" t="n">
        <v>495</v>
      </c>
      <c r="C246" s="9" t="inlineStr">
        <is>
          <t>Teemo Attacking</t>
        </is>
      </c>
      <c r="D246" s="10" t="inlineStr">
        <is>
          <t>Easy</t>
        </is>
      </c>
      <c r="E246" s="4" t="inlineStr">
        <is>
          <t>Intervals &amp; Sweep Line</t>
        </is>
      </c>
      <c r="F246" s="4" t="inlineStr">
        <is>
          <t>Overlap sum</t>
        </is>
      </c>
      <c r="G246" s="4" t="inlineStr">
        <is>
          <t>Heaps &amp; Intervals</t>
        </is>
      </c>
      <c r="H246" s="4" t="inlineStr">
        <is>
          <t>array, simulation</t>
        </is>
      </c>
      <c r="I246" s="4" t="inlineStr">
        <is>
          <t>Solved</t>
        </is>
      </c>
      <c r="J246" s="11" t="n">
        <v>45374.48844907407</v>
      </c>
      <c r="K246" s="11" t="n">
        <v>45374.48844907407</v>
      </c>
      <c r="L246" s="11" t="n">
        <v>45374.48844907407</v>
      </c>
      <c r="M246" s="4" t="n">
        <v>1</v>
      </c>
      <c r="N246" s="4" t="n">
        <v>1</v>
      </c>
      <c r="O246" s="4" t="n">
        <v>0</v>
      </c>
      <c r="P246" s="4">
        <f>IF(AND(N246&gt;0,O246=0),"Yes","No")</f>
        <v/>
      </c>
      <c r="Q246" s="4" t="n">
        <v>0</v>
      </c>
      <c r="R246" s="4" t="n">
        <v>0</v>
      </c>
      <c r="S246" s="4" t="n">
        <v>0</v>
      </c>
      <c r="T246" s="4" t="inlineStr">
        <is>
          <t>C++</t>
        </is>
      </c>
      <c r="U246" s="4" t="n">
        <v>2.1</v>
      </c>
      <c r="V246" s="9" t="inlineStr">
        <is>
          <t>Submission 1211418907</t>
        </is>
      </c>
      <c r="W246" s="9" t="inlineStr">
        <is>
          <t>Open code</t>
        </is>
      </c>
      <c r="X246" s="4" t="n">
        <v>0</v>
      </c>
      <c r="Y246" s="4" t="inlineStr">
        <is>
          <t>2024-03</t>
        </is>
      </c>
    </row>
    <row r="247">
      <c r="A247" s="4" t="n">
        <v>246</v>
      </c>
      <c r="B247" s="4" t="n">
        <v>436</v>
      </c>
      <c r="C247" s="9" t="inlineStr">
        <is>
          <t>Find Right Interval</t>
        </is>
      </c>
      <c r="D247" s="12" t="inlineStr">
        <is>
          <t>Medium</t>
        </is>
      </c>
      <c r="E247" s="4" t="inlineStr">
        <is>
          <t>Intervals &amp; Sweep Line</t>
        </is>
      </c>
      <c r="F247" s="4" t="inlineStr">
        <is>
          <t>Sort + binary search</t>
        </is>
      </c>
      <c r="G247" s="4" t="inlineStr">
        <is>
          <t>Heaps &amp; Intervals</t>
        </is>
      </c>
      <c r="H247" s="4" t="inlineStr">
        <is>
          <t>array, binary-search, sorting</t>
        </is>
      </c>
      <c r="I247" s="4" t="inlineStr">
        <is>
          <t>Solved</t>
        </is>
      </c>
      <c r="J247" s="11" t="n">
        <v>45374.57554398148</v>
      </c>
      <c r="K247" s="11" t="n">
        <v>45374.57554398148</v>
      </c>
      <c r="L247" s="11" t="n">
        <v>45374.57554398148</v>
      </c>
      <c r="M247" s="4" t="n">
        <v>1</v>
      </c>
      <c r="N247" s="4" t="n">
        <v>1</v>
      </c>
      <c r="O247" s="4" t="n">
        <v>0</v>
      </c>
      <c r="P247" s="4">
        <f>IF(AND(N247&gt;0,O247=0),"Yes","No")</f>
        <v/>
      </c>
      <c r="Q247" s="4" t="n">
        <v>0</v>
      </c>
      <c r="R247" s="4" t="n">
        <v>0</v>
      </c>
      <c r="S247" s="4" t="n">
        <v>0</v>
      </c>
      <c r="T247" s="4" t="inlineStr">
        <is>
          <t>C++</t>
        </is>
      </c>
      <c r="U247" s="4" t="n">
        <v>11.7</v>
      </c>
      <c r="V247" s="9" t="inlineStr">
        <is>
          <t>Submission 1211492069</t>
        </is>
      </c>
      <c r="W247" s="9" t="inlineStr">
        <is>
          <t>Open code</t>
        </is>
      </c>
      <c r="X247" s="4" t="n">
        <v>0</v>
      </c>
      <c r="Y247" s="4" t="inlineStr">
        <is>
          <t>2024-03</t>
        </is>
      </c>
    </row>
    <row r="248">
      <c r="A248" s="4" t="n">
        <v>247</v>
      </c>
      <c r="B248" s="4" t="n">
        <v>731</v>
      </c>
      <c r="C248" s="9" t="inlineStr">
        <is>
          <t>My Calendar II</t>
        </is>
      </c>
      <c r="D248" s="12" t="inlineStr">
        <is>
          <t>Medium</t>
        </is>
      </c>
      <c r="E248" s="4" t="inlineStr">
        <is>
          <t>Intervals &amp; Sweep Line</t>
        </is>
      </c>
      <c r="F248" s="4" t="inlineStr">
        <is>
          <t>Overlap tracking</t>
        </is>
      </c>
      <c r="G248" s="4" t="inlineStr">
        <is>
          <t>Heaps &amp; Intervals</t>
        </is>
      </c>
      <c r="H248" s="4" t="inlineStr">
        <is>
          <t>array, binary-search, design, segment-tree, prefix-sum, ordered-set</t>
        </is>
      </c>
      <c r="I248" s="4" t="inlineStr">
        <is>
          <t>Solved</t>
        </is>
      </c>
      <c r="J248" s="11" t="n">
        <v>45375.51907407407</v>
      </c>
      <c r="K248" s="11" t="n">
        <v>45375.51907407407</v>
      </c>
      <c r="L248" s="11" t="n">
        <v>45763.72515046296</v>
      </c>
      <c r="M248" s="4" t="n">
        <v>3</v>
      </c>
      <c r="N248" s="4" t="n">
        <v>3</v>
      </c>
      <c r="O248" s="4" t="n">
        <v>0</v>
      </c>
      <c r="P248" s="4">
        <f>IF(AND(N248&gt;0,O248=0),"Yes","No")</f>
        <v/>
      </c>
      <c r="Q248" s="4" t="n">
        <v>0</v>
      </c>
      <c r="R248" s="4" t="n">
        <v>0</v>
      </c>
      <c r="S248" s="4" t="n">
        <v>0</v>
      </c>
      <c r="T248" s="4" t="inlineStr">
        <is>
          <t>C++</t>
        </is>
      </c>
      <c r="U248" s="4" t="n">
        <v>29.3</v>
      </c>
      <c r="V248" s="9" t="inlineStr">
        <is>
          <t>Submission 1608485018</t>
        </is>
      </c>
      <c r="W248" s="9" t="inlineStr">
        <is>
          <t>Open code</t>
        </is>
      </c>
      <c r="X248" s="4" t="n">
        <v>1</v>
      </c>
      <c r="Y248" s="4" t="inlineStr">
        <is>
          <t>2024-03</t>
        </is>
      </c>
    </row>
    <row r="249">
      <c r="A249" s="4" t="n">
        <v>248</v>
      </c>
      <c r="B249" s="4" t="n">
        <v>732</v>
      </c>
      <c r="C249" s="9" t="inlineStr">
        <is>
          <t>My Calendar III</t>
        </is>
      </c>
      <c r="D249" s="13" t="inlineStr">
        <is>
          <t>Hard</t>
        </is>
      </c>
      <c r="E249" s="4" t="inlineStr">
        <is>
          <t>Intervals &amp; Sweep Line</t>
        </is>
      </c>
      <c r="F249" s="4" t="inlineStr">
        <is>
          <t>Sweep-line counts</t>
        </is>
      </c>
      <c r="G249" s="4" t="inlineStr">
        <is>
          <t>Heaps &amp; Intervals</t>
        </is>
      </c>
      <c r="H249" s="4" t="inlineStr">
        <is>
          <t>binary-search, design, segment-tree, prefix-sum, ordered-set</t>
        </is>
      </c>
      <c r="I249" s="4" t="inlineStr">
        <is>
          <t>Solved</t>
        </is>
      </c>
      <c r="J249" s="11" t="n">
        <v>45375.52256944445</v>
      </c>
      <c r="K249" s="11" t="n">
        <v>45375.52256944445</v>
      </c>
      <c r="L249" s="11" t="n">
        <v>45763.71965277778</v>
      </c>
      <c r="M249" s="4" t="n">
        <v>3</v>
      </c>
      <c r="N249" s="4" t="n">
        <v>3</v>
      </c>
      <c r="O249" s="4" t="n">
        <v>0</v>
      </c>
      <c r="P249" s="4">
        <f>IF(AND(N249&gt;0,O249=0),"Yes","No")</f>
        <v/>
      </c>
      <c r="Q249" s="4" t="n">
        <v>0</v>
      </c>
      <c r="R249" s="4" t="n">
        <v>0</v>
      </c>
      <c r="S249" s="4" t="n">
        <v>0</v>
      </c>
      <c r="T249" s="4" t="inlineStr">
        <is>
          <t>C++</t>
        </is>
      </c>
      <c r="U249" s="4" t="n">
        <v>48.6</v>
      </c>
      <c r="V249" s="9" t="inlineStr">
        <is>
          <t>Submission 1608480201</t>
        </is>
      </c>
      <c r="W249" s="9" t="inlineStr">
        <is>
          <t>Open code</t>
        </is>
      </c>
      <c r="X249" s="4" t="n">
        <v>1</v>
      </c>
      <c r="Y249" s="4" t="inlineStr">
        <is>
          <t>2024-03</t>
        </is>
      </c>
    </row>
    <row r="250">
      <c r="A250" s="4" t="n">
        <v>249</v>
      </c>
      <c r="B250" s="4" t="n">
        <v>69</v>
      </c>
      <c r="C250" s="9" t="inlineStr">
        <is>
          <t>Sqrt(x)</t>
        </is>
      </c>
      <c r="D250" s="10" t="inlineStr">
        <is>
          <t>Easy</t>
        </is>
      </c>
      <c r="E250" s="4" t="inlineStr">
        <is>
          <t>Binary Search on Answer</t>
        </is>
      </c>
      <c r="F250" s="4" t="inlineStr">
        <is>
          <t>Integer square root</t>
        </is>
      </c>
      <c r="G250" s="4" t="inlineStr">
        <is>
          <t>Searching</t>
        </is>
      </c>
      <c r="H250" s="4" t="inlineStr">
        <is>
          <t>math, binary-search, newtons-method</t>
        </is>
      </c>
      <c r="I250" s="4" t="inlineStr">
        <is>
          <t>Solved</t>
        </is>
      </c>
      <c r="J250" s="11" t="n">
        <v>45375.53275462963</v>
      </c>
      <c r="K250" s="11" t="n">
        <v>45375.53355324074</v>
      </c>
      <c r="L250" s="11" t="n">
        <v>45375.53575231481</v>
      </c>
      <c r="M250" s="4" t="n">
        <v>4</v>
      </c>
      <c r="N250" s="4" t="n">
        <v>3</v>
      </c>
      <c r="O250" s="4" t="n">
        <v>1</v>
      </c>
      <c r="P250" s="4">
        <f>IF(AND(N250&gt;0,O250=0),"Yes","No")</f>
        <v/>
      </c>
      <c r="Q250" s="4" t="n">
        <v>0</v>
      </c>
      <c r="R250" s="4" t="n">
        <v>0</v>
      </c>
      <c r="S250" s="4" t="n">
        <v>1</v>
      </c>
      <c r="T250" s="4" t="inlineStr">
        <is>
          <t>C++</t>
        </is>
      </c>
      <c r="U250" s="4" t="n">
        <v>100</v>
      </c>
      <c r="V250" s="9" t="inlineStr">
        <is>
          <t>Submission 1212380641</t>
        </is>
      </c>
      <c r="W250" s="9" t="inlineStr">
        <is>
          <t>Open code</t>
        </is>
      </c>
      <c r="X250" s="4" t="n">
        <v>3</v>
      </c>
      <c r="Y250" s="4" t="inlineStr">
        <is>
          <t>2024-03</t>
        </is>
      </c>
    </row>
    <row r="251">
      <c r="A251" s="4" t="n">
        <v>250</v>
      </c>
      <c r="B251" s="4" t="n">
        <v>374</v>
      </c>
      <c r="C251" s="9" t="inlineStr">
        <is>
          <t>Guess Number Higher or Lower</t>
        </is>
      </c>
      <c r="D251" s="10" t="inlineStr">
        <is>
          <t>Easy</t>
        </is>
      </c>
      <c r="E251" s="4" t="inlineStr">
        <is>
          <t>Binary Search</t>
        </is>
      </c>
      <c r="F251" s="4" t="inlineStr">
        <is>
          <t>Classic search</t>
        </is>
      </c>
      <c r="G251" s="4" t="inlineStr">
        <is>
          <t>Searching</t>
        </is>
      </c>
      <c r="H251" s="4" t="inlineStr">
        <is>
          <t>binary-search, interactive</t>
        </is>
      </c>
      <c r="I251" s="4" t="inlineStr">
        <is>
          <t>Solved</t>
        </is>
      </c>
      <c r="J251" s="11" t="n">
        <v>45375.54037037037</v>
      </c>
      <c r="K251" s="11" t="n">
        <v>45375.54037037037</v>
      </c>
      <c r="L251" s="11" t="n">
        <v>45375.54037037037</v>
      </c>
      <c r="M251" s="4" t="n">
        <v>1</v>
      </c>
      <c r="N251" s="4" t="n">
        <v>1</v>
      </c>
      <c r="O251" s="4" t="n">
        <v>0</v>
      </c>
      <c r="P251" s="4">
        <f>IF(AND(N251&gt;0,O251=0),"Yes","No")</f>
        <v/>
      </c>
      <c r="Q251" s="4" t="n">
        <v>0</v>
      </c>
      <c r="R251" s="4" t="n">
        <v>0</v>
      </c>
      <c r="S251" s="4" t="n">
        <v>0</v>
      </c>
      <c r="T251" s="4" t="inlineStr">
        <is>
          <t>C++</t>
        </is>
      </c>
      <c r="U251" s="4" t="n">
        <v>100</v>
      </c>
      <c r="V251" s="9" t="inlineStr">
        <is>
          <t>Submission 1212385330</t>
        </is>
      </c>
      <c r="W251" s="9" t="inlineStr">
        <is>
          <t>Open code</t>
        </is>
      </c>
      <c r="X251" s="4" t="n">
        <v>1</v>
      </c>
      <c r="Y251" s="4" t="inlineStr">
        <is>
          <t>2024-03</t>
        </is>
      </c>
    </row>
    <row r="252">
      <c r="A252" s="4" t="n">
        <v>251</v>
      </c>
      <c r="B252" s="4" t="n">
        <v>373</v>
      </c>
      <c r="C252" s="9" t="inlineStr">
        <is>
          <t>Find K Pairs with Smallest Sums</t>
        </is>
      </c>
      <c r="D252" s="12" t="inlineStr">
        <is>
          <t>Medium</t>
        </is>
      </c>
      <c r="E252" s="4" t="inlineStr">
        <is>
          <t>Heap / Top-K</t>
        </is>
      </c>
      <c r="F252" s="4" t="inlineStr">
        <is>
          <t>K-way heap</t>
        </is>
      </c>
      <c r="G252" s="4" t="inlineStr">
        <is>
          <t>Heaps &amp; Intervals</t>
        </is>
      </c>
      <c r="H252" s="4" t="inlineStr">
        <is>
          <t>array, heap-priority-queue</t>
        </is>
      </c>
      <c r="I252" s="4" t="inlineStr">
        <is>
          <t>Solved</t>
        </is>
      </c>
      <c r="J252" s="11" t="n">
        <v>45376.75550925926</v>
      </c>
      <c r="K252" s="11" t="n">
        <v>45376.76107638889</v>
      </c>
      <c r="L252" s="11" t="n">
        <v>45376.76107638889</v>
      </c>
      <c r="M252" s="4" t="n">
        <v>2</v>
      </c>
      <c r="N252" s="4" t="n">
        <v>1</v>
      </c>
      <c r="O252" s="4" t="n">
        <v>1</v>
      </c>
      <c r="P252" s="4">
        <f>IF(AND(N252&gt;0,O252=0),"Yes","No")</f>
        <v/>
      </c>
      <c r="Q252" s="4" t="n">
        <v>1</v>
      </c>
      <c r="R252" s="4" t="n">
        <v>0</v>
      </c>
      <c r="S252" s="4" t="n">
        <v>0</v>
      </c>
      <c r="T252" s="4" t="inlineStr">
        <is>
          <t>C++</t>
        </is>
      </c>
      <c r="U252" s="4" t="n">
        <v>5</v>
      </c>
      <c r="V252" s="9" t="inlineStr">
        <is>
          <t>Submission 1213454011</t>
        </is>
      </c>
      <c r="W252" s="9" t="inlineStr">
        <is>
          <t>Open code</t>
        </is>
      </c>
      <c r="X252" s="4" t="n">
        <v>0</v>
      </c>
      <c r="Y252" s="4" t="inlineStr">
        <is>
          <t>2024-03</t>
        </is>
      </c>
    </row>
    <row r="253">
      <c r="A253" s="4" t="n">
        <v>252</v>
      </c>
      <c r="B253" s="4" t="n">
        <v>26</v>
      </c>
      <c r="C253" s="9" t="inlineStr">
        <is>
          <t>Remove Duplicates from Sorted Array</t>
        </is>
      </c>
      <c r="D253" s="10" t="inlineStr">
        <is>
          <t>Easy</t>
        </is>
      </c>
      <c r="E253" s="4" t="inlineStr">
        <is>
          <t>Two Pointers</t>
        </is>
      </c>
      <c r="F253" s="4" t="inlineStr">
        <is>
          <t>Read/write pointers</t>
        </is>
      </c>
      <c r="G253" s="4" t="inlineStr">
        <is>
          <t>Arrays &amp; Strings</t>
        </is>
      </c>
      <c r="H253" s="4" t="inlineStr">
        <is>
          <t>array, two-pointers</t>
        </is>
      </c>
      <c r="I253" s="4" t="inlineStr">
        <is>
          <t>Solved</t>
        </is>
      </c>
      <c r="J253" s="11" t="n">
        <v>45376.84155092593</v>
      </c>
      <c r="K253" s="11" t="n">
        <v>45376.84155092593</v>
      </c>
      <c r="L253" s="11" t="n">
        <v>45376.84155092593</v>
      </c>
      <c r="M253" s="4" t="n">
        <v>1</v>
      </c>
      <c r="N253" s="4" t="n">
        <v>1</v>
      </c>
      <c r="O253" s="4" t="n">
        <v>0</v>
      </c>
      <c r="P253" s="4">
        <f>IF(AND(N253&gt;0,O253=0),"Yes","No")</f>
        <v/>
      </c>
      <c r="Q253" s="4" t="n">
        <v>0</v>
      </c>
      <c r="R253" s="4" t="n">
        <v>0</v>
      </c>
      <c r="S253" s="4" t="n">
        <v>0</v>
      </c>
      <c r="T253" s="4" t="inlineStr">
        <is>
          <t>C++</t>
        </is>
      </c>
      <c r="U253" s="4" t="n">
        <v>11.4</v>
      </c>
      <c r="V253" s="9" t="inlineStr">
        <is>
          <t>Submission 1213537851</t>
        </is>
      </c>
      <c r="W253" s="9" t="inlineStr">
        <is>
          <t>Open code</t>
        </is>
      </c>
      <c r="X253" s="4" t="n">
        <v>2</v>
      </c>
      <c r="Y253" s="4" t="inlineStr">
        <is>
          <t>2024-03</t>
        </is>
      </c>
    </row>
    <row r="254">
      <c r="A254" s="4" t="n">
        <v>253</v>
      </c>
      <c r="B254" s="4" t="n">
        <v>911</v>
      </c>
      <c r="C254" s="9" t="inlineStr">
        <is>
          <t>Online Election</t>
        </is>
      </c>
      <c r="D254" s="12" t="inlineStr">
        <is>
          <t>Medium</t>
        </is>
      </c>
      <c r="E254" s="4" t="inlineStr">
        <is>
          <t>Binary Search</t>
        </is>
      </c>
      <c r="F254" s="4" t="inlineStr">
        <is>
          <t>Precompute + binary search</t>
        </is>
      </c>
      <c r="G254" s="4" t="inlineStr">
        <is>
          <t>Searching</t>
        </is>
      </c>
      <c r="H254" s="4" t="inlineStr">
        <is>
          <t>array, hash-table, binary-search, design</t>
        </is>
      </c>
      <c r="I254" s="4" t="inlineStr">
        <is>
          <t>Solved</t>
        </is>
      </c>
      <c r="J254" s="11" t="n">
        <v>45380.86369212963</v>
      </c>
      <c r="K254" s="11" t="n">
        <v>45380.86369212963</v>
      </c>
      <c r="L254" s="11" t="n">
        <v>45380.86369212963</v>
      </c>
      <c r="M254" s="4" t="n">
        <v>1</v>
      </c>
      <c r="N254" s="4" t="n">
        <v>1</v>
      </c>
      <c r="O254" s="4" t="n">
        <v>0</v>
      </c>
      <c r="P254" s="4">
        <f>IF(AND(N254&gt;0,O254=0),"Yes","No")</f>
        <v/>
      </c>
      <c r="Q254" s="4" t="n">
        <v>0</v>
      </c>
      <c r="R254" s="4" t="n">
        <v>0</v>
      </c>
      <c r="S254" s="4" t="n">
        <v>0</v>
      </c>
      <c r="T254" s="4" t="inlineStr">
        <is>
          <t>C++</t>
        </is>
      </c>
      <c r="U254" s="4" t="n">
        <v>5.2</v>
      </c>
      <c r="V254" s="9" t="inlineStr">
        <is>
          <t>Submission 1217404450</t>
        </is>
      </c>
      <c r="W254" s="9" t="inlineStr">
        <is>
          <t>Open code</t>
        </is>
      </c>
      <c r="X254" s="4" t="n">
        <v>0</v>
      </c>
      <c r="Y254" s="4" t="inlineStr">
        <is>
          <t>2024-03</t>
        </is>
      </c>
    </row>
    <row r="255">
      <c r="A255" s="4" t="n">
        <v>254</v>
      </c>
      <c r="B255" s="4" t="n">
        <v>2671</v>
      </c>
      <c r="C255" s="9" t="inlineStr">
        <is>
          <t>Frequency Tracker</t>
        </is>
      </c>
      <c r="D255" s="12" t="inlineStr">
        <is>
          <t>Medium</t>
        </is>
      </c>
      <c r="E255" s="4" t="inlineStr">
        <is>
          <t>Design</t>
        </is>
      </c>
      <c r="F255" s="4" t="inlineStr">
        <is>
          <t>Two hash maps</t>
        </is>
      </c>
      <c r="G255" s="4" t="inlineStr">
        <is>
          <t>Design</t>
        </is>
      </c>
      <c r="H255" s="4" t="inlineStr">
        <is>
          <t>hash-table, design</t>
        </is>
      </c>
      <c r="I255" s="4" t="inlineStr">
        <is>
          <t>Solved</t>
        </is>
      </c>
      <c r="J255" s="11" t="n">
        <v>45402.55646990741</v>
      </c>
      <c r="K255" s="11" t="n">
        <v>45402.55646990741</v>
      </c>
      <c r="L255" s="11" t="n">
        <v>45402.55646990741</v>
      </c>
      <c r="M255" s="4" t="n">
        <v>1</v>
      </c>
      <c r="N255" s="4" t="n">
        <v>1</v>
      </c>
      <c r="O255" s="4" t="n">
        <v>0</v>
      </c>
      <c r="P255" s="4">
        <f>IF(AND(N255&gt;0,O255=0),"Yes","No")</f>
        <v/>
      </c>
      <c r="Q255" s="4" t="n">
        <v>0</v>
      </c>
      <c r="R255" s="4" t="n">
        <v>0</v>
      </c>
      <c r="S255" s="4" t="n">
        <v>0</v>
      </c>
      <c r="T255" s="4" t="inlineStr">
        <is>
          <t>Java</t>
        </is>
      </c>
      <c r="U255" s="4" t="n">
        <v>20</v>
      </c>
      <c r="V255" s="9" t="inlineStr">
        <is>
          <t>Submission 1237161463</t>
        </is>
      </c>
      <c r="W255" s="9" t="inlineStr">
        <is>
          <t>Open code</t>
        </is>
      </c>
      <c r="X255" s="4" t="n">
        <v>0</v>
      </c>
      <c r="Y255" s="4" t="inlineStr">
        <is>
          <t>2024-04</t>
        </is>
      </c>
    </row>
    <row r="256">
      <c r="A256" s="4" t="n">
        <v>255</v>
      </c>
      <c r="B256" s="4" t="n">
        <v>1042</v>
      </c>
      <c r="C256" s="9" t="inlineStr">
        <is>
          <t>Flower Planting With No Adjacent</t>
        </is>
      </c>
      <c r="D256" s="12" t="inlineStr">
        <is>
          <t>Medium</t>
        </is>
      </c>
      <c r="E256" s="4" t="inlineStr">
        <is>
          <t>Graph: General BFS/DFS</t>
        </is>
      </c>
      <c r="F256" s="4" t="inlineStr">
        <is>
          <t>Greedy colouring</t>
        </is>
      </c>
      <c r="G256" s="4" t="inlineStr">
        <is>
          <t>Graphs</t>
        </is>
      </c>
      <c r="H256" s="4" t="inlineStr">
        <is>
          <t>depth-first-search, breadth-first-search, graph, graph-coloring</t>
        </is>
      </c>
      <c r="I256" s="4" t="inlineStr">
        <is>
          <t>Solved</t>
        </is>
      </c>
      <c r="J256" s="11" t="n">
        <v>45594.41958333334</v>
      </c>
      <c r="K256" s="11" t="n">
        <v>45594.41958333334</v>
      </c>
      <c r="L256" s="11" t="n">
        <v>45594.42075231481</v>
      </c>
      <c r="M256" s="4" t="n">
        <v>2</v>
      </c>
      <c r="N256" s="4" t="n">
        <v>2</v>
      </c>
      <c r="O256" s="4" t="n">
        <v>0</v>
      </c>
      <c r="P256" s="4">
        <f>IF(AND(N256&gt;0,O256=0),"Yes","No")</f>
        <v/>
      </c>
      <c r="Q256" s="4" t="n">
        <v>0</v>
      </c>
      <c r="R256" s="4" t="n">
        <v>0</v>
      </c>
      <c r="S256" s="4" t="n">
        <v>0</v>
      </c>
      <c r="T256" s="4" t="inlineStr">
        <is>
          <t>C++</t>
        </is>
      </c>
      <c r="U256" s="4" t="n">
        <v>63.8</v>
      </c>
      <c r="V256" s="9" t="inlineStr">
        <is>
          <t>Submission 1436889483</t>
        </is>
      </c>
      <c r="W256" s="9" t="inlineStr">
        <is>
          <t>Open code</t>
        </is>
      </c>
      <c r="X256" s="4" t="n">
        <v>0</v>
      </c>
      <c r="Y256" s="4" t="inlineStr">
        <is>
          <t>2024-10</t>
        </is>
      </c>
    </row>
    <row r="257">
      <c r="A257" s="4" t="n">
        <v>256</v>
      </c>
      <c r="B257" s="4" t="n">
        <v>2463</v>
      </c>
      <c r="C257" s="9" t="inlineStr">
        <is>
          <t>Minimum Total Distance Traveled</t>
        </is>
      </c>
      <c r="D257" s="13" t="inlineStr">
        <is>
          <t>Hard</t>
        </is>
      </c>
      <c r="E257" s="4" t="inlineStr">
        <is>
          <t>DP: Partition / Interval (MCM)</t>
        </is>
      </c>
      <c r="F257" s="4" t="inlineStr">
        <is>
          <t>Sorted assignment DP</t>
        </is>
      </c>
      <c r="G257" s="4" t="inlineStr">
        <is>
          <t>Dynamic Programming</t>
        </is>
      </c>
      <c r="H257" s="4" t="inlineStr">
        <is>
          <t>array, dynamic-programming, sorting</t>
        </is>
      </c>
      <c r="I257" s="4" t="inlineStr">
        <is>
          <t>Solved</t>
        </is>
      </c>
      <c r="J257" s="11" t="n">
        <v>45596.78422453703</v>
      </c>
      <c r="K257" s="11" t="n">
        <v>45596.88409722222</v>
      </c>
      <c r="L257" s="11" t="n">
        <v>45596.88409722222</v>
      </c>
      <c r="M257" s="4" t="n">
        <v>4</v>
      </c>
      <c r="N257" s="4" t="n">
        <v>1</v>
      </c>
      <c r="O257" s="4" t="n">
        <v>3</v>
      </c>
      <c r="P257" s="4">
        <f>IF(AND(N257&gt;0,O257=0),"Yes","No")</f>
        <v/>
      </c>
      <c r="Q257" s="4" t="n">
        <v>1</v>
      </c>
      <c r="R257" s="4" t="n">
        <v>2</v>
      </c>
      <c r="S257" s="4" t="n">
        <v>0</v>
      </c>
      <c r="T257" s="4" t="inlineStr">
        <is>
          <t>C++</t>
        </is>
      </c>
      <c r="U257" s="4" t="n">
        <v>45.8</v>
      </c>
      <c r="V257" s="9" t="inlineStr">
        <is>
          <t>Submission 1439146279</t>
        </is>
      </c>
      <c r="W257" s="9" t="inlineStr">
        <is>
          <t>Open code</t>
        </is>
      </c>
      <c r="X257" s="4" t="n">
        <v>0</v>
      </c>
      <c r="Y257" s="4" t="inlineStr">
        <is>
          <t>2024-10</t>
        </is>
      </c>
    </row>
    <row r="258">
      <c r="A258" s="4" t="n">
        <v>257</v>
      </c>
      <c r="B258" s="4" t="n">
        <v>94</v>
      </c>
      <c r="C258" s="9" t="inlineStr">
        <is>
          <t>Binary Tree Inorder Traversal</t>
        </is>
      </c>
      <c r="D258" s="10" t="inlineStr">
        <is>
          <t>Easy</t>
        </is>
      </c>
      <c r="E258" s="4" t="inlineStr">
        <is>
          <t>Binary Tree (DFS &amp; Recursion)</t>
        </is>
      </c>
      <c r="F258" s="4" t="inlineStr">
        <is>
          <t>Iterative traversal</t>
        </is>
      </c>
      <c r="G258" s="4" t="inlineStr">
        <is>
          <t>Trees</t>
        </is>
      </c>
      <c r="H258" s="4" t="inlineStr">
        <is>
          <t>stack, tree, depth-first-search, binary-tree</t>
        </is>
      </c>
      <c r="I258" s="4" t="inlineStr">
        <is>
          <t>Solved</t>
        </is>
      </c>
      <c r="J258" s="11" t="n">
        <v>45603.46246527778</v>
      </c>
      <c r="K258" s="11" t="n">
        <v>45603.46246527778</v>
      </c>
      <c r="L258" s="11" t="n">
        <v>45603.46246527778</v>
      </c>
      <c r="M258" s="4" t="n">
        <v>1</v>
      </c>
      <c r="N258" s="4" t="n">
        <v>1</v>
      </c>
      <c r="O258" s="4" t="n">
        <v>0</v>
      </c>
      <c r="P258" s="4">
        <f>IF(AND(N258&gt;0,O258=0),"Yes","No")</f>
        <v/>
      </c>
      <c r="Q258" s="4" t="n">
        <v>0</v>
      </c>
      <c r="R258" s="4" t="n">
        <v>0</v>
      </c>
      <c r="S258" s="4" t="n">
        <v>0</v>
      </c>
      <c r="T258" s="4" t="inlineStr">
        <is>
          <t>C++</t>
        </is>
      </c>
      <c r="U258" s="4" t="n">
        <v>100</v>
      </c>
      <c r="V258" s="9" t="inlineStr">
        <is>
          <t>Submission 1445450809</t>
        </is>
      </c>
      <c r="W258" s="9" t="inlineStr">
        <is>
          <t>Open code</t>
        </is>
      </c>
      <c r="X258" s="4" t="n">
        <v>1</v>
      </c>
      <c r="Y258" s="4" t="inlineStr">
        <is>
          <t>2024-11</t>
        </is>
      </c>
    </row>
    <row r="259">
      <c r="A259" s="4" t="n">
        <v>258</v>
      </c>
      <c r="B259" s="4" t="n">
        <v>198</v>
      </c>
      <c r="C259" s="9" t="inlineStr">
        <is>
          <t>House Robber</t>
        </is>
      </c>
      <c r="D259" s="12" t="inlineStr">
        <is>
          <t>Medium</t>
        </is>
      </c>
      <c r="E259" s="4" t="inlineStr">
        <is>
          <t>DP: 1D / Linear</t>
        </is>
      </c>
      <c r="F259" s="4" t="inlineStr">
        <is>
          <t>Take/skip</t>
        </is>
      </c>
      <c r="G259" s="4" t="inlineStr">
        <is>
          <t>Dynamic Programming</t>
        </is>
      </c>
      <c r="H259" s="4" t="inlineStr">
        <is>
          <t>array, dynamic-programming</t>
        </is>
      </c>
      <c r="I259" s="4" t="inlineStr">
        <is>
          <t>Solved</t>
        </is>
      </c>
      <c r="J259" s="11" t="n">
        <v>45681.58309027777</v>
      </c>
      <c r="K259" s="11" t="n">
        <v>45681.58309027777</v>
      </c>
      <c r="L259" s="11" t="n">
        <v>45681.58576388889</v>
      </c>
      <c r="M259" s="4" t="n">
        <v>2</v>
      </c>
      <c r="N259" s="4" t="n">
        <v>2</v>
      </c>
      <c r="O259" s="4" t="n">
        <v>0</v>
      </c>
      <c r="P259" s="4">
        <f>IF(AND(N259&gt;0,O259=0),"Yes","No")</f>
        <v/>
      </c>
      <c r="Q259" s="4" t="n">
        <v>0</v>
      </c>
      <c r="R259" s="4" t="n">
        <v>0</v>
      </c>
      <c r="S259" s="4" t="n">
        <v>0</v>
      </c>
      <c r="T259" s="4" t="inlineStr">
        <is>
          <t>C++</t>
        </is>
      </c>
      <c r="U259" s="4" t="n">
        <v>100</v>
      </c>
      <c r="V259" s="9" t="inlineStr">
        <is>
          <t>Submission 1518842548</t>
        </is>
      </c>
      <c r="W259" s="9" t="inlineStr">
        <is>
          <t>Open code</t>
        </is>
      </c>
      <c r="X259" s="4" t="n">
        <v>5</v>
      </c>
      <c r="Y259" s="4" t="inlineStr">
        <is>
          <t>2025-01</t>
        </is>
      </c>
    </row>
    <row r="260">
      <c r="A260" s="4" t="n">
        <v>259</v>
      </c>
      <c r="B260" s="4" t="n">
        <v>746</v>
      </c>
      <c r="C260" s="9" t="inlineStr">
        <is>
          <t>Min Cost Climbing Stairs</t>
        </is>
      </c>
      <c r="D260" s="10" t="inlineStr">
        <is>
          <t>Easy</t>
        </is>
      </c>
      <c r="E260" s="4" t="inlineStr">
        <is>
          <t>DP: 1D / Linear</t>
        </is>
      </c>
      <c r="F260" s="4" t="inlineStr">
        <is>
          <t>Stairs</t>
        </is>
      </c>
      <c r="G260" s="4" t="inlineStr">
        <is>
          <t>Dynamic Programming</t>
        </is>
      </c>
      <c r="H260" s="4" t="inlineStr">
        <is>
          <t>array, dynamic-programming</t>
        </is>
      </c>
      <c r="I260" s="4" t="inlineStr">
        <is>
          <t>Solved</t>
        </is>
      </c>
      <c r="J260" s="11" t="n">
        <v>45681.61722222222</v>
      </c>
      <c r="K260" s="11" t="n">
        <v>45681.6205787037</v>
      </c>
      <c r="L260" s="11" t="n">
        <v>45681.6205787037</v>
      </c>
      <c r="M260" s="4" t="n">
        <v>2</v>
      </c>
      <c r="N260" s="4" t="n">
        <v>1</v>
      </c>
      <c r="O260" s="4" t="n">
        <v>1</v>
      </c>
      <c r="P260" s="4">
        <f>IF(AND(N260&gt;0,O260=0),"Yes","No")</f>
        <v/>
      </c>
      <c r="Q260" s="4" t="n">
        <v>0</v>
      </c>
      <c r="R260" s="4" t="n">
        <v>1</v>
      </c>
      <c r="S260" s="4" t="n">
        <v>0</v>
      </c>
      <c r="T260" s="4" t="inlineStr">
        <is>
          <t>C++</t>
        </is>
      </c>
      <c r="U260" s="4" t="n">
        <v>100</v>
      </c>
      <c r="V260" s="9" t="inlineStr">
        <is>
          <t>Submission 1518880175</t>
        </is>
      </c>
      <c r="W260" s="9" t="inlineStr">
        <is>
          <t>Open code</t>
        </is>
      </c>
      <c r="X260" s="4" t="n">
        <v>6</v>
      </c>
      <c r="Y260" s="4" t="inlineStr">
        <is>
          <t>2025-01</t>
        </is>
      </c>
    </row>
    <row r="261">
      <c r="A261" s="4" t="n">
        <v>260</v>
      </c>
      <c r="B261" s="4" t="n">
        <v>169</v>
      </c>
      <c r="C261" s="9" t="inlineStr">
        <is>
          <t>Majority Element</t>
        </is>
      </c>
      <c r="D261" s="10" t="inlineStr">
        <is>
          <t>Easy</t>
        </is>
      </c>
      <c r="E261" s="4" t="inlineStr">
        <is>
          <t>Arrays, Hashing &amp; Sorting</t>
        </is>
      </c>
      <c r="F261" s="4" t="inlineStr">
        <is>
          <t>Boyer-Moore vote</t>
        </is>
      </c>
      <c r="G261" s="4" t="inlineStr">
        <is>
          <t>Arrays &amp; Strings</t>
        </is>
      </c>
      <c r="H261" s="4" t="inlineStr">
        <is>
          <t>array, hash-table, divide-and-conquer, sorting, counting, boyer-moore-majority-vote-algorithm</t>
        </is>
      </c>
      <c r="I261" s="4" t="inlineStr">
        <is>
          <t>Solved</t>
        </is>
      </c>
      <c r="J261" s="11" t="n">
        <v>45682.47920138889</v>
      </c>
      <c r="K261" s="11" t="n">
        <v>45682.47920138889</v>
      </c>
      <c r="L261" s="11" t="n">
        <v>45682.47920138889</v>
      </c>
      <c r="M261" s="4" t="n">
        <v>1</v>
      </c>
      <c r="N261" s="4" t="n">
        <v>1</v>
      </c>
      <c r="O261" s="4" t="n">
        <v>0</v>
      </c>
      <c r="P261" s="4">
        <f>IF(AND(N261&gt;0,O261=0),"Yes","No")</f>
        <v/>
      </c>
      <c r="Q261" s="4" t="n">
        <v>0</v>
      </c>
      <c r="R261" s="4" t="n">
        <v>0</v>
      </c>
      <c r="S261" s="4" t="n">
        <v>0</v>
      </c>
      <c r="T261" s="4" t="inlineStr">
        <is>
          <t>C++</t>
        </is>
      </c>
      <c r="U261" s="4" t="n">
        <v>100</v>
      </c>
      <c r="V261" s="9" t="inlineStr">
        <is>
          <t>Submission 1519712914</t>
        </is>
      </c>
      <c r="W261" s="9" t="inlineStr">
        <is>
          <t>Open code</t>
        </is>
      </c>
      <c r="X261" s="4" t="n">
        <v>1</v>
      </c>
      <c r="Y261" s="4" t="inlineStr">
        <is>
          <t>2025-01</t>
        </is>
      </c>
    </row>
    <row r="262">
      <c r="A262" s="4" t="n">
        <v>261</v>
      </c>
      <c r="B262" s="4" t="n">
        <v>128</v>
      </c>
      <c r="C262" s="9" t="inlineStr">
        <is>
          <t>Longest Consecutive Sequence</t>
        </is>
      </c>
      <c r="D262" s="12" t="inlineStr">
        <is>
          <t>Medium</t>
        </is>
      </c>
      <c r="E262" s="4" t="inlineStr">
        <is>
          <t>Arrays, Hashing &amp; Sorting</t>
        </is>
      </c>
      <c r="F262" s="4" t="inlineStr">
        <is>
          <t>Hash set run starts</t>
        </is>
      </c>
      <c r="G262" s="4" t="inlineStr">
        <is>
          <t>Arrays &amp; Strings</t>
        </is>
      </c>
      <c r="H262" s="4" t="inlineStr">
        <is>
          <t>array, hash-table, union-find</t>
        </is>
      </c>
      <c r="I262" s="4" t="inlineStr">
        <is>
          <t>Solved</t>
        </is>
      </c>
      <c r="J262" s="11" t="n">
        <v>45738.92149305555</v>
      </c>
      <c r="K262" s="11" t="n">
        <v>45738.92864583333</v>
      </c>
      <c r="L262" s="11" t="n">
        <v>45738.92864583333</v>
      </c>
      <c r="M262" s="4" t="n">
        <v>2</v>
      </c>
      <c r="N262" s="4" t="n">
        <v>1</v>
      </c>
      <c r="O262" s="4" t="n">
        <v>1</v>
      </c>
      <c r="P262" s="4">
        <f>IF(AND(N262&gt;0,O262=0),"Yes","No")</f>
        <v/>
      </c>
      <c r="Q262" s="4" t="n">
        <v>0</v>
      </c>
      <c r="R262" s="4" t="n">
        <v>1</v>
      </c>
      <c r="S262" s="4" t="n">
        <v>0</v>
      </c>
      <c r="T262" s="4" t="inlineStr">
        <is>
          <t>C++</t>
        </is>
      </c>
      <c r="U262" s="4" t="n">
        <v>5.1</v>
      </c>
      <c r="V262" s="9" t="inlineStr">
        <is>
          <t>Submission 1582453958</t>
        </is>
      </c>
      <c r="W262" s="9" t="inlineStr">
        <is>
          <t>Open code</t>
        </is>
      </c>
      <c r="X262" s="4" t="n">
        <v>2</v>
      </c>
      <c r="Y262" s="4" t="inlineStr">
        <is>
          <t>2025-03</t>
        </is>
      </c>
    </row>
    <row r="263">
      <c r="A263" s="4" t="n">
        <v>262</v>
      </c>
      <c r="B263" s="4" t="n">
        <v>567</v>
      </c>
      <c r="C263" s="9" t="inlineStr">
        <is>
          <t>Permutation in String</t>
        </is>
      </c>
      <c r="D263" s="12" t="inlineStr">
        <is>
          <t>Medium</t>
        </is>
      </c>
      <c r="E263" s="4" t="inlineStr">
        <is>
          <t>Sliding Window</t>
        </is>
      </c>
      <c r="F263" s="4" t="inlineStr">
        <is>
          <t>Fixed window counts</t>
        </is>
      </c>
      <c r="G263" s="4" t="inlineStr">
        <is>
          <t>Arrays &amp; Strings</t>
        </is>
      </c>
      <c r="H263" s="4" t="inlineStr">
        <is>
          <t>hash-table, two-pointers, string, sliding-window</t>
        </is>
      </c>
      <c r="I263" s="4" t="inlineStr">
        <is>
          <t>Solved</t>
        </is>
      </c>
      <c r="J263" s="11" t="n">
        <v>45738.9562962963</v>
      </c>
      <c r="K263" s="11" t="n">
        <v>45738.9562962963</v>
      </c>
      <c r="L263" s="11" t="n">
        <v>45738.9562962963</v>
      </c>
      <c r="M263" s="4" t="n">
        <v>1</v>
      </c>
      <c r="N263" s="4" t="n">
        <v>1</v>
      </c>
      <c r="O263" s="4" t="n">
        <v>0</v>
      </c>
      <c r="P263" s="4">
        <f>IF(AND(N263&gt;0,O263=0),"Yes","No")</f>
        <v/>
      </c>
      <c r="Q263" s="4" t="n">
        <v>0</v>
      </c>
      <c r="R263" s="4" t="n">
        <v>0</v>
      </c>
      <c r="S263" s="4" t="n">
        <v>0</v>
      </c>
      <c r="T263" s="4" t="inlineStr">
        <is>
          <t>C++</t>
        </is>
      </c>
      <c r="U263" s="4" t="n">
        <v>64.59999999999999</v>
      </c>
      <c r="V263" s="9" t="inlineStr">
        <is>
          <t>Submission 1582490159</t>
        </is>
      </c>
      <c r="W263" s="9" t="inlineStr">
        <is>
          <t>Open code</t>
        </is>
      </c>
      <c r="X263" s="4" t="n">
        <v>1</v>
      </c>
      <c r="Y263" s="4" t="inlineStr">
        <is>
          <t>2025-03</t>
        </is>
      </c>
    </row>
    <row r="264">
      <c r="A264" s="4" t="n">
        <v>263</v>
      </c>
      <c r="B264" s="4" t="n">
        <v>424</v>
      </c>
      <c r="C264" s="9" t="inlineStr">
        <is>
          <t>Longest Repeating Character Replacement</t>
        </is>
      </c>
      <c r="D264" s="12" t="inlineStr">
        <is>
          <t>Medium</t>
        </is>
      </c>
      <c r="E264" s="4" t="inlineStr">
        <is>
          <t>Sliding Window</t>
        </is>
      </c>
      <c r="F264" s="4" t="inlineStr">
        <is>
          <t>Variable window, max frequency</t>
        </is>
      </c>
      <c r="G264" s="4" t="inlineStr">
        <is>
          <t>Arrays &amp; Strings</t>
        </is>
      </c>
      <c r="H264" s="4" t="inlineStr">
        <is>
          <t>hash-table, string, sliding-window</t>
        </is>
      </c>
      <c r="I264" s="4" t="inlineStr">
        <is>
          <t>Solved</t>
        </is>
      </c>
      <c r="J264" s="11" t="n">
        <v>45738.98885416667</v>
      </c>
      <c r="K264" s="11" t="n">
        <v>45738.98885416667</v>
      </c>
      <c r="L264" s="11" t="n">
        <v>45738.9922337963</v>
      </c>
      <c r="M264" s="4" t="n">
        <v>2</v>
      </c>
      <c r="N264" s="4" t="n">
        <v>2</v>
      </c>
      <c r="O264" s="4" t="n">
        <v>0</v>
      </c>
      <c r="P264" s="4">
        <f>IF(AND(N264&gt;0,O264=0),"Yes","No")</f>
        <v/>
      </c>
      <c r="Q264" s="4" t="n">
        <v>0</v>
      </c>
      <c r="R264" s="4" t="n">
        <v>0</v>
      </c>
      <c r="S264" s="4" t="n">
        <v>0</v>
      </c>
      <c r="T264" s="4" t="inlineStr">
        <is>
          <t>C++</t>
        </is>
      </c>
      <c r="U264" s="4" t="n">
        <v>70.3</v>
      </c>
      <c r="V264" s="9" t="inlineStr">
        <is>
          <t>Submission 1582540804</t>
        </is>
      </c>
      <c r="W264" s="9" t="inlineStr">
        <is>
          <t>Open code</t>
        </is>
      </c>
      <c r="X264" s="4" t="n">
        <v>0</v>
      </c>
      <c r="Y264" s="4" t="inlineStr">
        <is>
          <t>2025-03</t>
        </is>
      </c>
    </row>
    <row r="265">
      <c r="A265" s="4" t="n">
        <v>264</v>
      </c>
      <c r="B265" s="4" t="n">
        <v>739</v>
      </c>
      <c r="C265" s="9" t="inlineStr">
        <is>
          <t>Daily Temperatures</t>
        </is>
      </c>
      <c r="D265" s="12" t="inlineStr">
        <is>
          <t>Medium</t>
        </is>
      </c>
      <c r="E265" s="4" t="inlineStr">
        <is>
          <t>Monotonic Stack / Deque</t>
        </is>
      </c>
      <c r="F265" s="4" t="inlineStr">
        <is>
          <t>Next greater element</t>
        </is>
      </c>
      <c r="G265" s="4" t="inlineStr">
        <is>
          <t>Stacks &amp; Queues</t>
        </is>
      </c>
      <c r="H265" s="4" t="inlineStr">
        <is>
          <t>array, stack, monotonic-stack</t>
        </is>
      </c>
      <c r="I265" s="4" t="inlineStr">
        <is>
          <t>Solved</t>
        </is>
      </c>
      <c r="J265" s="11" t="n">
        <v>45738.99996527778</v>
      </c>
      <c r="K265" s="11" t="n">
        <v>45738.99996527778</v>
      </c>
      <c r="L265" s="11" t="n">
        <v>45738.99996527778</v>
      </c>
      <c r="M265" s="4" t="n">
        <v>1</v>
      </c>
      <c r="N265" s="4" t="n">
        <v>1</v>
      </c>
      <c r="O265" s="4" t="n">
        <v>0</v>
      </c>
      <c r="P265" s="4">
        <f>IF(AND(N265&gt;0,O265=0),"Yes","No")</f>
        <v/>
      </c>
      <c r="Q265" s="4" t="n">
        <v>0</v>
      </c>
      <c r="R265" s="4" t="n">
        <v>0</v>
      </c>
      <c r="S265" s="4" t="n">
        <v>0</v>
      </c>
      <c r="T265" s="4" t="inlineStr">
        <is>
          <t>C++</t>
        </is>
      </c>
      <c r="U265" s="4" t="n">
        <v>52.9</v>
      </c>
      <c r="V265" s="9" t="inlineStr">
        <is>
          <t>Submission 1582551479</t>
        </is>
      </c>
      <c r="W265" s="9" t="inlineStr">
        <is>
          <t>Open code</t>
        </is>
      </c>
      <c r="X265" s="4" t="n">
        <v>2</v>
      </c>
      <c r="Y265" s="4" t="inlineStr">
        <is>
          <t>2025-03</t>
        </is>
      </c>
    </row>
    <row r="266">
      <c r="A266" s="4" t="n">
        <v>265</v>
      </c>
      <c r="B266" s="4" t="n">
        <v>853</v>
      </c>
      <c r="C266" s="9" t="inlineStr">
        <is>
          <t>Car Fleet</t>
        </is>
      </c>
      <c r="D266" s="12" t="inlineStr">
        <is>
          <t>Medium</t>
        </is>
      </c>
      <c r="E266" s="4" t="inlineStr">
        <is>
          <t>Monotonic Stack / Deque</t>
        </is>
      </c>
      <c r="F266" s="4" t="inlineStr">
        <is>
          <t>Sort + stack of arrival times</t>
        </is>
      </c>
      <c r="G266" s="4" t="inlineStr">
        <is>
          <t>Stacks &amp; Queues</t>
        </is>
      </c>
      <c r="H266" s="4" t="inlineStr">
        <is>
          <t>array, stack, sorting, monotonic-stack</t>
        </is>
      </c>
      <c r="I266" s="4" t="inlineStr">
        <is>
          <t>Solved</t>
        </is>
      </c>
      <c r="J266" s="11" t="n">
        <v>45739.01403935185</v>
      </c>
      <c r="K266" s="11" t="n">
        <v>45739.01403935185</v>
      </c>
      <c r="L266" s="11" t="n">
        <v>45739.02101851852</v>
      </c>
      <c r="M266" s="4" t="n">
        <v>3</v>
      </c>
      <c r="N266" s="4" t="n">
        <v>3</v>
      </c>
      <c r="O266" s="4" t="n">
        <v>0</v>
      </c>
      <c r="P266" s="4">
        <f>IF(AND(N266&gt;0,O266=0),"Yes","No")</f>
        <v/>
      </c>
      <c r="Q266" s="4" t="n">
        <v>0</v>
      </c>
      <c r="R266" s="4" t="n">
        <v>0</v>
      </c>
      <c r="S266" s="4" t="n">
        <v>0</v>
      </c>
      <c r="T266" s="4" t="inlineStr">
        <is>
          <t>C++</t>
        </is>
      </c>
      <c r="U266" s="4" t="n">
        <v>97.8</v>
      </c>
      <c r="V266" s="9" t="inlineStr">
        <is>
          <t>Submission 1582577529</t>
        </is>
      </c>
      <c r="W266" s="9" t="inlineStr">
        <is>
          <t>Open code</t>
        </is>
      </c>
      <c r="X266" s="4" t="n">
        <v>0</v>
      </c>
      <c r="Y266" s="4" t="inlineStr">
        <is>
          <t>2025-03</t>
        </is>
      </c>
    </row>
    <row r="267">
      <c r="A267" s="4" t="n">
        <v>266</v>
      </c>
      <c r="B267" s="4" t="n">
        <v>150</v>
      </c>
      <c r="C267" s="9" t="inlineStr">
        <is>
          <t>Evaluate Reverse Polish Notation</t>
        </is>
      </c>
      <c r="D267" s="12" t="inlineStr">
        <is>
          <t>Medium</t>
        </is>
      </c>
      <c r="E267" s="4" t="inlineStr">
        <is>
          <t>Stack</t>
        </is>
      </c>
      <c r="F267" s="4" t="inlineStr">
        <is>
          <t>Postfix evaluation</t>
        </is>
      </c>
      <c r="G267" s="4" t="inlineStr">
        <is>
          <t>Stacks &amp; Queues</t>
        </is>
      </c>
      <c r="H267" s="4" t="inlineStr">
        <is>
          <t>array, math, stack</t>
        </is>
      </c>
      <c r="I267" s="4" t="inlineStr">
        <is>
          <t>Solved</t>
        </is>
      </c>
      <c r="J267" s="11" t="n">
        <v>45739.03100694445</v>
      </c>
      <c r="K267" s="11" t="n">
        <v>45739.03100694445</v>
      </c>
      <c r="L267" s="11" t="n">
        <v>45739.03309027778</v>
      </c>
      <c r="M267" s="4" t="n">
        <v>2</v>
      </c>
      <c r="N267" s="4" t="n">
        <v>2</v>
      </c>
      <c r="O267" s="4" t="n">
        <v>0</v>
      </c>
      <c r="P267" s="4">
        <f>IF(AND(N267&gt;0,O267=0),"Yes","No")</f>
        <v/>
      </c>
      <c r="Q267" s="4" t="n">
        <v>0</v>
      </c>
      <c r="R267" s="4" t="n">
        <v>0</v>
      </c>
      <c r="S267" s="4" t="n">
        <v>0</v>
      </c>
      <c r="T267" s="4" t="inlineStr">
        <is>
          <t>C++</t>
        </is>
      </c>
      <c r="U267" s="4" t="n">
        <v>100</v>
      </c>
      <c r="V267" s="9" t="inlineStr">
        <is>
          <t>Submission 1582591241</t>
        </is>
      </c>
      <c r="W267" s="9" t="inlineStr">
        <is>
          <t>Open code</t>
        </is>
      </c>
      <c r="X267" s="4" t="n">
        <v>0</v>
      </c>
      <c r="Y267" s="4" t="inlineStr">
        <is>
          <t>2025-03</t>
        </is>
      </c>
    </row>
    <row r="268">
      <c r="A268" s="4" t="n">
        <v>267</v>
      </c>
      <c r="B268" s="4" t="n">
        <v>981</v>
      </c>
      <c r="C268" s="9" t="inlineStr">
        <is>
          <t>Time Based Key-Value Store</t>
        </is>
      </c>
      <c r="D268" s="12" t="inlineStr">
        <is>
          <t>Medium</t>
        </is>
      </c>
      <c r="E268" s="4" t="inlineStr">
        <is>
          <t>Design</t>
        </is>
      </c>
      <c r="F268" s="4" t="inlineStr">
        <is>
          <t>Map + binary search</t>
        </is>
      </c>
      <c r="G268" s="4" t="inlineStr">
        <is>
          <t>Design</t>
        </is>
      </c>
      <c r="H268" s="4" t="inlineStr">
        <is>
          <t>hash-table, string, binary-search, design</t>
        </is>
      </c>
      <c r="I268" s="4" t="inlineStr">
        <is>
          <t>Solved</t>
        </is>
      </c>
      <c r="J268" s="11" t="n">
        <v>45739.05625</v>
      </c>
      <c r="K268" s="11" t="n">
        <v>45739.05625</v>
      </c>
      <c r="L268" s="11" t="n">
        <v>45739.05690972223</v>
      </c>
      <c r="M268" s="4" t="n">
        <v>2</v>
      </c>
      <c r="N268" s="4" t="n">
        <v>2</v>
      </c>
      <c r="O268" s="4" t="n">
        <v>0</v>
      </c>
      <c r="P268" s="4">
        <f>IF(AND(N268&gt;0,O268=0),"Yes","No")</f>
        <v/>
      </c>
      <c r="Q268" s="4" t="n">
        <v>0</v>
      </c>
      <c r="R268" s="4" t="n">
        <v>0</v>
      </c>
      <c r="S268" s="4" t="n">
        <v>0</v>
      </c>
      <c r="T268" s="4" t="inlineStr">
        <is>
          <t>C++</t>
        </is>
      </c>
      <c r="U268" s="4" t="n">
        <v>63.8</v>
      </c>
      <c r="V268" s="9" t="inlineStr">
        <is>
          <t>Submission 1582616736</t>
        </is>
      </c>
      <c r="W268" s="9" t="inlineStr">
        <is>
          <t>Open code</t>
        </is>
      </c>
      <c r="X268" s="4" t="n">
        <v>2</v>
      </c>
      <c r="Y268" s="4" t="inlineStr">
        <is>
          <t>2025-03</t>
        </is>
      </c>
    </row>
    <row r="269">
      <c r="A269" s="4" t="n">
        <v>268</v>
      </c>
      <c r="B269" s="4" t="n">
        <v>155</v>
      </c>
      <c r="C269" s="9" t="inlineStr">
        <is>
          <t>Min Stack</t>
        </is>
      </c>
      <c r="D269" s="12" t="inlineStr">
        <is>
          <t>Medium</t>
        </is>
      </c>
      <c r="E269" s="4" t="inlineStr">
        <is>
          <t>Stack</t>
        </is>
      </c>
      <c r="F269" s="4" t="inlineStr">
        <is>
          <t>Stack with running min</t>
        </is>
      </c>
      <c r="G269" s="4" t="inlineStr">
        <is>
          <t>Stacks &amp; Queues</t>
        </is>
      </c>
      <c r="H269" s="4" t="inlineStr">
        <is>
          <t>stack, design</t>
        </is>
      </c>
      <c r="I269" s="4" t="inlineStr">
        <is>
          <t>Solved</t>
        </is>
      </c>
      <c r="J269" s="11" t="n">
        <v>45739.05966435185</v>
      </c>
      <c r="K269" s="11" t="n">
        <v>45739.05966435185</v>
      </c>
      <c r="L269" s="11" t="n">
        <v>45739.05966435185</v>
      </c>
      <c r="M269" s="4" t="n">
        <v>1</v>
      </c>
      <c r="N269" s="4" t="n">
        <v>1</v>
      </c>
      <c r="O269" s="4" t="n">
        <v>0</v>
      </c>
      <c r="P269" s="4">
        <f>IF(AND(N269&gt;0,O269=0),"Yes","No")</f>
        <v/>
      </c>
      <c r="Q269" s="4" t="n">
        <v>0</v>
      </c>
      <c r="R269" s="4" t="n">
        <v>0</v>
      </c>
      <c r="S269" s="4" t="n">
        <v>0</v>
      </c>
      <c r="T269" s="4" t="inlineStr">
        <is>
          <t>C++</t>
        </is>
      </c>
      <c r="U269" s="4" t="n">
        <v>100</v>
      </c>
      <c r="V269" s="9" t="inlineStr">
        <is>
          <t>Submission 1582619549</t>
        </is>
      </c>
      <c r="W269" s="9" t="inlineStr">
        <is>
          <t>Open code</t>
        </is>
      </c>
      <c r="X269" s="4" t="n">
        <v>0</v>
      </c>
      <c r="Y269" s="4" t="inlineStr">
        <is>
          <t>2025-03</t>
        </is>
      </c>
    </row>
    <row r="270">
      <c r="A270" s="4" t="n">
        <v>269</v>
      </c>
      <c r="B270" s="4" t="n">
        <v>143</v>
      </c>
      <c r="C270" s="9" t="inlineStr">
        <is>
          <t>Reorder List</t>
        </is>
      </c>
      <c r="D270" s="12" t="inlineStr">
        <is>
          <t>Medium</t>
        </is>
      </c>
      <c r="E270" s="4" t="inlineStr">
        <is>
          <t>Linked List</t>
        </is>
      </c>
      <c r="F270" s="4" t="inlineStr">
        <is>
          <t>Middle + reverse + merge</t>
        </is>
      </c>
      <c r="G270" s="4" t="inlineStr">
        <is>
          <t>Linked List</t>
        </is>
      </c>
      <c r="H270" s="4" t="inlineStr">
        <is>
          <t>linked-list, two-pointers, stack, recursion</t>
        </is>
      </c>
      <c r="I270" s="4" t="inlineStr">
        <is>
          <t>Solved</t>
        </is>
      </c>
      <c r="J270" s="11" t="n">
        <v>45739.7156712963</v>
      </c>
      <c r="K270" s="11" t="n">
        <v>45739.7156712963</v>
      </c>
      <c r="L270" s="11" t="n">
        <v>45739.76688657407</v>
      </c>
      <c r="M270" s="4" t="n">
        <v>6</v>
      </c>
      <c r="N270" s="4" t="n">
        <v>6</v>
      </c>
      <c r="O270" s="4" t="n">
        <v>0</v>
      </c>
      <c r="P270" s="4">
        <f>IF(AND(N270&gt;0,O270=0),"Yes","No")</f>
        <v/>
      </c>
      <c r="Q270" s="4" t="n">
        <v>0</v>
      </c>
      <c r="R270" s="4" t="n">
        <v>0</v>
      </c>
      <c r="S270" s="4" t="n">
        <v>0</v>
      </c>
      <c r="T270" s="4" t="inlineStr">
        <is>
          <t>C++</t>
        </is>
      </c>
      <c r="U270" s="4" t="n">
        <v>100</v>
      </c>
      <c r="V270" s="9" t="inlineStr">
        <is>
          <t>Submission 1583304906</t>
        </is>
      </c>
      <c r="W270" s="9" t="inlineStr">
        <is>
          <t>Open code</t>
        </is>
      </c>
      <c r="X270" s="4" t="n">
        <v>0</v>
      </c>
      <c r="Y270" s="4" t="inlineStr">
        <is>
          <t>2025-03</t>
        </is>
      </c>
    </row>
    <row r="271">
      <c r="A271" s="4" t="n">
        <v>270</v>
      </c>
      <c r="B271" s="4" t="n">
        <v>19</v>
      </c>
      <c r="C271" s="9" t="inlineStr">
        <is>
          <t>Remove Nth Node From End of List</t>
        </is>
      </c>
      <c r="D271" s="12" t="inlineStr">
        <is>
          <t>Medium</t>
        </is>
      </c>
      <c r="E271" s="4" t="inlineStr">
        <is>
          <t>Linked List</t>
        </is>
      </c>
      <c r="F271" s="4" t="inlineStr">
        <is>
          <t>Two pointers with gap</t>
        </is>
      </c>
      <c r="G271" s="4" t="inlineStr">
        <is>
          <t>Linked List</t>
        </is>
      </c>
      <c r="H271" s="4" t="inlineStr">
        <is>
          <t>linked-list, two-pointers</t>
        </is>
      </c>
      <c r="I271" s="4" t="inlineStr">
        <is>
          <t>Solved</t>
        </is>
      </c>
      <c r="J271" s="11" t="n">
        <v>45739.75930555556</v>
      </c>
      <c r="K271" s="11" t="n">
        <v>45739.75930555556</v>
      </c>
      <c r="L271" s="11" t="n">
        <v>45739.75930555556</v>
      </c>
      <c r="M271" s="4" t="n">
        <v>1</v>
      </c>
      <c r="N271" s="4" t="n">
        <v>1</v>
      </c>
      <c r="O271" s="4" t="n">
        <v>0</v>
      </c>
      <c r="P271" s="4">
        <f>IF(AND(N271&gt;0,O271=0),"Yes","No")</f>
        <v/>
      </c>
      <c r="Q271" s="4" t="n">
        <v>0</v>
      </c>
      <c r="R271" s="4" t="n">
        <v>0</v>
      </c>
      <c r="S271" s="4" t="n">
        <v>0</v>
      </c>
      <c r="T271" s="4" t="inlineStr">
        <is>
          <t>C++</t>
        </is>
      </c>
      <c r="U271" s="4" t="n">
        <v>100</v>
      </c>
      <c r="V271" s="9" t="inlineStr">
        <is>
          <t>Submission 1583297279</t>
        </is>
      </c>
      <c r="W271" s="9" t="inlineStr">
        <is>
          <t>Open code</t>
        </is>
      </c>
      <c r="X271" s="4" t="n">
        <v>0</v>
      </c>
      <c r="Y271" s="4" t="inlineStr">
        <is>
          <t>2025-03</t>
        </is>
      </c>
    </row>
    <row r="272">
      <c r="A272" s="4" t="n">
        <v>271</v>
      </c>
      <c r="B272" s="4" t="n">
        <v>1094</v>
      </c>
      <c r="C272" s="9" t="inlineStr">
        <is>
          <t>Car Pooling</t>
        </is>
      </c>
      <c r="D272" s="12" t="inlineStr">
        <is>
          <t>Medium</t>
        </is>
      </c>
      <c r="E272" s="4" t="inlineStr">
        <is>
          <t>Prefix Sum &amp; Difference Array</t>
        </is>
      </c>
      <c r="F272" s="4" t="inlineStr">
        <is>
          <t>Difference array</t>
        </is>
      </c>
      <c r="G272" s="4" t="inlineStr">
        <is>
          <t>Arrays &amp; Strings</t>
        </is>
      </c>
      <c r="H272" s="4" t="inlineStr">
        <is>
          <t>array, sorting, heap-priority-queue, simulation, prefix-sum</t>
        </is>
      </c>
      <c r="I272" s="4" t="inlineStr">
        <is>
          <t>Solved</t>
        </is>
      </c>
      <c r="J272" s="11" t="n">
        <v>45763.71064814815</v>
      </c>
      <c r="K272" s="11" t="n">
        <v>45763.71064814815</v>
      </c>
      <c r="L272" s="11" t="n">
        <v>45763.71064814815</v>
      </c>
      <c r="M272" s="4" t="n">
        <v>1</v>
      </c>
      <c r="N272" s="4" t="n">
        <v>1</v>
      </c>
      <c r="O272" s="4" t="n">
        <v>0</v>
      </c>
      <c r="P272" s="4">
        <f>IF(AND(N272&gt;0,O272=0),"Yes","No")</f>
        <v/>
      </c>
      <c r="Q272" s="4" t="n">
        <v>0</v>
      </c>
      <c r="R272" s="4" t="n">
        <v>0</v>
      </c>
      <c r="S272" s="4" t="n">
        <v>0</v>
      </c>
      <c r="T272" s="4" t="inlineStr">
        <is>
          <t>C++</t>
        </is>
      </c>
      <c r="U272" s="4" t="n">
        <v>100</v>
      </c>
      <c r="V272" s="9" t="inlineStr">
        <is>
          <t>Submission 1608472430</t>
        </is>
      </c>
      <c r="W272" s="9" t="inlineStr">
        <is>
          <t>Open code</t>
        </is>
      </c>
      <c r="X272" s="4" t="n">
        <v>0</v>
      </c>
      <c r="Y272" s="4" t="inlineStr">
        <is>
          <t>2025-04</t>
        </is>
      </c>
    </row>
    <row r="273">
      <c r="A273" s="4" t="n">
        <v>272</v>
      </c>
      <c r="B273" s="4" t="n">
        <v>2381</v>
      </c>
      <c r="C273" s="9" t="inlineStr">
        <is>
          <t>Shifting Letters II</t>
        </is>
      </c>
      <c r="D273" s="12" t="inlineStr">
        <is>
          <t>Medium</t>
        </is>
      </c>
      <c r="E273" s="4" t="inlineStr">
        <is>
          <t>Prefix Sum &amp; Difference Array</t>
        </is>
      </c>
      <c r="F273" s="4" t="inlineStr">
        <is>
          <t>Difference array</t>
        </is>
      </c>
      <c r="G273" s="4" t="inlineStr">
        <is>
          <t>Arrays &amp; Strings</t>
        </is>
      </c>
      <c r="H273" s="4" t="inlineStr">
        <is>
          <t>array, string, prefix-sum</t>
        </is>
      </c>
      <c r="I273" s="4" t="inlineStr">
        <is>
          <t>Solved</t>
        </is>
      </c>
      <c r="J273" s="11" t="n">
        <v>45763.89961805556</v>
      </c>
      <c r="K273" s="11" t="n">
        <v>45763.90224537037</v>
      </c>
      <c r="L273" s="11" t="n">
        <v>45763.90587962963</v>
      </c>
      <c r="M273" s="4" t="n">
        <v>3</v>
      </c>
      <c r="N273" s="4" t="n">
        <v>2</v>
      </c>
      <c r="O273" s="4" t="n">
        <v>1</v>
      </c>
      <c r="P273" s="4">
        <f>IF(AND(N273&gt;0,O273=0),"Yes","No")</f>
        <v/>
      </c>
      <c r="Q273" s="4" t="n">
        <v>1</v>
      </c>
      <c r="R273" s="4" t="n">
        <v>0</v>
      </c>
      <c r="S273" s="4" t="n">
        <v>0</v>
      </c>
      <c r="T273" s="4" t="inlineStr">
        <is>
          <t>C++</t>
        </is>
      </c>
      <c r="U273" s="4" t="n">
        <v>5</v>
      </c>
      <c r="V273" s="9" t="inlineStr">
        <is>
          <t>Submission 1608696090</t>
        </is>
      </c>
      <c r="W273" s="9" t="inlineStr">
        <is>
          <t>Open code</t>
        </is>
      </c>
      <c r="X273" s="4" t="n">
        <v>0</v>
      </c>
      <c r="Y273" s="4" t="inlineStr">
        <is>
          <t>2025-04</t>
        </is>
      </c>
    </row>
    <row r="274">
      <c r="A274" s="4" t="n">
        <v>273</v>
      </c>
      <c r="B274" s="4" t="n">
        <v>2251</v>
      </c>
      <c r="C274" s="9" t="inlineStr">
        <is>
          <t>Number of Flowers in Full Bloom</t>
        </is>
      </c>
      <c r="D274" s="13" t="inlineStr">
        <is>
          <t>Hard</t>
        </is>
      </c>
      <c r="E274" s="4" t="inlineStr">
        <is>
          <t>Intervals &amp; Sweep Line</t>
        </is>
      </c>
      <c r="F274" s="4" t="inlineStr">
        <is>
          <t>Sweep line / binary search</t>
        </is>
      </c>
      <c r="G274" s="4" t="inlineStr">
        <is>
          <t>Heaps &amp; Intervals</t>
        </is>
      </c>
      <c r="H274" s="4" t="inlineStr">
        <is>
          <t>array, hash-table, binary-search, sorting, prefix-sum, ordered-set</t>
        </is>
      </c>
      <c r="I274" s="4" t="inlineStr">
        <is>
          <t>Solved</t>
        </is>
      </c>
      <c r="J274" s="11" t="n">
        <v>45763.92944444445</v>
      </c>
      <c r="K274" s="11" t="n">
        <v>45763.92944444445</v>
      </c>
      <c r="L274" s="11" t="n">
        <v>45763.94685185186</v>
      </c>
      <c r="M274" s="4" t="n">
        <v>2</v>
      </c>
      <c r="N274" s="4" t="n">
        <v>2</v>
      </c>
      <c r="O274" s="4" t="n">
        <v>0</v>
      </c>
      <c r="P274" s="4">
        <f>IF(AND(N274&gt;0,O274=0),"Yes","No")</f>
        <v/>
      </c>
      <c r="Q274" s="4" t="n">
        <v>0</v>
      </c>
      <c r="R274" s="4" t="n">
        <v>0</v>
      </c>
      <c r="S274" s="4" t="n">
        <v>0</v>
      </c>
      <c r="T274" s="4" t="inlineStr">
        <is>
          <t>C++</t>
        </is>
      </c>
      <c r="U274" s="4" t="n">
        <v>19.2</v>
      </c>
      <c r="V274" s="9" t="inlineStr">
        <is>
          <t>Submission 1608755716</t>
        </is>
      </c>
      <c r="W274" s="9" t="inlineStr">
        <is>
          <t>Open code</t>
        </is>
      </c>
      <c r="X274" s="4" t="n">
        <v>0</v>
      </c>
      <c r="Y274" s="4" t="inlineStr">
        <is>
          <t>2025-04</t>
        </is>
      </c>
    </row>
    <row r="275">
      <c r="A275" s="4" t="n">
        <v>274</v>
      </c>
      <c r="B275" s="4" t="n">
        <v>646</v>
      </c>
      <c r="C275" s="9" t="inlineStr">
        <is>
          <t>Maximum Length of Pair Chain</t>
        </is>
      </c>
      <c r="D275" s="12" t="inlineStr">
        <is>
          <t>Medium</t>
        </is>
      </c>
      <c r="E275" s="4" t="inlineStr">
        <is>
          <t>Intervals &amp; Sweep Line</t>
        </is>
      </c>
      <c r="F275" s="4" t="inlineStr">
        <is>
          <t>Greedy by end</t>
        </is>
      </c>
      <c r="G275" s="4" t="inlineStr">
        <is>
          <t>Heaps &amp; Intervals</t>
        </is>
      </c>
      <c r="H275" s="4" t="inlineStr">
        <is>
          <t>array, dynamic-programming, greedy, sorting, longest-increasing-subsequence</t>
        </is>
      </c>
      <c r="I275" s="4" t="inlineStr">
        <is>
          <t>Solved</t>
        </is>
      </c>
      <c r="J275" s="11" t="n">
        <v>45763.98118055556</v>
      </c>
      <c r="K275" s="11" t="n">
        <v>45763.98118055556</v>
      </c>
      <c r="L275" s="11" t="n">
        <v>45763.98118055556</v>
      </c>
      <c r="M275" s="4" t="n">
        <v>1</v>
      </c>
      <c r="N275" s="4" t="n">
        <v>1</v>
      </c>
      <c r="O275" s="4" t="n">
        <v>0</v>
      </c>
      <c r="P275" s="4">
        <f>IF(AND(N275&gt;0,O275=0),"Yes","No")</f>
        <v/>
      </c>
      <c r="Q275" s="4" t="n">
        <v>0</v>
      </c>
      <c r="R275" s="4" t="n">
        <v>0</v>
      </c>
      <c r="S275" s="4" t="n">
        <v>0</v>
      </c>
      <c r="T275" s="4" t="inlineStr">
        <is>
          <t>C++</t>
        </is>
      </c>
      <c r="U275" s="4" t="n">
        <v>59.3</v>
      </c>
      <c r="V275" s="9" t="inlineStr">
        <is>
          <t>Submission 1608807314</t>
        </is>
      </c>
      <c r="W275" s="9" t="inlineStr">
        <is>
          <t>Open code</t>
        </is>
      </c>
      <c r="X275" s="4" t="n">
        <v>0</v>
      </c>
      <c r="Y275" s="4" t="inlineStr">
        <is>
          <t>2025-04</t>
        </is>
      </c>
    </row>
    <row r="276">
      <c r="A276" s="4" t="n">
        <v>275</v>
      </c>
      <c r="B276" s="4" t="n">
        <v>547</v>
      </c>
      <c r="C276" s="9" t="inlineStr">
        <is>
          <t>Number of Provinces</t>
        </is>
      </c>
      <c r="D276" s="12" t="inlineStr">
        <is>
          <t>Medium</t>
        </is>
      </c>
      <c r="E276" s="4" t="inlineStr">
        <is>
          <t>Graph: Union-Find</t>
        </is>
      </c>
      <c r="F276" s="4" t="inlineStr">
        <is>
          <t>Components</t>
        </is>
      </c>
      <c r="G276" s="4" t="inlineStr">
        <is>
          <t>Graphs</t>
        </is>
      </c>
      <c r="H276" s="4" t="inlineStr">
        <is>
          <t>depth-first-search, breadth-first-search, union-find, graph</t>
        </is>
      </c>
      <c r="I276" s="4" t="inlineStr">
        <is>
          <t>Solved</t>
        </is>
      </c>
      <c r="J276" s="11" t="n">
        <v>45778.41576388889</v>
      </c>
      <c r="K276" s="11" t="n">
        <v>45778.41576388889</v>
      </c>
      <c r="L276" s="11" t="n">
        <v>45778.41576388889</v>
      </c>
      <c r="M276" s="4" t="n">
        <v>1</v>
      </c>
      <c r="N276" s="4" t="n">
        <v>1</v>
      </c>
      <c r="O276" s="4" t="n">
        <v>0</v>
      </c>
      <c r="P276" s="4">
        <f>IF(AND(N276&gt;0,O276=0),"Yes","No")</f>
        <v/>
      </c>
      <c r="Q276" s="4" t="n">
        <v>0</v>
      </c>
      <c r="R276" s="4" t="n">
        <v>0</v>
      </c>
      <c r="S276" s="4" t="n">
        <v>0</v>
      </c>
      <c r="T276" s="4" t="inlineStr">
        <is>
          <t>C++</t>
        </is>
      </c>
      <c r="U276" s="4" t="n">
        <v>100</v>
      </c>
      <c r="V276" s="9" t="inlineStr">
        <is>
          <t>Submission 1622466737</t>
        </is>
      </c>
      <c r="W276" s="9" t="inlineStr">
        <is>
          <t>Open code</t>
        </is>
      </c>
      <c r="X276" s="4" t="n">
        <v>0</v>
      </c>
      <c r="Y276" s="4" t="inlineStr">
        <is>
          <t>2025-05</t>
        </is>
      </c>
    </row>
    <row r="277">
      <c r="A277" s="4" t="n">
        <v>276</v>
      </c>
      <c r="B277" s="4" t="n">
        <v>733</v>
      </c>
      <c r="C277" s="9" t="inlineStr">
        <is>
          <t>Flood Fill</t>
        </is>
      </c>
      <c r="D277" s="10" t="inlineStr">
        <is>
          <t>Easy</t>
        </is>
      </c>
      <c r="E277" s="4" t="inlineStr">
        <is>
          <t>Graph: Grid BFS/DFS</t>
        </is>
      </c>
      <c r="F277" s="4" t="inlineStr">
        <is>
          <t>Flood fill</t>
        </is>
      </c>
      <c r="G277" s="4" t="inlineStr">
        <is>
          <t>Graphs</t>
        </is>
      </c>
      <c r="H277" s="4" t="inlineStr">
        <is>
          <t>array, depth-first-search, breadth-first-search, matrix</t>
        </is>
      </c>
      <c r="I277" s="4" t="inlineStr">
        <is>
          <t>Solved</t>
        </is>
      </c>
      <c r="J277" s="11" t="n">
        <v>45778.43618055555</v>
      </c>
      <c r="K277" s="11" t="n">
        <v>45778.43618055555</v>
      </c>
      <c r="L277" s="11" t="n">
        <v>45778.43618055555</v>
      </c>
      <c r="M277" s="4" t="n">
        <v>1</v>
      </c>
      <c r="N277" s="4" t="n">
        <v>1</v>
      </c>
      <c r="O277" s="4" t="n">
        <v>0</v>
      </c>
      <c r="P277" s="4">
        <f>IF(AND(N277&gt;0,O277=0),"Yes","No")</f>
        <v/>
      </c>
      <c r="Q277" s="4" t="n">
        <v>0</v>
      </c>
      <c r="R277" s="4" t="n">
        <v>0</v>
      </c>
      <c r="S277" s="4" t="n">
        <v>0</v>
      </c>
      <c r="T277" s="4" t="inlineStr">
        <is>
          <t>C++</t>
        </is>
      </c>
      <c r="U277" s="4" t="n">
        <v>28.9</v>
      </c>
      <c r="V277" s="9" t="inlineStr">
        <is>
          <t>Submission 1622484431</t>
        </is>
      </c>
      <c r="W277" s="9" t="inlineStr">
        <is>
          <t>Open code</t>
        </is>
      </c>
      <c r="X277" s="4" t="n">
        <v>0</v>
      </c>
      <c r="Y277" s="4" t="inlineStr">
        <is>
          <t>2025-05</t>
        </is>
      </c>
    </row>
    <row r="278">
      <c r="A278" s="4" t="n">
        <v>277</v>
      </c>
      <c r="B278" s="4" t="n">
        <v>133</v>
      </c>
      <c r="C278" s="9" t="inlineStr">
        <is>
          <t>Clone Graph</t>
        </is>
      </c>
      <c r="D278" s="12" t="inlineStr">
        <is>
          <t>Medium</t>
        </is>
      </c>
      <c r="E278" s="4" t="inlineStr">
        <is>
          <t>Graph: General BFS/DFS</t>
        </is>
      </c>
      <c r="F278" s="4" t="inlineStr">
        <is>
          <t>Copy with map</t>
        </is>
      </c>
      <c r="G278" s="4" t="inlineStr">
        <is>
          <t>Graphs</t>
        </is>
      </c>
      <c r="H278" s="4" t="inlineStr">
        <is>
          <t>hash-table, depth-first-search, breadth-first-search, graph</t>
        </is>
      </c>
      <c r="I278" s="4" t="inlineStr">
        <is>
          <t>Solved</t>
        </is>
      </c>
      <c r="J278" s="11" t="n">
        <v>45822.94767361111</v>
      </c>
      <c r="K278" s="11" t="n">
        <v>45822.94767361111</v>
      </c>
      <c r="L278" s="11" t="n">
        <v>45822.95118055555</v>
      </c>
      <c r="M278" s="4" t="n">
        <v>2</v>
      </c>
      <c r="N278" s="4" t="n">
        <v>2</v>
      </c>
      <c r="O278" s="4" t="n">
        <v>0</v>
      </c>
      <c r="P278" s="4">
        <f>IF(AND(N278&gt;0,O278=0),"Yes","No")</f>
        <v/>
      </c>
      <c r="Q278" s="4" t="n">
        <v>0</v>
      </c>
      <c r="R278" s="4" t="n">
        <v>0</v>
      </c>
      <c r="S278" s="4" t="n">
        <v>0</v>
      </c>
      <c r="T278" s="4" t="inlineStr">
        <is>
          <t>C++</t>
        </is>
      </c>
      <c r="U278" s="4" t="n">
        <v>73.5</v>
      </c>
      <c r="V278" s="9" t="inlineStr">
        <is>
          <t>Submission 1664076025</t>
        </is>
      </c>
      <c r="W278" s="9" t="inlineStr">
        <is>
          <t>Open code</t>
        </is>
      </c>
      <c r="X278" s="4" t="n">
        <v>1</v>
      </c>
      <c r="Y278" s="4" t="inlineStr">
        <is>
          <t>2025-06</t>
        </is>
      </c>
    </row>
  </sheetData>
  <conditionalFormatting sqref="O2:O278">
    <cfRule type="colorScale" priority="1">
      <colorScale>
        <cfvo type="num" val="0"/>
        <cfvo type="max"/>
        <color rgb="00FFFFFF"/>
        <color rgb="00F8696B"/>
      </colorScale>
    </cfRule>
  </conditionalFormatting>
  <hyperlinks>
    <hyperlink xmlns:r="http://schemas.openxmlformats.org/officeDocument/2006/relationships" ref="C2" r:id="rId1"/>
    <hyperlink xmlns:r="http://schemas.openxmlformats.org/officeDocument/2006/relationships" ref="V2" r:id="rId2"/>
    <hyperlink xmlns:r="http://schemas.openxmlformats.org/officeDocument/2006/relationships" ref="W2" r:id="rId3"/>
    <hyperlink xmlns:r="http://schemas.openxmlformats.org/officeDocument/2006/relationships" ref="C3" r:id="rId4"/>
    <hyperlink xmlns:r="http://schemas.openxmlformats.org/officeDocument/2006/relationships" ref="V3" r:id="rId5"/>
    <hyperlink xmlns:r="http://schemas.openxmlformats.org/officeDocument/2006/relationships" ref="W3" r:id="rId6"/>
    <hyperlink xmlns:r="http://schemas.openxmlformats.org/officeDocument/2006/relationships" ref="C4" r:id="rId7"/>
    <hyperlink xmlns:r="http://schemas.openxmlformats.org/officeDocument/2006/relationships" ref="V4" r:id="rId8"/>
    <hyperlink xmlns:r="http://schemas.openxmlformats.org/officeDocument/2006/relationships" ref="W4" r:id="rId9"/>
    <hyperlink xmlns:r="http://schemas.openxmlformats.org/officeDocument/2006/relationships" ref="C5" r:id="rId10"/>
    <hyperlink xmlns:r="http://schemas.openxmlformats.org/officeDocument/2006/relationships" ref="V5" r:id="rId11"/>
    <hyperlink xmlns:r="http://schemas.openxmlformats.org/officeDocument/2006/relationships" ref="W5" r:id="rId12"/>
    <hyperlink xmlns:r="http://schemas.openxmlformats.org/officeDocument/2006/relationships" ref="C6" r:id="rId13"/>
    <hyperlink xmlns:r="http://schemas.openxmlformats.org/officeDocument/2006/relationships" ref="V6" r:id="rId14"/>
    <hyperlink xmlns:r="http://schemas.openxmlformats.org/officeDocument/2006/relationships" ref="W6" r:id="rId15"/>
    <hyperlink xmlns:r="http://schemas.openxmlformats.org/officeDocument/2006/relationships" ref="C7" r:id="rId16"/>
    <hyperlink xmlns:r="http://schemas.openxmlformats.org/officeDocument/2006/relationships" ref="V7" r:id="rId17"/>
    <hyperlink xmlns:r="http://schemas.openxmlformats.org/officeDocument/2006/relationships" ref="W7" r:id="rId18"/>
    <hyperlink xmlns:r="http://schemas.openxmlformats.org/officeDocument/2006/relationships" ref="C8" r:id="rId19"/>
    <hyperlink xmlns:r="http://schemas.openxmlformats.org/officeDocument/2006/relationships" ref="V8" r:id="rId20"/>
    <hyperlink xmlns:r="http://schemas.openxmlformats.org/officeDocument/2006/relationships" ref="W8" r:id="rId21"/>
    <hyperlink xmlns:r="http://schemas.openxmlformats.org/officeDocument/2006/relationships" ref="C9" r:id="rId22"/>
    <hyperlink xmlns:r="http://schemas.openxmlformats.org/officeDocument/2006/relationships" ref="V9" r:id="rId23"/>
    <hyperlink xmlns:r="http://schemas.openxmlformats.org/officeDocument/2006/relationships" ref="W9" r:id="rId24"/>
    <hyperlink xmlns:r="http://schemas.openxmlformats.org/officeDocument/2006/relationships" ref="C10" r:id="rId25"/>
    <hyperlink xmlns:r="http://schemas.openxmlformats.org/officeDocument/2006/relationships" ref="V10" r:id="rId26"/>
    <hyperlink xmlns:r="http://schemas.openxmlformats.org/officeDocument/2006/relationships" ref="W10" r:id="rId27"/>
    <hyperlink xmlns:r="http://schemas.openxmlformats.org/officeDocument/2006/relationships" ref="C11" r:id="rId28"/>
    <hyperlink xmlns:r="http://schemas.openxmlformats.org/officeDocument/2006/relationships" ref="V11" r:id="rId29"/>
    <hyperlink xmlns:r="http://schemas.openxmlformats.org/officeDocument/2006/relationships" ref="W11" r:id="rId30"/>
    <hyperlink xmlns:r="http://schemas.openxmlformats.org/officeDocument/2006/relationships" ref="C12" r:id="rId31"/>
    <hyperlink xmlns:r="http://schemas.openxmlformats.org/officeDocument/2006/relationships" ref="V12" r:id="rId32"/>
    <hyperlink xmlns:r="http://schemas.openxmlformats.org/officeDocument/2006/relationships" ref="W12" r:id="rId33"/>
    <hyperlink xmlns:r="http://schemas.openxmlformats.org/officeDocument/2006/relationships" ref="C13" r:id="rId34"/>
    <hyperlink xmlns:r="http://schemas.openxmlformats.org/officeDocument/2006/relationships" ref="V13" r:id="rId35"/>
    <hyperlink xmlns:r="http://schemas.openxmlformats.org/officeDocument/2006/relationships" ref="W13" r:id="rId36"/>
    <hyperlink xmlns:r="http://schemas.openxmlformats.org/officeDocument/2006/relationships" ref="C14" r:id="rId37"/>
    <hyperlink xmlns:r="http://schemas.openxmlformats.org/officeDocument/2006/relationships" ref="V14" r:id="rId38"/>
    <hyperlink xmlns:r="http://schemas.openxmlformats.org/officeDocument/2006/relationships" ref="W14" r:id="rId39"/>
    <hyperlink xmlns:r="http://schemas.openxmlformats.org/officeDocument/2006/relationships" ref="C15" r:id="rId40"/>
    <hyperlink xmlns:r="http://schemas.openxmlformats.org/officeDocument/2006/relationships" ref="V15" r:id="rId41"/>
    <hyperlink xmlns:r="http://schemas.openxmlformats.org/officeDocument/2006/relationships" ref="W15" r:id="rId42"/>
    <hyperlink xmlns:r="http://schemas.openxmlformats.org/officeDocument/2006/relationships" ref="C16" r:id="rId43"/>
    <hyperlink xmlns:r="http://schemas.openxmlformats.org/officeDocument/2006/relationships" ref="V16" r:id="rId44"/>
    <hyperlink xmlns:r="http://schemas.openxmlformats.org/officeDocument/2006/relationships" ref="W16" r:id="rId45"/>
    <hyperlink xmlns:r="http://schemas.openxmlformats.org/officeDocument/2006/relationships" ref="C17" r:id="rId46"/>
    <hyperlink xmlns:r="http://schemas.openxmlformats.org/officeDocument/2006/relationships" ref="V17" r:id="rId47"/>
    <hyperlink xmlns:r="http://schemas.openxmlformats.org/officeDocument/2006/relationships" ref="W17" r:id="rId48"/>
    <hyperlink xmlns:r="http://schemas.openxmlformats.org/officeDocument/2006/relationships" ref="C18" r:id="rId49"/>
    <hyperlink xmlns:r="http://schemas.openxmlformats.org/officeDocument/2006/relationships" ref="V18" r:id="rId50"/>
    <hyperlink xmlns:r="http://schemas.openxmlformats.org/officeDocument/2006/relationships" ref="W18" r:id="rId51"/>
    <hyperlink xmlns:r="http://schemas.openxmlformats.org/officeDocument/2006/relationships" ref="C19" r:id="rId52"/>
    <hyperlink xmlns:r="http://schemas.openxmlformats.org/officeDocument/2006/relationships" ref="V19" r:id="rId53"/>
    <hyperlink xmlns:r="http://schemas.openxmlformats.org/officeDocument/2006/relationships" ref="W19" r:id="rId54"/>
    <hyperlink xmlns:r="http://schemas.openxmlformats.org/officeDocument/2006/relationships" ref="C20" r:id="rId55"/>
    <hyperlink xmlns:r="http://schemas.openxmlformats.org/officeDocument/2006/relationships" ref="V20" r:id="rId56"/>
    <hyperlink xmlns:r="http://schemas.openxmlformats.org/officeDocument/2006/relationships" ref="W20" r:id="rId57"/>
    <hyperlink xmlns:r="http://schemas.openxmlformats.org/officeDocument/2006/relationships" ref="C21" r:id="rId58"/>
    <hyperlink xmlns:r="http://schemas.openxmlformats.org/officeDocument/2006/relationships" ref="V21" r:id="rId59"/>
    <hyperlink xmlns:r="http://schemas.openxmlformats.org/officeDocument/2006/relationships" ref="W21" r:id="rId60"/>
    <hyperlink xmlns:r="http://schemas.openxmlformats.org/officeDocument/2006/relationships" ref="C22" r:id="rId61"/>
    <hyperlink xmlns:r="http://schemas.openxmlformats.org/officeDocument/2006/relationships" ref="V22" r:id="rId62"/>
    <hyperlink xmlns:r="http://schemas.openxmlformats.org/officeDocument/2006/relationships" ref="W22" r:id="rId63"/>
    <hyperlink xmlns:r="http://schemas.openxmlformats.org/officeDocument/2006/relationships" ref="C23" r:id="rId64"/>
    <hyperlink xmlns:r="http://schemas.openxmlformats.org/officeDocument/2006/relationships" ref="V23" r:id="rId65"/>
    <hyperlink xmlns:r="http://schemas.openxmlformats.org/officeDocument/2006/relationships" ref="W23" r:id="rId66"/>
    <hyperlink xmlns:r="http://schemas.openxmlformats.org/officeDocument/2006/relationships" ref="C24" r:id="rId67"/>
    <hyperlink xmlns:r="http://schemas.openxmlformats.org/officeDocument/2006/relationships" ref="V24" r:id="rId68"/>
    <hyperlink xmlns:r="http://schemas.openxmlformats.org/officeDocument/2006/relationships" ref="W24" r:id="rId69"/>
    <hyperlink xmlns:r="http://schemas.openxmlformats.org/officeDocument/2006/relationships" ref="C25" r:id="rId70"/>
    <hyperlink xmlns:r="http://schemas.openxmlformats.org/officeDocument/2006/relationships" ref="V25" r:id="rId71"/>
    <hyperlink xmlns:r="http://schemas.openxmlformats.org/officeDocument/2006/relationships" ref="W25" r:id="rId72"/>
    <hyperlink xmlns:r="http://schemas.openxmlformats.org/officeDocument/2006/relationships" ref="C26" r:id="rId73"/>
    <hyperlink xmlns:r="http://schemas.openxmlformats.org/officeDocument/2006/relationships" ref="V26" r:id="rId74"/>
    <hyperlink xmlns:r="http://schemas.openxmlformats.org/officeDocument/2006/relationships" ref="W26" r:id="rId75"/>
    <hyperlink xmlns:r="http://schemas.openxmlformats.org/officeDocument/2006/relationships" ref="C27" r:id="rId76"/>
    <hyperlink xmlns:r="http://schemas.openxmlformats.org/officeDocument/2006/relationships" ref="V27" r:id="rId77"/>
    <hyperlink xmlns:r="http://schemas.openxmlformats.org/officeDocument/2006/relationships" ref="W27" r:id="rId78"/>
    <hyperlink xmlns:r="http://schemas.openxmlformats.org/officeDocument/2006/relationships" ref="C28" r:id="rId79"/>
    <hyperlink xmlns:r="http://schemas.openxmlformats.org/officeDocument/2006/relationships" ref="V28" r:id="rId80"/>
    <hyperlink xmlns:r="http://schemas.openxmlformats.org/officeDocument/2006/relationships" ref="W28" r:id="rId81"/>
    <hyperlink xmlns:r="http://schemas.openxmlformats.org/officeDocument/2006/relationships" ref="C29" r:id="rId82"/>
    <hyperlink xmlns:r="http://schemas.openxmlformats.org/officeDocument/2006/relationships" ref="V29" r:id="rId83"/>
    <hyperlink xmlns:r="http://schemas.openxmlformats.org/officeDocument/2006/relationships" ref="W29" r:id="rId84"/>
    <hyperlink xmlns:r="http://schemas.openxmlformats.org/officeDocument/2006/relationships" ref="C30" r:id="rId85"/>
    <hyperlink xmlns:r="http://schemas.openxmlformats.org/officeDocument/2006/relationships" ref="V30" r:id="rId86"/>
    <hyperlink xmlns:r="http://schemas.openxmlformats.org/officeDocument/2006/relationships" ref="W30" r:id="rId87"/>
    <hyperlink xmlns:r="http://schemas.openxmlformats.org/officeDocument/2006/relationships" ref="C31" r:id="rId88"/>
    <hyperlink xmlns:r="http://schemas.openxmlformats.org/officeDocument/2006/relationships" ref="V31" r:id="rId89"/>
    <hyperlink xmlns:r="http://schemas.openxmlformats.org/officeDocument/2006/relationships" ref="W31" r:id="rId90"/>
    <hyperlink xmlns:r="http://schemas.openxmlformats.org/officeDocument/2006/relationships" ref="C32" r:id="rId91"/>
    <hyperlink xmlns:r="http://schemas.openxmlformats.org/officeDocument/2006/relationships" ref="V32" r:id="rId92"/>
    <hyperlink xmlns:r="http://schemas.openxmlformats.org/officeDocument/2006/relationships" ref="W32" r:id="rId93"/>
    <hyperlink xmlns:r="http://schemas.openxmlformats.org/officeDocument/2006/relationships" ref="C33" r:id="rId94"/>
    <hyperlink xmlns:r="http://schemas.openxmlformats.org/officeDocument/2006/relationships" ref="V33" r:id="rId95"/>
    <hyperlink xmlns:r="http://schemas.openxmlformats.org/officeDocument/2006/relationships" ref="W33" r:id="rId96"/>
    <hyperlink xmlns:r="http://schemas.openxmlformats.org/officeDocument/2006/relationships" ref="C34" r:id="rId97"/>
    <hyperlink xmlns:r="http://schemas.openxmlformats.org/officeDocument/2006/relationships" ref="V34" r:id="rId98"/>
    <hyperlink xmlns:r="http://schemas.openxmlformats.org/officeDocument/2006/relationships" ref="W34" r:id="rId99"/>
    <hyperlink xmlns:r="http://schemas.openxmlformats.org/officeDocument/2006/relationships" ref="C35" r:id="rId100"/>
    <hyperlink xmlns:r="http://schemas.openxmlformats.org/officeDocument/2006/relationships" ref="V35" r:id="rId101"/>
    <hyperlink xmlns:r="http://schemas.openxmlformats.org/officeDocument/2006/relationships" ref="W35" r:id="rId102"/>
    <hyperlink xmlns:r="http://schemas.openxmlformats.org/officeDocument/2006/relationships" ref="C36" r:id="rId103"/>
    <hyperlink xmlns:r="http://schemas.openxmlformats.org/officeDocument/2006/relationships" ref="V36" r:id="rId104"/>
    <hyperlink xmlns:r="http://schemas.openxmlformats.org/officeDocument/2006/relationships" ref="W36" r:id="rId105"/>
    <hyperlink xmlns:r="http://schemas.openxmlformats.org/officeDocument/2006/relationships" ref="C37" r:id="rId106"/>
    <hyperlink xmlns:r="http://schemas.openxmlformats.org/officeDocument/2006/relationships" ref="V37" r:id="rId107"/>
    <hyperlink xmlns:r="http://schemas.openxmlformats.org/officeDocument/2006/relationships" ref="W37" r:id="rId108"/>
    <hyperlink xmlns:r="http://schemas.openxmlformats.org/officeDocument/2006/relationships" ref="C38" r:id="rId109"/>
    <hyperlink xmlns:r="http://schemas.openxmlformats.org/officeDocument/2006/relationships" ref="V38" r:id="rId110"/>
    <hyperlink xmlns:r="http://schemas.openxmlformats.org/officeDocument/2006/relationships" ref="W38" r:id="rId111"/>
    <hyperlink xmlns:r="http://schemas.openxmlformats.org/officeDocument/2006/relationships" ref="C39" r:id="rId112"/>
    <hyperlink xmlns:r="http://schemas.openxmlformats.org/officeDocument/2006/relationships" ref="V39" r:id="rId113"/>
    <hyperlink xmlns:r="http://schemas.openxmlformats.org/officeDocument/2006/relationships" ref="W39" r:id="rId114"/>
    <hyperlink xmlns:r="http://schemas.openxmlformats.org/officeDocument/2006/relationships" ref="C40" r:id="rId115"/>
    <hyperlink xmlns:r="http://schemas.openxmlformats.org/officeDocument/2006/relationships" ref="V40" r:id="rId116"/>
    <hyperlink xmlns:r="http://schemas.openxmlformats.org/officeDocument/2006/relationships" ref="W40" r:id="rId117"/>
    <hyperlink xmlns:r="http://schemas.openxmlformats.org/officeDocument/2006/relationships" ref="C41" r:id="rId118"/>
    <hyperlink xmlns:r="http://schemas.openxmlformats.org/officeDocument/2006/relationships" ref="V41" r:id="rId119"/>
    <hyperlink xmlns:r="http://schemas.openxmlformats.org/officeDocument/2006/relationships" ref="W41" r:id="rId120"/>
    <hyperlink xmlns:r="http://schemas.openxmlformats.org/officeDocument/2006/relationships" ref="C42" r:id="rId121"/>
    <hyperlink xmlns:r="http://schemas.openxmlformats.org/officeDocument/2006/relationships" ref="V42" r:id="rId122"/>
    <hyperlink xmlns:r="http://schemas.openxmlformats.org/officeDocument/2006/relationships" ref="W42" r:id="rId123"/>
    <hyperlink xmlns:r="http://schemas.openxmlformats.org/officeDocument/2006/relationships" ref="C43" r:id="rId124"/>
    <hyperlink xmlns:r="http://schemas.openxmlformats.org/officeDocument/2006/relationships" ref="V43" r:id="rId125"/>
    <hyperlink xmlns:r="http://schemas.openxmlformats.org/officeDocument/2006/relationships" ref="W43" r:id="rId126"/>
    <hyperlink xmlns:r="http://schemas.openxmlformats.org/officeDocument/2006/relationships" ref="C44" r:id="rId127"/>
    <hyperlink xmlns:r="http://schemas.openxmlformats.org/officeDocument/2006/relationships" ref="V44" r:id="rId128"/>
    <hyperlink xmlns:r="http://schemas.openxmlformats.org/officeDocument/2006/relationships" ref="W44" r:id="rId129"/>
    <hyperlink xmlns:r="http://schemas.openxmlformats.org/officeDocument/2006/relationships" ref="C45" r:id="rId130"/>
    <hyperlink xmlns:r="http://schemas.openxmlformats.org/officeDocument/2006/relationships" ref="V45" r:id="rId131"/>
    <hyperlink xmlns:r="http://schemas.openxmlformats.org/officeDocument/2006/relationships" ref="W45" r:id="rId132"/>
    <hyperlink xmlns:r="http://schemas.openxmlformats.org/officeDocument/2006/relationships" ref="C46" r:id="rId133"/>
    <hyperlink xmlns:r="http://schemas.openxmlformats.org/officeDocument/2006/relationships" ref="V46" r:id="rId134"/>
    <hyperlink xmlns:r="http://schemas.openxmlformats.org/officeDocument/2006/relationships" ref="W46" r:id="rId135"/>
    <hyperlink xmlns:r="http://schemas.openxmlformats.org/officeDocument/2006/relationships" ref="C47" r:id="rId136"/>
    <hyperlink xmlns:r="http://schemas.openxmlformats.org/officeDocument/2006/relationships" ref="V47" r:id="rId137"/>
    <hyperlink xmlns:r="http://schemas.openxmlformats.org/officeDocument/2006/relationships" ref="W47" r:id="rId138"/>
    <hyperlink xmlns:r="http://schemas.openxmlformats.org/officeDocument/2006/relationships" ref="C48" r:id="rId139"/>
    <hyperlink xmlns:r="http://schemas.openxmlformats.org/officeDocument/2006/relationships" ref="V48" r:id="rId140"/>
    <hyperlink xmlns:r="http://schemas.openxmlformats.org/officeDocument/2006/relationships" ref="W48" r:id="rId141"/>
    <hyperlink xmlns:r="http://schemas.openxmlformats.org/officeDocument/2006/relationships" ref="C49" r:id="rId142"/>
    <hyperlink xmlns:r="http://schemas.openxmlformats.org/officeDocument/2006/relationships" ref="V49" r:id="rId143"/>
    <hyperlink xmlns:r="http://schemas.openxmlformats.org/officeDocument/2006/relationships" ref="W49" r:id="rId144"/>
    <hyperlink xmlns:r="http://schemas.openxmlformats.org/officeDocument/2006/relationships" ref="C50" r:id="rId145"/>
    <hyperlink xmlns:r="http://schemas.openxmlformats.org/officeDocument/2006/relationships" ref="V50" r:id="rId146"/>
    <hyperlink xmlns:r="http://schemas.openxmlformats.org/officeDocument/2006/relationships" ref="W50" r:id="rId147"/>
    <hyperlink xmlns:r="http://schemas.openxmlformats.org/officeDocument/2006/relationships" ref="C51" r:id="rId148"/>
    <hyperlink xmlns:r="http://schemas.openxmlformats.org/officeDocument/2006/relationships" ref="V51" r:id="rId149"/>
    <hyperlink xmlns:r="http://schemas.openxmlformats.org/officeDocument/2006/relationships" ref="W51" r:id="rId150"/>
    <hyperlink xmlns:r="http://schemas.openxmlformats.org/officeDocument/2006/relationships" ref="C52" r:id="rId151"/>
    <hyperlink xmlns:r="http://schemas.openxmlformats.org/officeDocument/2006/relationships" ref="V52" r:id="rId152"/>
    <hyperlink xmlns:r="http://schemas.openxmlformats.org/officeDocument/2006/relationships" ref="W52" r:id="rId153"/>
    <hyperlink xmlns:r="http://schemas.openxmlformats.org/officeDocument/2006/relationships" ref="C53" r:id="rId154"/>
    <hyperlink xmlns:r="http://schemas.openxmlformats.org/officeDocument/2006/relationships" ref="V53" r:id="rId155"/>
    <hyperlink xmlns:r="http://schemas.openxmlformats.org/officeDocument/2006/relationships" ref="W53" r:id="rId156"/>
    <hyperlink xmlns:r="http://schemas.openxmlformats.org/officeDocument/2006/relationships" ref="C54" r:id="rId157"/>
    <hyperlink xmlns:r="http://schemas.openxmlformats.org/officeDocument/2006/relationships" ref="V54" r:id="rId158"/>
    <hyperlink xmlns:r="http://schemas.openxmlformats.org/officeDocument/2006/relationships" ref="W54" r:id="rId159"/>
    <hyperlink xmlns:r="http://schemas.openxmlformats.org/officeDocument/2006/relationships" ref="C55" r:id="rId160"/>
    <hyperlink xmlns:r="http://schemas.openxmlformats.org/officeDocument/2006/relationships" ref="V55" r:id="rId161"/>
    <hyperlink xmlns:r="http://schemas.openxmlformats.org/officeDocument/2006/relationships" ref="W55" r:id="rId162"/>
    <hyperlink xmlns:r="http://schemas.openxmlformats.org/officeDocument/2006/relationships" ref="C56" r:id="rId163"/>
    <hyperlink xmlns:r="http://schemas.openxmlformats.org/officeDocument/2006/relationships" ref="V56" r:id="rId164"/>
    <hyperlink xmlns:r="http://schemas.openxmlformats.org/officeDocument/2006/relationships" ref="W56" r:id="rId165"/>
    <hyperlink xmlns:r="http://schemas.openxmlformats.org/officeDocument/2006/relationships" ref="C57" r:id="rId166"/>
    <hyperlink xmlns:r="http://schemas.openxmlformats.org/officeDocument/2006/relationships" ref="V57" r:id="rId167"/>
    <hyperlink xmlns:r="http://schemas.openxmlformats.org/officeDocument/2006/relationships" ref="W57" r:id="rId168"/>
    <hyperlink xmlns:r="http://schemas.openxmlformats.org/officeDocument/2006/relationships" ref="C58" r:id="rId169"/>
    <hyperlink xmlns:r="http://schemas.openxmlformats.org/officeDocument/2006/relationships" ref="V58" r:id="rId170"/>
    <hyperlink xmlns:r="http://schemas.openxmlformats.org/officeDocument/2006/relationships" ref="W58" r:id="rId171"/>
    <hyperlink xmlns:r="http://schemas.openxmlformats.org/officeDocument/2006/relationships" ref="C59" r:id="rId172"/>
    <hyperlink xmlns:r="http://schemas.openxmlformats.org/officeDocument/2006/relationships" ref="V59" r:id="rId173"/>
    <hyperlink xmlns:r="http://schemas.openxmlformats.org/officeDocument/2006/relationships" ref="W59" r:id="rId174"/>
    <hyperlink xmlns:r="http://schemas.openxmlformats.org/officeDocument/2006/relationships" ref="C60" r:id="rId175"/>
    <hyperlink xmlns:r="http://schemas.openxmlformats.org/officeDocument/2006/relationships" ref="V60" r:id="rId176"/>
    <hyperlink xmlns:r="http://schemas.openxmlformats.org/officeDocument/2006/relationships" ref="W60" r:id="rId177"/>
    <hyperlink xmlns:r="http://schemas.openxmlformats.org/officeDocument/2006/relationships" ref="C61" r:id="rId178"/>
    <hyperlink xmlns:r="http://schemas.openxmlformats.org/officeDocument/2006/relationships" ref="V61" r:id="rId179"/>
    <hyperlink xmlns:r="http://schemas.openxmlformats.org/officeDocument/2006/relationships" ref="W61" r:id="rId180"/>
    <hyperlink xmlns:r="http://schemas.openxmlformats.org/officeDocument/2006/relationships" ref="C62" r:id="rId181"/>
    <hyperlink xmlns:r="http://schemas.openxmlformats.org/officeDocument/2006/relationships" ref="V62" r:id="rId182"/>
    <hyperlink xmlns:r="http://schemas.openxmlformats.org/officeDocument/2006/relationships" ref="W62" r:id="rId183"/>
    <hyperlink xmlns:r="http://schemas.openxmlformats.org/officeDocument/2006/relationships" ref="C63" r:id="rId184"/>
    <hyperlink xmlns:r="http://schemas.openxmlformats.org/officeDocument/2006/relationships" ref="V63" r:id="rId185"/>
    <hyperlink xmlns:r="http://schemas.openxmlformats.org/officeDocument/2006/relationships" ref="W63" r:id="rId186"/>
    <hyperlink xmlns:r="http://schemas.openxmlformats.org/officeDocument/2006/relationships" ref="C64" r:id="rId187"/>
    <hyperlink xmlns:r="http://schemas.openxmlformats.org/officeDocument/2006/relationships" ref="V64" r:id="rId188"/>
    <hyperlink xmlns:r="http://schemas.openxmlformats.org/officeDocument/2006/relationships" ref="W64" r:id="rId189"/>
    <hyperlink xmlns:r="http://schemas.openxmlformats.org/officeDocument/2006/relationships" ref="C65" r:id="rId190"/>
    <hyperlink xmlns:r="http://schemas.openxmlformats.org/officeDocument/2006/relationships" ref="V65" r:id="rId191"/>
    <hyperlink xmlns:r="http://schemas.openxmlformats.org/officeDocument/2006/relationships" ref="W65" r:id="rId192"/>
    <hyperlink xmlns:r="http://schemas.openxmlformats.org/officeDocument/2006/relationships" ref="C66" r:id="rId193"/>
    <hyperlink xmlns:r="http://schemas.openxmlformats.org/officeDocument/2006/relationships" ref="V66" r:id="rId194"/>
    <hyperlink xmlns:r="http://schemas.openxmlformats.org/officeDocument/2006/relationships" ref="W66" r:id="rId195"/>
    <hyperlink xmlns:r="http://schemas.openxmlformats.org/officeDocument/2006/relationships" ref="C67" r:id="rId196"/>
    <hyperlink xmlns:r="http://schemas.openxmlformats.org/officeDocument/2006/relationships" ref="V67" r:id="rId197"/>
    <hyperlink xmlns:r="http://schemas.openxmlformats.org/officeDocument/2006/relationships" ref="W67" r:id="rId198"/>
    <hyperlink xmlns:r="http://schemas.openxmlformats.org/officeDocument/2006/relationships" ref="C68" r:id="rId199"/>
    <hyperlink xmlns:r="http://schemas.openxmlformats.org/officeDocument/2006/relationships" ref="V68" r:id="rId200"/>
    <hyperlink xmlns:r="http://schemas.openxmlformats.org/officeDocument/2006/relationships" ref="W68" r:id="rId201"/>
    <hyperlink xmlns:r="http://schemas.openxmlformats.org/officeDocument/2006/relationships" ref="C69" r:id="rId202"/>
    <hyperlink xmlns:r="http://schemas.openxmlformats.org/officeDocument/2006/relationships" ref="V69" r:id="rId203"/>
    <hyperlink xmlns:r="http://schemas.openxmlformats.org/officeDocument/2006/relationships" ref="W69" r:id="rId204"/>
    <hyperlink xmlns:r="http://schemas.openxmlformats.org/officeDocument/2006/relationships" ref="C70" r:id="rId205"/>
    <hyperlink xmlns:r="http://schemas.openxmlformats.org/officeDocument/2006/relationships" ref="V70" r:id="rId206"/>
    <hyperlink xmlns:r="http://schemas.openxmlformats.org/officeDocument/2006/relationships" ref="W70" r:id="rId207"/>
    <hyperlink xmlns:r="http://schemas.openxmlformats.org/officeDocument/2006/relationships" ref="C71" r:id="rId208"/>
    <hyperlink xmlns:r="http://schemas.openxmlformats.org/officeDocument/2006/relationships" ref="V71" r:id="rId209"/>
    <hyperlink xmlns:r="http://schemas.openxmlformats.org/officeDocument/2006/relationships" ref="W71" r:id="rId210"/>
    <hyperlink xmlns:r="http://schemas.openxmlformats.org/officeDocument/2006/relationships" ref="C72" r:id="rId211"/>
    <hyperlink xmlns:r="http://schemas.openxmlformats.org/officeDocument/2006/relationships" ref="V72" r:id="rId212"/>
    <hyperlink xmlns:r="http://schemas.openxmlformats.org/officeDocument/2006/relationships" ref="W72" r:id="rId213"/>
    <hyperlink xmlns:r="http://schemas.openxmlformats.org/officeDocument/2006/relationships" ref="C73" r:id="rId214"/>
    <hyperlink xmlns:r="http://schemas.openxmlformats.org/officeDocument/2006/relationships" ref="V73" r:id="rId215"/>
    <hyperlink xmlns:r="http://schemas.openxmlformats.org/officeDocument/2006/relationships" ref="W73" r:id="rId216"/>
    <hyperlink xmlns:r="http://schemas.openxmlformats.org/officeDocument/2006/relationships" ref="C74" r:id="rId217"/>
    <hyperlink xmlns:r="http://schemas.openxmlformats.org/officeDocument/2006/relationships" ref="V74" r:id="rId218"/>
    <hyperlink xmlns:r="http://schemas.openxmlformats.org/officeDocument/2006/relationships" ref="W74" r:id="rId219"/>
    <hyperlink xmlns:r="http://schemas.openxmlformats.org/officeDocument/2006/relationships" ref="C75" r:id="rId220"/>
    <hyperlink xmlns:r="http://schemas.openxmlformats.org/officeDocument/2006/relationships" ref="V75" r:id="rId221"/>
    <hyperlink xmlns:r="http://schemas.openxmlformats.org/officeDocument/2006/relationships" ref="W75" r:id="rId222"/>
    <hyperlink xmlns:r="http://schemas.openxmlformats.org/officeDocument/2006/relationships" ref="C76" r:id="rId223"/>
    <hyperlink xmlns:r="http://schemas.openxmlformats.org/officeDocument/2006/relationships" ref="V76" r:id="rId224"/>
    <hyperlink xmlns:r="http://schemas.openxmlformats.org/officeDocument/2006/relationships" ref="W76" r:id="rId225"/>
    <hyperlink xmlns:r="http://schemas.openxmlformats.org/officeDocument/2006/relationships" ref="C77" r:id="rId226"/>
    <hyperlink xmlns:r="http://schemas.openxmlformats.org/officeDocument/2006/relationships" ref="V77" r:id="rId227"/>
    <hyperlink xmlns:r="http://schemas.openxmlformats.org/officeDocument/2006/relationships" ref="W77" r:id="rId228"/>
    <hyperlink xmlns:r="http://schemas.openxmlformats.org/officeDocument/2006/relationships" ref="C78" r:id="rId229"/>
    <hyperlink xmlns:r="http://schemas.openxmlformats.org/officeDocument/2006/relationships" ref="V78" r:id="rId230"/>
    <hyperlink xmlns:r="http://schemas.openxmlformats.org/officeDocument/2006/relationships" ref="W78" r:id="rId231"/>
    <hyperlink xmlns:r="http://schemas.openxmlformats.org/officeDocument/2006/relationships" ref="C79" r:id="rId232"/>
    <hyperlink xmlns:r="http://schemas.openxmlformats.org/officeDocument/2006/relationships" ref="V79" r:id="rId233"/>
    <hyperlink xmlns:r="http://schemas.openxmlformats.org/officeDocument/2006/relationships" ref="W79" r:id="rId234"/>
    <hyperlink xmlns:r="http://schemas.openxmlformats.org/officeDocument/2006/relationships" ref="C80" r:id="rId235"/>
    <hyperlink xmlns:r="http://schemas.openxmlformats.org/officeDocument/2006/relationships" ref="V80" r:id="rId236"/>
    <hyperlink xmlns:r="http://schemas.openxmlformats.org/officeDocument/2006/relationships" ref="W80" r:id="rId237"/>
    <hyperlink xmlns:r="http://schemas.openxmlformats.org/officeDocument/2006/relationships" ref="C81" r:id="rId238"/>
    <hyperlink xmlns:r="http://schemas.openxmlformats.org/officeDocument/2006/relationships" ref="V81" r:id="rId239"/>
    <hyperlink xmlns:r="http://schemas.openxmlformats.org/officeDocument/2006/relationships" ref="W81" r:id="rId240"/>
    <hyperlink xmlns:r="http://schemas.openxmlformats.org/officeDocument/2006/relationships" ref="C82" r:id="rId241"/>
    <hyperlink xmlns:r="http://schemas.openxmlformats.org/officeDocument/2006/relationships" ref="V82" r:id="rId242"/>
    <hyperlink xmlns:r="http://schemas.openxmlformats.org/officeDocument/2006/relationships" ref="W82" r:id="rId243"/>
    <hyperlink xmlns:r="http://schemas.openxmlformats.org/officeDocument/2006/relationships" ref="C83" r:id="rId244"/>
    <hyperlink xmlns:r="http://schemas.openxmlformats.org/officeDocument/2006/relationships" ref="V83" r:id="rId245"/>
    <hyperlink xmlns:r="http://schemas.openxmlformats.org/officeDocument/2006/relationships" ref="W83" r:id="rId246"/>
    <hyperlink xmlns:r="http://schemas.openxmlformats.org/officeDocument/2006/relationships" ref="C84" r:id="rId247"/>
    <hyperlink xmlns:r="http://schemas.openxmlformats.org/officeDocument/2006/relationships" ref="V84" r:id="rId248"/>
    <hyperlink xmlns:r="http://schemas.openxmlformats.org/officeDocument/2006/relationships" ref="W84" r:id="rId249"/>
    <hyperlink xmlns:r="http://schemas.openxmlformats.org/officeDocument/2006/relationships" ref="C85" r:id="rId250"/>
    <hyperlink xmlns:r="http://schemas.openxmlformats.org/officeDocument/2006/relationships" ref="V85" r:id="rId251"/>
    <hyperlink xmlns:r="http://schemas.openxmlformats.org/officeDocument/2006/relationships" ref="W85" r:id="rId252"/>
    <hyperlink xmlns:r="http://schemas.openxmlformats.org/officeDocument/2006/relationships" ref="C86" r:id="rId253"/>
    <hyperlink xmlns:r="http://schemas.openxmlformats.org/officeDocument/2006/relationships" ref="V86" r:id="rId254"/>
    <hyperlink xmlns:r="http://schemas.openxmlformats.org/officeDocument/2006/relationships" ref="W86" r:id="rId255"/>
    <hyperlink xmlns:r="http://schemas.openxmlformats.org/officeDocument/2006/relationships" ref="C87" r:id="rId256"/>
    <hyperlink xmlns:r="http://schemas.openxmlformats.org/officeDocument/2006/relationships" ref="V87" r:id="rId257"/>
    <hyperlink xmlns:r="http://schemas.openxmlformats.org/officeDocument/2006/relationships" ref="W87" r:id="rId258"/>
    <hyperlink xmlns:r="http://schemas.openxmlformats.org/officeDocument/2006/relationships" ref="C88" r:id="rId259"/>
    <hyperlink xmlns:r="http://schemas.openxmlformats.org/officeDocument/2006/relationships" ref="V88" r:id="rId260"/>
    <hyperlink xmlns:r="http://schemas.openxmlformats.org/officeDocument/2006/relationships" ref="W88" r:id="rId261"/>
    <hyperlink xmlns:r="http://schemas.openxmlformats.org/officeDocument/2006/relationships" ref="C89" r:id="rId262"/>
    <hyperlink xmlns:r="http://schemas.openxmlformats.org/officeDocument/2006/relationships" ref="V89" r:id="rId263"/>
    <hyperlink xmlns:r="http://schemas.openxmlformats.org/officeDocument/2006/relationships" ref="W89" r:id="rId264"/>
    <hyperlink xmlns:r="http://schemas.openxmlformats.org/officeDocument/2006/relationships" ref="C90" r:id="rId265"/>
    <hyperlink xmlns:r="http://schemas.openxmlformats.org/officeDocument/2006/relationships" ref="W90" r:id="rId266"/>
    <hyperlink xmlns:r="http://schemas.openxmlformats.org/officeDocument/2006/relationships" ref="C91" r:id="rId267"/>
    <hyperlink xmlns:r="http://schemas.openxmlformats.org/officeDocument/2006/relationships" ref="V91" r:id="rId268"/>
    <hyperlink xmlns:r="http://schemas.openxmlformats.org/officeDocument/2006/relationships" ref="W91" r:id="rId269"/>
    <hyperlink xmlns:r="http://schemas.openxmlformats.org/officeDocument/2006/relationships" ref="C92" r:id="rId270"/>
    <hyperlink xmlns:r="http://schemas.openxmlformats.org/officeDocument/2006/relationships" ref="V92" r:id="rId271"/>
    <hyperlink xmlns:r="http://schemas.openxmlformats.org/officeDocument/2006/relationships" ref="W92" r:id="rId272"/>
    <hyperlink xmlns:r="http://schemas.openxmlformats.org/officeDocument/2006/relationships" ref="C93" r:id="rId273"/>
    <hyperlink xmlns:r="http://schemas.openxmlformats.org/officeDocument/2006/relationships" ref="V93" r:id="rId274"/>
    <hyperlink xmlns:r="http://schemas.openxmlformats.org/officeDocument/2006/relationships" ref="W93" r:id="rId275"/>
    <hyperlink xmlns:r="http://schemas.openxmlformats.org/officeDocument/2006/relationships" ref="C94" r:id="rId276"/>
    <hyperlink xmlns:r="http://schemas.openxmlformats.org/officeDocument/2006/relationships" ref="V94" r:id="rId277"/>
    <hyperlink xmlns:r="http://schemas.openxmlformats.org/officeDocument/2006/relationships" ref="W94" r:id="rId278"/>
    <hyperlink xmlns:r="http://schemas.openxmlformats.org/officeDocument/2006/relationships" ref="C95" r:id="rId279"/>
    <hyperlink xmlns:r="http://schemas.openxmlformats.org/officeDocument/2006/relationships" ref="V95" r:id="rId280"/>
    <hyperlink xmlns:r="http://schemas.openxmlformats.org/officeDocument/2006/relationships" ref="W95" r:id="rId281"/>
    <hyperlink xmlns:r="http://schemas.openxmlformats.org/officeDocument/2006/relationships" ref="C96" r:id="rId282"/>
    <hyperlink xmlns:r="http://schemas.openxmlformats.org/officeDocument/2006/relationships" ref="V96" r:id="rId283"/>
    <hyperlink xmlns:r="http://schemas.openxmlformats.org/officeDocument/2006/relationships" ref="W96" r:id="rId284"/>
    <hyperlink xmlns:r="http://schemas.openxmlformats.org/officeDocument/2006/relationships" ref="C97" r:id="rId285"/>
    <hyperlink xmlns:r="http://schemas.openxmlformats.org/officeDocument/2006/relationships" ref="V97" r:id="rId286"/>
    <hyperlink xmlns:r="http://schemas.openxmlformats.org/officeDocument/2006/relationships" ref="W97" r:id="rId287"/>
    <hyperlink xmlns:r="http://schemas.openxmlformats.org/officeDocument/2006/relationships" ref="C98" r:id="rId288"/>
    <hyperlink xmlns:r="http://schemas.openxmlformats.org/officeDocument/2006/relationships" ref="V98" r:id="rId289"/>
    <hyperlink xmlns:r="http://schemas.openxmlformats.org/officeDocument/2006/relationships" ref="W98" r:id="rId290"/>
    <hyperlink xmlns:r="http://schemas.openxmlformats.org/officeDocument/2006/relationships" ref="C99" r:id="rId291"/>
    <hyperlink xmlns:r="http://schemas.openxmlformats.org/officeDocument/2006/relationships" ref="V99" r:id="rId292"/>
    <hyperlink xmlns:r="http://schemas.openxmlformats.org/officeDocument/2006/relationships" ref="W99" r:id="rId293"/>
    <hyperlink xmlns:r="http://schemas.openxmlformats.org/officeDocument/2006/relationships" ref="C100" r:id="rId294"/>
    <hyperlink xmlns:r="http://schemas.openxmlformats.org/officeDocument/2006/relationships" ref="V100" r:id="rId295"/>
    <hyperlink xmlns:r="http://schemas.openxmlformats.org/officeDocument/2006/relationships" ref="W100" r:id="rId296"/>
    <hyperlink xmlns:r="http://schemas.openxmlformats.org/officeDocument/2006/relationships" ref="C101" r:id="rId297"/>
    <hyperlink xmlns:r="http://schemas.openxmlformats.org/officeDocument/2006/relationships" ref="V101" r:id="rId298"/>
    <hyperlink xmlns:r="http://schemas.openxmlformats.org/officeDocument/2006/relationships" ref="W101" r:id="rId299"/>
    <hyperlink xmlns:r="http://schemas.openxmlformats.org/officeDocument/2006/relationships" ref="C102" r:id="rId300"/>
    <hyperlink xmlns:r="http://schemas.openxmlformats.org/officeDocument/2006/relationships" ref="V102" r:id="rId301"/>
    <hyperlink xmlns:r="http://schemas.openxmlformats.org/officeDocument/2006/relationships" ref="W102" r:id="rId302"/>
    <hyperlink xmlns:r="http://schemas.openxmlformats.org/officeDocument/2006/relationships" ref="C103" r:id="rId303"/>
    <hyperlink xmlns:r="http://schemas.openxmlformats.org/officeDocument/2006/relationships" ref="V103" r:id="rId304"/>
    <hyperlink xmlns:r="http://schemas.openxmlformats.org/officeDocument/2006/relationships" ref="W103" r:id="rId305"/>
    <hyperlink xmlns:r="http://schemas.openxmlformats.org/officeDocument/2006/relationships" ref="C104" r:id="rId306"/>
    <hyperlink xmlns:r="http://schemas.openxmlformats.org/officeDocument/2006/relationships" ref="V104" r:id="rId307"/>
    <hyperlink xmlns:r="http://schemas.openxmlformats.org/officeDocument/2006/relationships" ref="W104" r:id="rId308"/>
    <hyperlink xmlns:r="http://schemas.openxmlformats.org/officeDocument/2006/relationships" ref="C105" r:id="rId309"/>
    <hyperlink xmlns:r="http://schemas.openxmlformats.org/officeDocument/2006/relationships" ref="V105" r:id="rId310"/>
    <hyperlink xmlns:r="http://schemas.openxmlformats.org/officeDocument/2006/relationships" ref="W105" r:id="rId311"/>
    <hyperlink xmlns:r="http://schemas.openxmlformats.org/officeDocument/2006/relationships" ref="C106" r:id="rId312"/>
    <hyperlink xmlns:r="http://schemas.openxmlformats.org/officeDocument/2006/relationships" ref="V106" r:id="rId313"/>
    <hyperlink xmlns:r="http://schemas.openxmlformats.org/officeDocument/2006/relationships" ref="W106" r:id="rId314"/>
    <hyperlink xmlns:r="http://schemas.openxmlformats.org/officeDocument/2006/relationships" ref="C107" r:id="rId315"/>
    <hyperlink xmlns:r="http://schemas.openxmlformats.org/officeDocument/2006/relationships" ref="V107" r:id="rId316"/>
    <hyperlink xmlns:r="http://schemas.openxmlformats.org/officeDocument/2006/relationships" ref="W107" r:id="rId317"/>
    <hyperlink xmlns:r="http://schemas.openxmlformats.org/officeDocument/2006/relationships" ref="C108" r:id="rId318"/>
    <hyperlink xmlns:r="http://schemas.openxmlformats.org/officeDocument/2006/relationships" ref="V108" r:id="rId319"/>
    <hyperlink xmlns:r="http://schemas.openxmlformats.org/officeDocument/2006/relationships" ref="W108" r:id="rId320"/>
    <hyperlink xmlns:r="http://schemas.openxmlformats.org/officeDocument/2006/relationships" ref="C109" r:id="rId321"/>
    <hyperlink xmlns:r="http://schemas.openxmlformats.org/officeDocument/2006/relationships" ref="V109" r:id="rId322"/>
    <hyperlink xmlns:r="http://schemas.openxmlformats.org/officeDocument/2006/relationships" ref="W109" r:id="rId323"/>
    <hyperlink xmlns:r="http://schemas.openxmlformats.org/officeDocument/2006/relationships" ref="C110" r:id="rId324"/>
    <hyperlink xmlns:r="http://schemas.openxmlformats.org/officeDocument/2006/relationships" ref="V110" r:id="rId325"/>
    <hyperlink xmlns:r="http://schemas.openxmlformats.org/officeDocument/2006/relationships" ref="W110" r:id="rId326"/>
    <hyperlink xmlns:r="http://schemas.openxmlformats.org/officeDocument/2006/relationships" ref="C111" r:id="rId327"/>
    <hyperlink xmlns:r="http://schemas.openxmlformats.org/officeDocument/2006/relationships" ref="V111" r:id="rId328"/>
    <hyperlink xmlns:r="http://schemas.openxmlformats.org/officeDocument/2006/relationships" ref="W111" r:id="rId329"/>
    <hyperlink xmlns:r="http://schemas.openxmlformats.org/officeDocument/2006/relationships" ref="C112" r:id="rId330"/>
    <hyperlink xmlns:r="http://schemas.openxmlformats.org/officeDocument/2006/relationships" ref="V112" r:id="rId331"/>
    <hyperlink xmlns:r="http://schemas.openxmlformats.org/officeDocument/2006/relationships" ref="W112" r:id="rId332"/>
    <hyperlink xmlns:r="http://schemas.openxmlformats.org/officeDocument/2006/relationships" ref="C113" r:id="rId333"/>
    <hyperlink xmlns:r="http://schemas.openxmlformats.org/officeDocument/2006/relationships" ref="V113" r:id="rId334"/>
    <hyperlink xmlns:r="http://schemas.openxmlformats.org/officeDocument/2006/relationships" ref="W113" r:id="rId335"/>
    <hyperlink xmlns:r="http://schemas.openxmlformats.org/officeDocument/2006/relationships" ref="C114" r:id="rId336"/>
    <hyperlink xmlns:r="http://schemas.openxmlformats.org/officeDocument/2006/relationships" ref="V114" r:id="rId337"/>
    <hyperlink xmlns:r="http://schemas.openxmlformats.org/officeDocument/2006/relationships" ref="W114" r:id="rId338"/>
    <hyperlink xmlns:r="http://schemas.openxmlformats.org/officeDocument/2006/relationships" ref="C115" r:id="rId339"/>
    <hyperlink xmlns:r="http://schemas.openxmlformats.org/officeDocument/2006/relationships" ref="V115" r:id="rId340"/>
    <hyperlink xmlns:r="http://schemas.openxmlformats.org/officeDocument/2006/relationships" ref="W115" r:id="rId341"/>
    <hyperlink xmlns:r="http://schemas.openxmlformats.org/officeDocument/2006/relationships" ref="C116" r:id="rId342"/>
    <hyperlink xmlns:r="http://schemas.openxmlformats.org/officeDocument/2006/relationships" ref="V116" r:id="rId343"/>
    <hyperlink xmlns:r="http://schemas.openxmlformats.org/officeDocument/2006/relationships" ref="W116" r:id="rId344"/>
    <hyperlink xmlns:r="http://schemas.openxmlformats.org/officeDocument/2006/relationships" ref="C117" r:id="rId345"/>
    <hyperlink xmlns:r="http://schemas.openxmlformats.org/officeDocument/2006/relationships" ref="V117" r:id="rId346"/>
    <hyperlink xmlns:r="http://schemas.openxmlformats.org/officeDocument/2006/relationships" ref="W117" r:id="rId347"/>
    <hyperlink xmlns:r="http://schemas.openxmlformats.org/officeDocument/2006/relationships" ref="C118" r:id="rId348"/>
    <hyperlink xmlns:r="http://schemas.openxmlformats.org/officeDocument/2006/relationships" ref="V118" r:id="rId349"/>
    <hyperlink xmlns:r="http://schemas.openxmlformats.org/officeDocument/2006/relationships" ref="W118" r:id="rId350"/>
    <hyperlink xmlns:r="http://schemas.openxmlformats.org/officeDocument/2006/relationships" ref="C119" r:id="rId351"/>
    <hyperlink xmlns:r="http://schemas.openxmlformats.org/officeDocument/2006/relationships" ref="V119" r:id="rId352"/>
    <hyperlink xmlns:r="http://schemas.openxmlformats.org/officeDocument/2006/relationships" ref="W119" r:id="rId353"/>
    <hyperlink xmlns:r="http://schemas.openxmlformats.org/officeDocument/2006/relationships" ref="C120" r:id="rId354"/>
    <hyperlink xmlns:r="http://schemas.openxmlformats.org/officeDocument/2006/relationships" ref="V120" r:id="rId355"/>
    <hyperlink xmlns:r="http://schemas.openxmlformats.org/officeDocument/2006/relationships" ref="W120" r:id="rId356"/>
    <hyperlink xmlns:r="http://schemas.openxmlformats.org/officeDocument/2006/relationships" ref="C121" r:id="rId357"/>
    <hyperlink xmlns:r="http://schemas.openxmlformats.org/officeDocument/2006/relationships" ref="V121" r:id="rId358"/>
    <hyperlink xmlns:r="http://schemas.openxmlformats.org/officeDocument/2006/relationships" ref="W121" r:id="rId359"/>
    <hyperlink xmlns:r="http://schemas.openxmlformats.org/officeDocument/2006/relationships" ref="C122" r:id="rId360"/>
    <hyperlink xmlns:r="http://schemas.openxmlformats.org/officeDocument/2006/relationships" ref="V122" r:id="rId361"/>
    <hyperlink xmlns:r="http://schemas.openxmlformats.org/officeDocument/2006/relationships" ref="W122" r:id="rId362"/>
    <hyperlink xmlns:r="http://schemas.openxmlformats.org/officeDocument/2006/relationships" ref="C123" r:id="rId363"/>
    <hyperlink xmlns:r="http://schemas.openxmlformats.org/officeDocument/2006/relationships" ref="V123" r:id="rId364"/>
    <hyperlink xmlns:r="http://schemas.openxmlformats.org/officeDocument/2006/relationships" ref="W123" r:id="rId365"/>
    <hyperlink xmlns:r="http://schemas.openxmlformats.org/officeDocument/2006/relationships" ref="C124" r:id="rId366"/>
    <hyperlink xmlns:r="http://schemas.openxmlformats.org/officeDocument/2006/relationships" ref="V124" r:id="rId367"/>
    <hyperlink xmlns:r="http://schemas.openxmlformats.org/officeDocument/2006/relationships" ref="W124" r:id="rId368"/>
    <hyperlink xmlns:r="http://schemas.openxmlformats.org/officeDocument/2006/relationships" ref="C125" r:id="rId369"/>
    <hyperlink xmlns:r="http://schemas.openxmlformats.org/officeDocument/2006/relationships" ref="V125" r:id="rId370"/>
    <hyperlink xmlns:r="http://schemas.openxmlformats.org/officeDocument/2006/relationships" ref="W125" r:id="rId371"/>
    <hyperlink xmlns:r="http://schemas.openxmlformats.org/officeDocument/2006/relationships" ref="C126" r:id="rId372"/>
    <hyperlink xmlns:r="http://schemas.openxmlformats.org/officeDocument/2006/relationships" ref="V126" r:id="rId373"/>
    <hyperlink xmlns:r="http://schemas.openxmlformats.org/officeDocument/2006/relationships" ref="W126" r:id="rId374"/>
    <hyperlink xmlns:r="http://schemas.openxmlformats.org/officeDocument/2006/relationships" ref="C127" r:id="rId375"/>
    <hyperlink xmlns:r="http://schemas.openxmlformats.org/officeDocument/2006/relationships" ref="V127" r:id="rId376"/>
    <hyperlink xmlns:r="http://schemas.openxmlformats.org/officeDocument/2006/relationships" ref="W127" r:id="rId377"/>
    <hyperlink xmlns:r="http://schemas.openxmlformats.org/officeDocument/2006/relationships" ref="C128" r:id="rId378"/>
    <hyperlink xmlns:r="http://schemas.openxmlformats.org/officeDocument/2006/relationships" ref="V128" r:id="rId379"/>
    <hyperlink xmlns:r="http://schemas.openxmlformats.org/officeDocument/2006/relationships" ref="W128" r:id="rId380"/>
    <hyperlink xmlns:r="http://schemas.openxmlformats.org/officeDocument/2006/relationships" ref="C129" r:id="rId381"/>
    <hyperlink xmlns:r="http://schemas.openxmlformats.org/officeDocument/2006/relationships" ref="V129" r:id="rId382"/>
    <hyperlink xmlns:r="http://schemas.openxmlformats.org/officeDocument/2006/relationships" ref="W129" r:id="rId383"/>
    <hyperlink xmlns:r="http://schemas.openxmlformats.org/officeDocument/2006/relationships" ref="C130" r:id="rId384"/>
    <hyperlink xmlns:r="http://schemas.openxmlformats.org/officeDocument/2006/relationships" ref="V130" r:id="rId385"/>
    <hyperlink xmlns:r="http://schemas.openxmlformats.org/officeDocument/2006/relationships" ref="W130" r:id="rId386"/>
    <hyperlink xmlns:r="http://schemas.openxmlformats.org/officeDocument/2006/relationships" ref="C131" r:id="rId387"/>
    <hyperlink xmlns:r="http://schemas.openxmlformats.org/officeDocument/2006/relationships" ref="V131" r:id="rId388"/>
    <hyperlink xmlns:r="http://schemas.openxmlformats.org/officeDocument/2006/relationships" ref="W131" r:id="rId389"/>
    <hyperlink xmlns:r="http://schemas.openxmlformats.org/officeDocument/2006/relationships" ref="C132" r:id="rId390"/>
    <hyperlink xmlns:r="http://schemas.openxmlformats.org/officeDocument/2006/relationships" ref="V132" r:id="rId391"/>
    <hyperlink xmlns:r="http://schemas.openxmlformats.org/officeDocument/2006/relationships" ref="W132" r:id="rId392"/>
    <hyperlink xmlns:r="http://schemas.openxmlformats.org/officeDocument/2006/relationships" ref="C133" r:id="rId393"/>
    <hyperlink xmlns:r="http://schemas.openxmlformats.org/officeDocument/2006/relationships" ref="V133" r:id="rId394"/>
    <hyperlink xmlns:r="http://schemas.openxmlformats.org/officeDocument/2006/relationships" ref="W133" r:id="rId395"/>
    <hyperlink xmlns:r="http://schemas.openxmlformats.org/officeDocument/2006/relationships" ref="C134" r:id="rId396"/>
    <hyperlink xmlns:r="http://schemas.openxmlformats.org/officeDocument/2006/relationships" ref="V134" r:id="rId397"/>
    <hyperlink xmlns:r="http://schemas.openxmlformats.org/officeDocument/2006/relationships" ref="W134" r:id="rId398"/>
    <hyperlink xmlns:r="http://schemas.openxmlformats.org/officeDocument/2006/relationships" ref="C135" r:id="rId399"/>
    <hyperlink xmlns:r="http://schemas.openxmlformats.org/officeDocument/2006/relationships" ref="V135" r:id="rId400"/>
    <hyperlink xmlns:r="http://schemas.openxmlformats.org/officeDocument/2006/relationships" ref="W135" r:id="rId401"/>
    <hyperlink xmlns:r="http://schemas.openxmlformats.org/officeDocument/2006/relationships" ref="C136" r:id="rId402"/>
    <hyperlink xmlns:r="http://schemas.openxmlformats.org/officeDocument/2006/relationships" ref="V136" r:id="rId403"/>
    <hyperlink xmlns:r="http://schemas.openxmlformats.org/officeDocument/2006/relationships" ref="W136" r:id="rId404"/>
    <hyperlink xmlns:r="http://schemas.openxmlformats.org/officeDocument/2006/relationships" ref="C137" r:id="rId405"/>
    <hyperlink xmlns:r="http://schemas.openxmlformats.org/officeDocument/2006/relationships" ref="V137" r:id="rId406"/>
    <hyperlink xmlns:r="http://schemas.openxmlformats.org/officeDocument/2006/relationships" ref="W137" r:id="rId407"/>
    <hyperlink xmlns:r="http://schemas.openxmlformats.org/officeDocument/2006/relationships" ref="C138" r:id="rId408"/>
    <hyperlink xmlns:r="http://schemas.openxmlformats.org/officeDocument/2006/relationships" ref="V138" r:id="rId409"/>
    <hyperlink xmlns:r="http://schemas.openxmlformats.org/officeDocument/2006/relationships" ref="W138" r:id="rId410"/>
    <hyperlink xmlns:r="http://schemas.openxmlformats.org/officeDocument/2006/relationships" ref="C139" r:id="rId411"/>
    <hyperlink xmlns:r="http://schemas.openxmlformats.org/officeDocument/2006/relationships" ref="V139" r:id="rId412"/>
    <hyperlink xmlns:r="http://schemas.openxmlformats.org/officeDocument/2006/relationships" ref="W139" r:id="rId413"/>
    <hyperlink xmlns:r="http://schemas.openxmlformats.org/officeDocument/2006/relationships" ref="C140" r:id="rId414"/>
    <hyperlink xmlns:r="http://schemas.openxmlformats.org/officeDocument/2006/relationships" ref="V140" r:id="rId415"/>
    <hyperlink xmlns:r="http://schemas.openxmlformats.org/officeDocument/2006/relationships" ref="W140" r:id="rId416"/>
    <hyperlink xmlns:r="http://schemas.openxmlformats.org/officeDocument/2006/relationships" ref="C141" r:id="rId417"/>
    <hyperlink xmlns:r="http://schemas.openxmlformats.org/officeDocument/2006/relationships" ref="V141" r:id="rId418"/>
    <hyperlink xmlns:r="http://schemas.openxmlformats.org/officeDocument/2006/relationships" ref="W141" r:id="rId419"/>
    <hyperlink xmlns:r="http://schemas.openxmlformats.org/officeDocument/2006/relationships" ref="C142" r:id="rId420"/>
    <hyperlink xmlns:r="http://schemas.openxmlformats.org/officeDocument/2006/relationships" ref="V142" r:id="rId421"/>
    <hyperlink xmlns:r="http://schemas.openxmlformats.org/officeDocument/2006/relationships" ref="W142" r:id="rId422"/>
    <hyperlink xmlns:r="http://schemas.openxmlformats.org/officeDocument/2006/relationships" ref="C143" r:id="rId423"/>
    <hyperlink xmlns:r="http://schemas.openxmlformats.org/officeDocument/2006/relationships" ref="V143" r:id="rId424"/>
    <hyperlink xmlns:r="http://schemas.openxmlformats.org/officeDocument/2006/relationships" ref="W143" r:id="rId425"/>
    <hyperlink xmlns:r="http://schemas.openxmlformats.org/officeDocument/2006/relationships" ref="C144" r:id="rId426"/>
    <hyperlink xmlns:r="http://schemas.openxmlformats.org/officeDocument/2006/relationships" ref="V144" r:id="rId427"/>
    <hyperlink xmlns:r="http://schemas.openxmlformats.org/officeDocument/2006/relationships" ref="W144" r:id="rId428"/>
    <hyperlink xmlns:r="http://schemas.openxmlformats.org/officeDocument/2006/relationships" ref="C145" r:id="rId429"/>
    <hyperlink xmlns:r="http://schemas.openxmlformats.org/officeDocument/2006/relationships" ref="V145" r:id="rId430"/>
    <hyperlink xmlns:r="http://schemas.openxmlformats.org/officeDocument/2006/relationships" ref="W145" r:id="rId431"/>
    <hyperlink xmlns:r="http://schemas.openxmlformats.org/officeDocument/2006/relationships" ref="C146" r:id="rId432"/>
    <hyperlink xmlns:r="http://schemas.openxmlformats.org/officeDocument/2006/relationships" ref="V146" r:id="rId433"/>
    <hyperlink xmlns:r="http://schemas.openxmlformats.org/officeDocument/2006/relationships" ref="W146" r:id="rId434"/>
    <hyperlink xmlns:r="http://schemas.openxmlformats.org/officeDocument/2006/relationships" ref="C147" r:id="rId435"/>
    <hyperlink xmlns:r="http://schemas.openxmlformats.org/officeDocument/2006/relationships" ref="W147" r:id="rId436"/>
    <hyperlink xmlns:r="http://schemas.openxmlformats.org/officeDocument/2006/relationships" ref="C148" r:id="rId437"/>
    <hyperlink xmlns:r="http://schemas.openxmlformats.org/officeDocument/2006/relationships" ref="V148" r:id="rId438"/>
    <hyperlink xmlns:r="http://schemas.openxmlformats.org/officeDocument/2006/relationships" ref="W148" r:id="rId439"/>
    <hyperlink xmlns:r="http://schemas.openxmlformats.org/officeDocument/2006/relationships" ref="C149" r:id="rId440"/>
    <hyperlink xmlns:r="http://schemas.openxmlformats.org/officeDocument/2006/relationships" ref="V149" r:id="rId441"/>
    <hyperlink xmlns:r="http://schemas.openxmlformats.org/officeDocument/2006/relationships" ref="W149" r:id="rId442"/>
    <hyperlink xmlns:r="http://schemas.openxmlformats.org/officeDocument/2006/relationships" ref="C150" r:id="rId443"/>
    <hyperlink xmlns:r="http://schemas.openxmlformats.org/officeDocument/2006/relationships" ref="V150" r:id="rId444"/>
    <hyperlink xmlns:r="http://schemas.openxmlformats.org/officeDocument/2006/relationships" ref="W150" r:id="rId445"/>
    <hyperlink xmlns:r="http://schemas.openxmlformats.org/officeDocument/2006/relationships" ref="C151" r:id="rId446"/>
    <hyperlink xmlns:r="http://schemas.openxmlformats.org/officeDocument/2006/relationships" ref="V151" r:id="rId447"/>
    <hyperlink xmlns:r="http://schemas.openxmlformats.org/officeDocument/2006/relationships" ref="W151" r:id="rId448"/>
    <hyperlink xmlns:r="http://schemas.openxmlformats.org/officeDocument/2006/relationships" ref="C152" r:id="rId449"/>
    <hyperlink xmlns:r="http://schemas.openxmlformats.org/officeDocument/2006/relationships" ref="V152" r:id="rId450"/>
    <hyperlink xmlns:r="http://schemas.openxmlformats.org/officeDocument/2006/relationships" ref="W152" r:id="rId451"/>
    <hyperlink xmlns:r="http://schemas.openxmlformats.org/officeDocument/2006/relationships" ref="C153" r:id="rId452"/>
    <hyperlink xmlns:r="http://schemas.openxmlformats.org/officeDocument/2006/relationships" ref="V153" r:id="rId453"/>
    <hyperlink xmlns:r="http://schemas.openxmlformats.org/officeDocument/2006/relationships" ref="W153" r:id="rId454"/>
    <hyperlink xmlns:r="http://schemas.openxmlformats.org/officeDocument/2006/relationships" ref="C154" r:id="rId455"/>
    <hyperlink xmlns:r="http://schemas.openxmlformats.org/officeDocument/2006/relationships" ref="V154" r:id="rId456"/>
    <hyperlink xmlns:r="http://schemas.openxmlformats.org/officeDocument/2006/relationships" ref="W154" r:id="rId457"/>
    <hyperlink xmlns:r="http://schemas.openxmlformats.org/officeDocument/2006/relationships" ref="C155" r:id="rId458"/>
    <hyperlink xmlns:r="http://schemas.openxmlformats.org/officeDocument/2006/relationships" ref="V155" r:id="rId459"/>
    <hyperlink xmlns:r="http://schemas.openxmlformats.org/officeDocument/2006/relationships" ref="W155" r:id="rId460"/>
    <hyperlink xmlns:r="http://schemas.openxmlformats.org/officeDocument/2006/relationships" ref="C156" r:id="rId461"/>
    <hyperlink xmlns:r="http://schemas.openxmlformats.org/officeDocument/2006/relationships" ref="V156" r:id="rId462"/>
    <hyperlink xmlns:r="http://schemas.openxmlformats.org/officeDocument/2006/relationships" ref="W156" r:id="rId463"/>
    <hyperlink xmlns:r="http://schemas.openxmlformats.org/officeDocument/2006/relationships" ref="C157" r:id="rId464"/>
    <hyperlink xmlns:r="http://schemas.openxmlformats.org/officeDocument/2006/relationships" ref="V157" r:id="rId465"/>
    <hyperlink xmlns:r="http://schemas.openxmlformats.org/officeDocument/2006/relationships" ref="W157" r:id="rId466"/>
    <hyperlink xmlns:r="http://schemas.openxmlformats.org/officeDocument/2006/relationships" ref="C158" r:id="rId467"/>
    <hyperlink xmlns:r="http://schemas.openxmlformats.org/officeDocument/2006/relationships" ref="V158" r:id="rId468"/>
    <hyperlink xmlns:r="http://schemas.openxmlformats.org/officeDocument/2006/relationships" ref="W158" r:id="rId469"/>
    <hyperlink xmlns:r="http://schemas.openxmlformats.org/officeDocument/2006/relationships" ref="C159" r:id="rId470"/>
    <hyperlink xmlns:r="http://schemas.openxmlformats.org/officeDocument/2006/relationships" ref="V159" r:id="rId471"/>
    <hyperlink xmlns:r="http://schemas.openxmlformats.org/officeDocument/2006/relationships" ref="W159" r:id="rId472"/>
    <hyperlink xmlns:r="http://schemas.openxmlformats.org/officeDocument/2006/relationships" ref="C160" r:id="rId473"/>
    <hyperlink xmlns:r="http://schemas.openxmlformats.org/officeDocument/2006/relationships" ref="V160" r:id="rId474"/>
    <hyperlink xmlns:r="http://schemas.openxmlformats.org/officeDocument/2006/relationships" ref="W160" r:id="rId475"/>
    <hyperlink xmlns:r="http://schemas.openxmlformats.org/officeDocument/2006/relationships" ref="C161" r:id="rId476"/>
    <hyperlink xmlns:r="http://schemas.openxmlformats.org/officeDocument/2006/relationships" ref="V161" r:id="rId477"/>
    <hyperlink xmlns:r="http://schemas.openxmlformats.org/officeDocument/2006/relationships" ref="W161" r:id="rId478"/>
    <hyperlink xmlns:r="http://schemas.openxmlformats.org/officeDocument/2006/relationships" ref="C162" r:id="rId479"/>
    <hyperlink xmlns:r="http://schemas.openxmlformats.org/officeDocument/2006/relationships" ref="V162" r:id="rId480"/>
    <hyperlink xmlns:r="http://schemas.openxmlformats.org/officeDocument/2006/relationships" ref="W162" r:id="rId481"/>
    <hyperlink xmlns:r="http://schemas.openxmlformats.org/officeDocument/2006/relationships" ref="C163" r:id="rId482"/>
    <hyperlink xmlns:r="http://schemas.openxmlformats.org/officeDocument/2006/relationships" ref="V163" r:id="rId483"/>
    <hyperlink xmlns:r="http://schemas.openxmlformats.org/officeDocument/2006/relationships" ref="W163" r:id="rId484"/>
    <hyperlink xmlns:r="http://schemas.openxmlformats.org/officeDocument/2006/relationships" ref="C164" r:id="rId485"/>
    <hyperlink xmlns:r="http://schemas.openxmlformats.org/officeDocument/2006/relationships" ref="V164" r:id="rId486"/>
    <hyperlink xmlns:r="http://schemas.openxmlformats.org/officeDocument/2006/relationships" ref="W164" r:id="rId487"/>
    <hyperlink xmlns:r="http://schemas.openxmlformats.org/officeDocument/2006/relationships" ref="C165" r:id="rId488"/>
    <hyperlink xmlns:r="http://schemas.openxmlformats.org/officeDocument/2006/relationships" ref="V165" r:id="rId489"/>
    <hyperlink xmlns:r="http://schemas.openxmlformats.org/officeDocument/2006/relationships" ref="W165" r:id="rId490"/>
    <hyperlink xmlns:r="http://schemas.openxmlformats.org/officeDocument/2006/relationships" ref="C166" r:id="rId491"/>
    <hyperlink xmlns:r="http://schemas.openxmlformats.org/officeDocument/2006/relationships" ref="V166" r:id="rId492"/>
    <hyperlink xmlns:r="http://schemas.openxmlformats.org/officeDocument/2006/relationships" ref="W166" r:id="rId493"/>
    <hyperlink xmlns:r="http://schemas.openxmlformats.org/officeDocument/2006/relationships" ref="C167" r:id="rId494"/>
    <hyperlink xmlns:r="http://schemas.openxmlformats.org/officeDocument/2006/relationships" ref="V167" r:id="rId495"/>
    <hyperlink xmlns:r="http://schemas.openxmlformats.org/officeDocument/2006/relationships" ref="W167" r:id="rId496"/>
    <hyperlink xmlns:r="http://schemas.openxmlformats.org/officeDocument/2006/relationships" ref="C168" r:id="rId497"/>
    <hyperlink xmlns:r="http://schemas.openxmlformats.org/officeDocument/2006/relationships" ref="V168" r:id="rId498"/>
    <hyperlink xmlns:r="http://schemas.openxmlformats.org/officeDocument/2006/relationships" ref="W168" r:id="rId499"/>
    <hyperlink xmlns:r="http://schemas.openxmlformats.org/officeDocument/2006/relationships" ref="C169" r:id="rId500"/>
    <hyperlink xmlns:r="http://schemas.openxmlformats.org/officeDocument/2006/relationships" ref="V169" r:id="rId501"/>
    <hyperlink xmlns:r="http://schemas.openxmlformats.org/officeDocument/2006/relationships" ref="W169" r:id="rId502"/>
    <hyperlink xmlns:r="http://schemas.openxmlformats.org/officeDocument/2006/relationships" ref="C170" r:id="rId503"/>
    <hyperlink xmlns:r="http://schemas.openxmlformats.org/officeDocument/2006/relationships" ref="V170" r:id="rId504"/>
    <hyperlink xmlns:r="http://schemas.openxmlformats.org/officeDocument/2006/relationships" ref="W170" r:id="rId505"/>
    <hyperlink xmlns:r="http://schemas.openxmlformats.org/officeDocument/2006/relationships" ref="C171" r:id="rId506"/>
    <hyperlink xmlns:r="http://schemas.openxmlformats.org/officeDocument/2006/relationships" ref="V171" r:id="rId507"/>
    <hyperlink xmlns:r="http://schemas.openxmlformats.org/officeDocument/2006/relationships" ref="W171" r:id="rId508"/>
    <hyperlink xmlns:r="http://schemas.openxmlformats.org/officeDocument/2006/relationships" ref="C172" r:id="rId509"/>
    <hyperlink xmlns:r="http://schemas.openxmlformats.org/officeDocument/2006/relationships" ref="V172" r:id="rId510"/>
    <hyperlink xmlns:r="http://schemas.openxmlformats.org/officeDocument/2006/relationships" ref="W172" r:id="rId511"/>
    <hyperlink xmlns:r="http://schemas.openxmlformats.org/officeDocument/2006/relationships" ref="C173" r:id="rId512"/>
    <hyperlink xmlns:r="http://schemas.openxmlformats.org/officeDocument/2006/relationships" ref="V173" r:id="rId513"/>
    <hyperlink xmlns:r="http://schemas.openxmlformats.org/officeDocument/2006/relationships" ref="W173" r:id="rId514"/>
    <hyperlink xmlns:r="http://schemas.openxmlformats.org/officeDocument/2006/relationships" ref="C174" r:id="rId515"/>
    <hyperlink xmlns:r="http://schemas.openxmlformats.org/officeDocument/2006/relationships" ref="V174" r:id="rId516"/>
    <hyperlink xmlns:r="http://schemas.openxmlformats.org/officeDocument/2006/relationships" ref="W174" r:id="rId517"/>
    <hyperlink xmlns:r="http://schemas.openxmlformats.org/officeDocument/2006/relationships" ref="C175" r:id="rId518"/>
    <hyperlink xmlns:r="http://schemas.openxmlformats.org/officeDocument/2006/relationships" ref="V175" r:id="rId519"/>
    <hyperlink xmlns:r="http://schemas.openxmlformats.org/officeDocument/2006/relationships" ref="W175" r:id="rId520"/>
    <hyperlink xmlns:r="http://schemas.openxmlformats.org/officeDocument/2006/relationships" ref="C176" r:id="rId521"/>
    <hyperlink xmlns:r="http://schemas.openxmlformats.org/officeDocument/2006/relationships" ref="V176" r:id="rId522"/>
    <hyperlink xmlns:r="http://schemas.openxmlformats.org/officeDocument/2006/relationships" ref="W176" r:id="rId523"/>
    <hyperlink xmlns:r="http://schemas.openxmlformats.org/officeDocument/2006/relationships" ref="C177" r:id="rId524"/>
    <hyperlink xmlns:r="http://schemas.openxmlformats.org/officeDocument/2006/relationships" ref="V177" r:id="rId525"/>
    <hyperlink xmlns:r="http://schemas.openxmlformats.org/officeDocument/2006/relationships" ref="W177" r:id="rId526"/>
    <hyperlink xmlns:r="http://schemas.openxmlformats.org/officeDocument/2006/relationships" ref="C178" r:id="rId527"/>
    <hyperlink xmlns:r="http://schemas.openxmlformats.org/officeDocument/2006/relationships" ref="V178" r:id="rId528"/>
    <hyperlink xmlns:r="http://schemas.openxmlformats.org/officeDocument/2006/relationships" ref="W178" r:id="rId529"/>
    <hyperlink xmlns:r="http://schemas.openxmlformats.org/officeDocument/2006/relationships" ref="C179" r:id="rId530"/>
    <hyperlink xmlns:r="http://schemas.openxmlformats.org/officeDocument/2006/relationships" ref="V179" r:id="rId531"/>
    <hyperlink xmlns:r="http://schemas.openxmlformats.org/officeDocument/2006/relationships" ref="W179" r:id="rId532"/>
    <hyperlink xmlns:r="http://schemas.openxmlformats.org/officeDocument/2006/relationships" ref="C180" r:id="rId533"/>
    <hyperlink xmlns:r="http://schemas.openxmlformats.org/officeDocument/2006/relationships" ref="V180" r:id="rId534"/>
    <hyperlink xmlns:r="http://schemas.openxmlformats.org/officeDocument/2006/relationships" ref="W180" r:id="rId535"/>
    <hyperlink xmlns:r="http://schemas.openxmlformats.org/officeDocument/2006/relationships" ref="C181" r:id="rId536"/>
    <hyperlink xmlns:r="http://schemas.openxmlformats.org/officeDocument/2006/relationships" ref="V181" r:id="rId537"/>
    <hyperlink xmlns:r="http://schemas.openxmlformats.org/officeDocument/2006/relationships" ref="W181" r:id="rId538"/>
    <hyperlink xmlns:r="http://schemas.openxmlformats.org/officeDocument/2006/relationships" ref="C182" r:id="rId539"/>
    <hyperlink xmlns:r="http://schemas.openxmlformats.org/officeDocument/2006/relationships" ref="V182" r:id="rId540"/>
    <hyperlink xmlns:r="http://schemas.openxmlformats.org/officeDocument/2006/relationships" ref="W182" r:id="rId541"/>
    <hyperlink xmlns:r="http://schemas.openxmlformats.org/officeDocument/2006/relationships" ref="C183" r:id="rId542"/>
    <hyperlink xmlns:r="http://schemas.openxmlformats.org/officeDocument/2006/relationships" ref="V183" r:id="rId543"/>
    <hyperlink xmlns:r="http://schemas.openxmlformats.org/officeDocument/2006/relationships" ref="W183" r:id="rId544"/>
    <hyperlink xmlns:r="http://schemas.openxmlformats.org/officeDocument/2006/relationships" ref="C184" r:id="rId545"/>
    <hyperlink xmlns:r="http://schemas.openxmlformats.org/officeDocument/2006/relationships" ref="V184" r:id="rId546"/>
    <hyperlink xmlns:r="http://schemas.openxmlformats.org/officeDocument/2006/relationships" ref="W184" r:id="rId547"/>
    <hyperlink xmlns:r="http://schemas.openxmlformats.org/officeDocument/2006/relationships" ref="C185" r:id="rId548"/>
    <hyperlink xmlns:r="http://schemas.openxmlformats.org/officeDocument/2006/relationships" ref="V185" r:id="rId549"/>
    <hyperlink xmlns:r="http://schemas.openxmlformats.org/officeDocument/2006/relationships" ref="W185" r:id="rId550"/>
    <hyperlink xmlns:r="http://schemas.openxmlformats.org/officeDocument/2006/relationships" ref="C186" r:id="rId551"/>
    <hyperlink xmlns:r="http://schemas.openxmlformats.org/officeDocument/2006/relationships" ref="V186" r:id="rId552"/>
    <hyperlink xmlns:r="http://schemas.openxmlformats.org/officeDocument/2006/relationships" ref="W186" r:id="rId553"/>
    <hyperlink xmlns:r="http://schemas.openxmlformats.org/officeDocument/2006/relationships" ref="C187" r:id="rId554"/>
    <hyperlink xmlns:r="http://schemas.openxmlformats.org/officeDocument/2006/relationships" ref="V187" r:id="rId555"/>
    <hyperlink xmlns:r="http://schemas.openxmlformats.org/officeDocument/2006/relationships" ref="W187" r:id="rId556"/>
    <hyperlink xmlns:r="http://schemas.openxmlformats.org/officeDocument/2006/relationships" ref="C188" r:id="rId557"/>
    <hyperlink xmlns:r="http://schemas.openxmlformats.org/officeDocument/2006/relationships" ref="V188" r:id="rId558"/>
    <hyperlink xmlns:r="http://schemas.openxmlformats.org/officeDocument/2006/relationships" ref="W188" r:id="rId559"/>
    <hyperlink xmlns:r="http://schemas.openxmlformats.org/officeDocument/2006/relationships" ref="C189" r:id="rId560"/>
    <hyperlink xmlns:r="http://schemas.openxmlformats.org/officeDocument/2006/relationships" ref="V189" r:id="rId561"/>
    <hyperlink xmlns:r="http://schemas.openxmlformats.org/officeDocument/2006/relationships" ref="W189" r:id="rId562"/>
    <hyperlink xmlns:r="http://schemas.openxmlformats.org/officeDocument/2006/relationships" ref="C190" r:id="rId563"/>
    <hyperlink xmlns:r="http://schemas.openxmlformats.org/officeDocument/2006/relationships" ref="V190" r:id="rId564"/>
    <hyperlink xmlns:r="http://schemas.openxmlformats.org/officeDocument/2006/relationships" ref="W190" r:id="rId565"/>
    <hyperlink xmlns:r="http://schemas.openxmlformats.org/officeDocument/2006/relationships" ref="C191" r:id="rId566"/>
    <hyperlink xmlns:r="http://schemas.openxmlformats.org/officeDocument/2006/relationships" ref="V191" r:id="rId567"/>
    <hyperlink xmlns:r="http://schemas.openxmlformats.org/officeDocument/2006/relationships" ref="W191" r:id="rId568"/>
    <hyperlink xmlns:r="http://schemas.openxmlformats.org/officeDocument/2006/relationships" ref="C192" r:id="rId569"/>
    <hyperlink xmlns:r="http://schemas.openxmlformats.org/officeDocument/2006/relationships" ref="V192" r:id="rId570"/>
    <hyperlink xmlns:r="http://schemas.openxmlformats.org/officeDocument/2006/relationships" ref="W192" r:id="rId571"/>
    <hyperlink xmlns:r="http://schemas.openxmlformats.org/officeDocument/2006/relationships" ref="C193" r:id="rId572"/>
    <hyperlink xmlns:r="http://schemas.openxmlformats.org/officeDocument/2006/relationships" ref="V193" r:id="rId573"/>
    <hyperlink xmlns:r="http://schemas.openxmlformats.org/officeDocument/2006/relationships" ref="W193" r:id="rId574"/>
    <hyperlink xmlns:r="http://schemas.openxmlformats.org/officeDocument/2006/relationships" ref="C194" r:id="rId575"/>
    <hyperlink xmlns:r="http://schemas.openxmlformats.org/officeDocument/2006/relationships" ref="V194" r:id="rId576"/>
    <hyperlink xmlns:r="http://schemas.openxmlformats.org/officeDocument/2006/relationships" ref="W194" r:id="rId577"/>
    <hyperlink xmlns:r="http://schemas.openxmlformats.org/officeDocument/2006/relationships" ref="C195" r:id="rId578"/>
    <hyperlink xmlns:r="http://schemas.openxmlformats.org/officeDocument/2006/relationships" ref="V195" r:id="rId579"/>
    <hyperlink xmlns:r="http://schemas.openxmlformats.org/officeDocument/2006/relationships" ref="W195" r:id="rId580"/>
    <hyperlink xmlns:r="http://schemas.openxmlformats.org/officeDocument/2006/relationships" ref="C196" r:id="rId581"/>
    <hyperlink xmlns:r="http://schemas.openxmlformats.org/officeDocument/2006/relationships" ref="V196" r:id="rId582"/>
    <hyperlink xmlns:r="http://schemas.openxmlformats.org/officeDocument/2006/relationships" ref="W196" r:id="rId583"/>
    <hyperlink xmlns:r="http://schemas.openxmlformats.org/officeDocument/2006/relationships" ref="C197" r:id="rId584"/>
    <hyperlink xmlns:r="http://schemas.openxmlformats.org/officeDocument/2006/relationships" ref="V197" r:id="rId585"/>
    <hyperlink xmlns:r="http://schemas.openxmlformats.org/officeDocument/2006/relationships" ref="W197" r:id="rId586"/>
    <hyperlink xmlns:r="http://schemas.openxmlformats.org/officeDocument/2006/relationships" ref="C198" r:id="rId587"/>
    <hyperlink xmlns:r="http://schemas.openxmlformats.org/officeDocument/2006/relationships" ref="V198" r:id="rId588"/>
    <hyperlink xmlns:r="http://schemas.openxmlformats.org/officeDocument/2006/relationships" ref="W198" r:id="rId589"/>
    <hyperlink xmlns:r="http://schemas.openxmlformats.org/officeDocument/2006/relationships" ref="C199" r:id="rId590"/>
    <hyperlink xmlns:r="http://schemas.openxmlformats.org/officeDocument/2006/relationships" ref="V199" r:id="rId591"/>
    <hyperlink xmlns:r="http://schemas.openxmlformats.org/officeDocument/2006/relationships" ref="W199" r:id="rId592"/>
    <hyperlink xmlns:r="http://schemas.openxmlformats.org/officeDocument/2006/relationships" ref="C200" r:id="rId593"/>
    <hyperlink xmlns:r="http://schemas.openxmlformats.org/officeDocument/2006/relationships" ref="V200" r:id="rId594"/>
    <hyperlink xmlns:r="http://schemas.openxmlformats.org/officeDocument/2006/relationships" ref="W200" r:id="rId595"/>
    <hyperlink xmlns:r="http://schemas.openxmlformats.org/officeDocument/2006/relationships" ref="C201" r:id="rId596"/>
    <hyperlink xmlns:r="http://schemas.openxmlformats.org/officeDocument/2006/relationships" ref="V201" r:id="rId597"/>
    <hyperlink xmlns:r="http://schemas.openxmlformats.org/officeDocument/2006/relationships" ref="W201" r:id="rId598"/>
    <hyperlink xmlns:r="http://schemas.openxmlformats.org/officeDocument/2006/relationships" ref="C202" r:id="rId599"/>
    <hyperlink xmlns:r="http://schemas.openxmlformats.org/officeDocument/2006/relationships" ref="V202" r:id="rId600"/>
    <hyperlink xmlns:r="http://schemas.openxmlformats.org/officeDocument/2006/relationships" ref="W202" r:id="rId601"/>
    <hyperlink xmlns:r="http://schemas.openxmlformats.org/officeDocument/2006/relationships" ref="C203" r:id="rId602"/>
    <hyperlink xmlns:r="http://schemas.openxmlformats.org/officeDocument/2006/relationships" ref="V203" r:id="rId603"/>
    <hyperlink xmlns:r="http://schemas.openxmlformats.org/officeDocument/2006/relationships" ref="W203" r:id="rId604"/>
    <hyperlink xmlns:r="http://schemas.openxmlformats.org/officeDocument/2006/relationships" ref="C204" r:id="rId605"/>
    <hyperlink xmlns:r="http://schemas.openxmlformats.org/officeDocument/2006/relationships" ref="V204" r:id="rId606"/>
    <hyperlink xmlns:r="http://schemas.openxmlformats.org/officeDocument/2006/relationships" ref="W204" r:id="rId607"/>
    <hyperlink xmlns:r="http://schemas.openxmlformats.org/officeDocument/2006/relationships" ref="C205" r:id="rId608"/>
    <hyperlink xmlns:r="http://schemas.openxmlformats.org/officeDocument/2006/relationships" ref="V205" r:id="rId609"/>
    <hyperlink xmlns:r="http://schemas.openxmlformats.org/officeDocument/2006/relationships" ref="W205" r:id="rId610"/>
    <hyperlink xmlns:r="http://schemas.openxmlformats.org/officeDocument/2006/relationships" ref="C206" r:id="rId611"/>
    <hyperlink xmlns:r="http://schemas.openxmlformats.org/officeDocument/2006/relationships" ref="V206" r:id="rId612"/>
    <hyperlink xmlns:r="http://schemas.openxmlformats.org/officeDocument/2006/relationships" ref="W206" r:id="rId613"/>
    <hyperlink xmlns:r="http://schemas.openxmlformats.org/officeDocument/2006/relationships" ref="C207" r:id="rId614"/>
    <hyperlink xmlns:r="http://schemas.openxmlformats.org/officeDocument/2006/relationships" ref="V207" r:id="rId615"/>
    <hyperlink xmlns:r="http://schemas.openxmlformats.org/officeDocument/2006/relationships" ref="W207" r:id="rId616"/>
    <hyperlink xmlns:r="http://schemas.openxmlformats.org/officeDocument/2006/relationships" ref="C208" r:id="rId617"/>
    <hyperlink xmlns:r="http://schemas.openxmlformats.org/officeDocument/2006/relationships" ref="V208" r:id="rId618"/>
    <hyperlink xmlns:r="http://schemas.openxmlformats.org/officeDocument/2006/relationships" ref="W208" r:id="rId619"/>
    <hyperlink xmlns:r="http://schemas.openxmlformats.org/officeDocument/2006/relationships" ref="C209" r:id="rId620"/>
    <hyperlink xmlns:r="http://schemas.openxmlformats.org/officeDocument/2006/relationships" ref="V209" r:id="rId621"/>
    <hyperlink xmlns:r="http://schemas.openxmlformats.org/officeDocument/2006/relationships" ref="W209" r:id="rId622"/>
    <hyperlink xmlns:r="http://schemas.openxmlformats.org/officeDocument/2006/relationships" ref="C210" r:id="rId623"/>
    <hyperlink xmlns:r="http://schemas.openxmlformats.org/officeDocument/2006/relationships" ref="V210" r:id="rId624"/>
    <hyperlink xmlns:r="http://schemas.openxmlformats.org/officeDocument/2006/relationships" ref="W210" r:id="rId625"/>
    <hyperlink xmlns:r="http://schemas.openxmlformats.org/officeDocument/2006/relationships" ref="C211" r:id="rId626"/>
    <hyperlink xmlns:r="http://schemas.openxmlformats.org/officeDocument/2006/relationships" ref="V211" r:id="rId627"/>
    <hyperlink xmlns:r="http://schemas.openxmlformats.org/officeDocument/2006/relationships" ref="W211" r:id="rId628"/>
    <hyperlink xmlns:r="http://schemas.openxmlformats.org/officeDocument/2006/relationships" ref="C212" r:id="rId629"/>
    <hyperlink xmlns:r="http://schemas.openxmlformats.org/officeDocument/2006/relationships" ref="V212" r:id="rId630"/>
    <hyperlink xmlns:r="http://schemas.openxmlformats.org/officeDocument/2006/relationships" ref="W212" r:id="rId631"/>
    <hyperlink xmlns:r="http://schemas.openxmlformats.org/officeDocument/2006/relationships" ref="C213" r:id="rId632"/>
    <hyperlink xmlns:r="http://schemas.openxmlformats.org/officeDocument/2006/relationships" ref="V213" r:id="rId633"/>
    <hyperlink xmlns:r="http://schemas.openxmlformats.org/officeDocument/2006/relationships" ref="W213" r:id="rId634"/>
    <hyperlink xmlns:r="http://schemas.openxmlformats.org/officeDocument/2006/relationships" ref="C214" r:id="rId635"/>
    <hyperlink xmlns:r="http://schemas.openxmlformats.org/officeDocument/2006/relationships" ref="V214" r:id="rId636"/>
    <hyperlink xmlns:r="http://schemas.openxmlformats.org/officeDocument/2006/relationships" ref="W214" r:id="rId637"/>
    <hyperlink xmlns:r="http://schemas.openxmlformats.org/officeDocument/2006/relationships" ref="C215" r:id="rId638"/>
    <hyperlink xmlns:r="http://schemas.openxmlformats.org/officeDocument/2006/relationships" ref="V215" r:id="rId639"/>
    <hyperlink xmlns:r="http://schemas.openxmlformats.org/officeDocument/2006/relationships" ref="W215" r:id="rId640"/>
    <hyperlink xmlns:r="http://schemas.openxmlformats.org/officeDocument/2006/relationships" ref="C216" r:id="rId641"/>
    <hyperlink xmlns:r="http://schemas.openxmlformats.org/officeDocument/2006/relationships" ref="V216" r:id="rId642"/>
    <hyperlink xmlns:r="http://schemas.openxmlformats.org/officeDocument/2006/relationships" ref="W216" r:id="rId643"/>
    <hyperlink xmlns:r="http://schemas.openxmlformats.org/officeDocument/2006/relationships" ref="C217" r:id="rId644"/>
    <hyperlink xmlns:r="http://schemas.openxmlformats.org/officeDocument/2006/relationships" ref="V217" r:id="rId645"/>
    <hyperlink xmlns:r="http://schemas.openxmlformats.org/officeDocument/2006/relationships" ref="W217" r:id="rId646"/>
    <hyperlink xmlns:r="http://schemas.openxmlformats.org/officeDocument/2006/relationships" ref="C218" r:id="rId647"/>
    <hyperlink xmlns:r="http://schemas.openxmlformats.org/officeDocument/2006/relationships" ref="V218" r:id="rId648"/>
    <hyperlink xmlns:r="http://schemas.openxmlformats.org/officeDocument/2006/relationships" ref="W218" r:id="rId649"/>
    <hyperlink xmlns:r="http://schemas.openxmlformats.org/officeDocument/2006/relationships" ref="C219" r:id="rId650"/>
    <hyperlink xmlns:r="http://schemas.openxmlformats.org/officeDocument/2006/relationships" ref="V219" r:id="rId651"/>
    <hyperlink xmlns:r="http://schemas.openxmlformats.org/officeDocument/2006/relationships" ref="W219" r:id="rId652"/>
    <hyperlink xmlns:r="http://schemas.openxmlformats.org/officeDocument/2006/relationships" ref="C220" r:id="rId653"/>
    <hyperlink xmlns:r="http://schemas.openxmlformats.org/officeDocument/2006/relationships" ref="V220" r:id="rId654"/>
    <hyperlink xmlns:r="http://schemas.openxmlformats.org/officeDocument/2006/relationships" ref="W220" r:id="rId655"/>
    <hyperlink xmlns:r="http://schemas.openxmlformats.org/officeDocument/2006/relationships" ref="C221" r:id="rId656"/>
    <hyperlink xmlns:r="http://schemas.openxmlformats.org/officeDocument/2006/relationships" ref="V221" r:id="rId657"/>
    <hyperlink xmlns:r="http://schemas.openxmlformats.org/officeDocument/2006/relationships" ref="W221" r:id="rId658"/>
    <hyperlink xmlns:r="http://schemas.openxmlformats.org/officeDocument/2006/relationships" ref="C222" r:id="rId659"/>
    <hyperlink xmlns:r="http://schemas.openxmlformats.org/officeDocument/2006/relationships" ref="V222" r:id="rId660"/>
    <hyperlink xmlns:r="http://schemas.openxmlformats.org/officeDocument/2006/relationships" ref="W222" r:id="rId661"/>
    <hyperlink xmlns:r="http://schemas.openxmlformats.org/officeDocument/2006/relationships" ref="C223" r:id="rId662"/>
    <hyperlink xmlns:r="http://schemas.openxmlformats.org/officeDocument/2006/relationships" ref="V223" r:id="rId663"/>
    <hyperlink xmlns:r="http://schemas.openxmlformats.org/officeDocument/2006/relationships" ref="W223" r:id="rId664"/>
    <hyperlink xmlns:r="http://schemas.openxmlformats.org/officeDocument/2006/relationships" ref="C224" r:id="rId665"/>
    <hyperlink xmlns:r="http://schemas.openxmlformats.org/officeDocument/2006/relationships" ref="V224" r:id="rId666"/>
    <hyperlink xmlns:r="http://schemas.openxmlformats.org/officeDocument/2006/relationships" ref="W224" r:id="rId667"/>
    <hyperlink xmlns:r="http://schemas.openxmlformats.org/officeDocument/2006/relationships" ref="C225" r:id="rId668"/>
    <hyperlink xmlns:r="http://schemas.openxmlformats.org/officeDocument/2006/relationships" ref="V225" r:id="rId669"/>
    <hyperlink xmlns:r="http://schemas.openxmlformats.org/officeDocument/2006/relationships" ref="W225" r:id="rId670"/>
    <hyperlink xmlns:r="http://schemas.openxmlformats.org/officeDocument/2006/relationships" ref="C226" r:id="rId671"/>
    <hyperlink xmlns:r="http://schemas.openxmlformats.org/officeDocument/2006/relationships" ref="V226" r:id="rId672"/>
    <hyperlink xmlns:r="http://schemas.openxmlformats.org/officeDocument/2006/relationships" ref="W226" r:id="rId673"/>
    <hyperlink xmlns:r="http://schemas.openxmlformats.org/officeDocument/2006/relationships" ref="C227" r:id="rId674"/>
    <hyperlink xmlns:r="http://schemas.openxmlformats.org/officeDocument/2006/relationships" ref="V227" r:id="rId675"/>
    <hyperlink xmlns:r="http://schemas.openxmlformats.org/officeDocument/2006/relationships" ref="W227" r:id="rId676"/>
    <hyperlink xmlns:r="http://schemas.openxmlformats.org/officeDocument/2006/relationships" ref="C228" r:id="rId677"/>
    <hyperlink xmlns:r="http://schemas.openxmlformats.org/officeDocument/2006/relationships" ref="V228" r:id="rId678"/>
    <hyperlink xmlns:r="http://schemas.openxmlformats.org/officeDocument/2006/relationships" ref="W228" r:id="rId679"/>
    <hyperlink xmlns:r="http://schemas.openxmlformats.org/officeDocument/2006/relationships" ref="C229" r:id="rId680"/>
    <hyperlink xmlns:r="http://schemas.openxmlformats.org/officeDocument/2006/relationships" ref="V229" r:id="rId681"/>
    <hyperlink xmlns:r="http://schemas.openxmlformats.org/officeDocument/2006/relationships" ref="W229" r:id="rId682"/>
    <hyperlink xmlns:r="http://schemas.openxmlformats.org/officeDocument/2006/relationships" ref="C230" r:id="rId683"/>
    <hyperlink xmlns:r="http://schemas.openxmlformats.org/officeDocument/2006/relationships" ref="V230" r:id="rId684"/>
    <hyperlink xmlns:r="http://schemas.openxmlformats.org/officeDocument/2006/relationships" ref="W230" r:id="rId685"/>
    <hyperlink xmlns:r="http://schemas.openxmlformats.org/officeDocument/2006/relationships" ref="C231" r:id="rId686"/>
    <hyperlink xmlns:r="http://schemas.openxmlformats.org/officeDocument/2006/relationships" ref="V231" r:id="rId687"/>
    <hyperlink xmlns:r="http://schemas.openxmlformats.org/officeDocument/2006/relationships" ref="W231" r:id="rId688"/>
    <hyperlink xmlns:r="http://schemas.openxmlformats.org/officeDocument/2006/relationships" ref="C232" r:id="rId689"/>
    <hyperlink xmlns:r="http://schemas.openxmlformats.org/officeDocument/2006/relationships" ref="V232" r:id="rId690"/>
    <hyperlink xmlns:r="http://schemas.openxmlformats.org/officeDocument/2006/relationships" ref="W232" r:id="rId691"/>
    <hyperlink xmlns:r="http://schemas.openxmlformats.org/officeDocument/2006/relationships" ref="C233" r:id="rId692"/>
    <hyperlink xmlns:r="http://schemas.openxmlformats.org/officeDocument/2006/relationships" ref="V233" r:id="rId693"/>
    <hyperlink xmlns:r="http://schemas.openxmlformats.org/officeDocument/2006/relationships" ref="W233" r:id="rId694"/>
    <hyperlink xmlns:r="http://schemas.openxmlformats.org/officeDocument/2006/relationships" ref="C234" r:id="rId695"/>
    <hyperlink xmlns:r="http://schemas.openxmlformats.org/officeDocument/2006/relationships" ref="V234" r:id="rId696"/>
    <hyperlink xmlns:r="http://schemas.openxmlformats.org/officeDocument/2006/relationships" ref="W234" r:id="rId697"/>
    <hyperlink xmlns:r="http://schemas.openxmlformats.org/officeDocument/2006/relationships" ref="C235" r:id="rId698"/>
    <hyperlink xmlns:r="http://schemas.openxmlformats.org/officeDocument/2006/relationships" ref="V235" r:id="rId699"/>
    <hyperlink xmlns:r="http://schemas.openxmlformats.org/officeDocument/2006/relationships" ref="W235" r:id="rId700"/>
    <hyperlink xmlns:r="http://schemas.openxmlformats.org/officeDocument/2006/relationships" ref="C236" r:id="rId701"/>
    <hyperlink xmlns:r="http://schemas.openxmlformats.org/officeDocument/2006/relationships" ref="V236" r:id="rId702"/>
    <hyperlink xmlns:r="http://schemas.openxmlformats.org/officeDocument/2006/relationships" ref="W236" r:id="rId703"/>
    <hyperlink xmlns:r="http://schemas.openxmlformats.org/officeDocument/2006/relationships" ref="C237" r:id="rId704"/>
    <hyperlink xmlns:r="http://schemas.openxmlformats.org/officeDocument/2006/relationships" ref="V237" r:id="rId705"/>
    <hyperlink xmlns:r="http://schemas.openxmlformats.org/officeDocument/2006/relationships" ref="W237" r:id="rId706"/>
    <hyperlink xmlns:r="http://schemas.openxmlformats.org/officeDocument/2006/relationships" ref="C238" r:id="rId707"/>
    <hyperlink xmlns:r="http://schemas.openxmlformats.org/officeDocument/2006/relationships" ref="V238" r:id="rId708"/>
    <hyperlink xmlns:r="http://schemas.openxmlformats.org/officeDocument/2006/relationships" ref="W238" r:id="rId709"/>
    <hyperlink xmlns:r="http://schemas.openxmlformats.org/officeDocument/2006/relationships" ref="C239" r:id="rId710"/>
    <hyperlink xmlns:r="http://schemas.openxmlformats.org/officeDocument/2006/relationships" ref="V239" r:id="rId711"/>
    <hyperlink xmlns:r="http://schemas.openxmlformats.org/officeDocument/2006/relationships" ref="W239" r:id="rId712"/>
    <hyperlink xmlns:r="http://schemas.openxmlformats.org/officeDocument/2006/relationships" ref="C240" r:id="rId713"/>
    <hyperlink xmlns:r="http://schemas.openxmlformats.org/officeDocument/2006/relationships" ref="V240" r:id="rId714"/>
    <hyperlink xmlns:r="http://schemas.openxmlformats.org/officeDocument/2006/relationships" ref="W240" r:id="rId715"/>
    <hyperlink xmlns:r="http://schemas.openxmlformats.org/officeDocument/2006/relationships" ref="C241" r:id="rId716"/>
    <hyperlink xmlns:r="http://schemas.openxmlformats.org/officeDocument/2006/relationships" ref="V241" r:id="rId717"/>
    <hyperlink xmlns:r="http://schemas.openxmlformats.org/officeDocument/2006/relationships" ref="W241" r:id="rId718"/>
    <hyperlink xmlns:r="http://schemas.openxmlformats.org/officeDocument/2006/relationships" ref="C242" r:id="rId719"/>
    <hyperlink xmlns:r="http://schemas.openxmlformats.org/officeDocument/2006/relationships" ref="V242" r:id="rId720"/>
    <hyperlink xmlns:r="http://schemas.openxmlformats.org/officeDocument/2006/relationships" ref="W242" r:id="rId721"/>
    <hyperlink xmlns:r="http://schemas.openxmlformats.org/officeDocument/2006/relationships" ref="C243" r:id="rId722"/>
    <hyperlink xmlns:r="http://schemas.openxmlformats.org/officeDocument/2006/relationships" ref="V243" r:id="rId723"/>
    <hyperlink xmlns:r="http://schemas.openxmlformats.org/officeDocument/2006/relationships" ref="W243" r:id="rId724"/>
    <hyperlink xmlns:r="http://schemas.openxmlformats.org/officeDocument/2006/relationships" ref="C244" r:id="rId725"/>
    <hyperlink xmlns:r="http://schemas.openxmlformats.org/officeDocument/2006/relationships" ref="V244" r:id="rId726"/>
    <hyperlink xmlns:r="http://schemas.openxmlformats.org/officeDocument/2006/relationships" ref="W244" r:id="rId727"/>
    <hyperlink xmlns:r="http://schemas.openxmlformats.org/officeDocument/2006/relationships" ref="C245" r:id="rId728"/>
    <hyperlink xmlns:r="http://schemas.openxmlformats.org/officeDocument/2006/relationships" ref="V245" r:id="rId729"/>
    <hyperlink xmlns:r="http://schemas.openxmlformats.org/officeDocument/2006/relationships" ref="W245" r:id="rId730"/>
    <hyperlink xmlns:r="http://schemas.openxmlformats.org/officeDocument/2006/relationships" ref="C246" r:id="rId731"/>
    <hyperlink xmlns:r="http://schemas.openxmlformats.org/officeDocument/2006/relationships" ref="V246" r:id="rId732"/>
    <hyperlink xmlns:r="http://schemas.openxmlformats.org/officeDocument/2006/relationships" ref="W246" r:id="rId733"/>
    <hyperlink xmlns:r="http://schemas.openxmlformats.org/officeDocument/2006/relationships" ref="C247" r:id="rId734"/>
    <hyperlink xmlns:r="http://schemas.openxmlformats.org/officeDocument/2006/relationships" ref="V247" r:id="rId735"/>
    <hyperlink xmlns:r="http://schemas.openxmlformats.org/officeDocument/2006/relationships" ref="W247" r:id="rId736"/>
    <hyperlink xmlns:r="http://schemas.openxmlformats.org/officeDocument/2006/relationships" ref="C248" r:id="rId737"/>
    <hyperlink xmlns:r="http://schemas.openxmlformats.org/officeDocument/2006/relationships" ref="V248" r:id="rId738"/>
    <hyperlink xmlns:r="http://schemas.openxmlformats.org/officeDocument/2006/relationships" ref="W248" r:id="rId739"/>
    <hyperlink xmlns:r="http://schemas.openxmlformats.org/officeDocument/2006/relationships" ref="C249" r:id="rId740"/>
    <hyperlink xmlns:r="http://schemas.openxmlformats.org/officeDocument/2006/relationships" ref="V249" r:id="rId741"/>
    <hyperlink xmlns:r="http://schemas.openxmlformats.org/officeDocument/2006/relationships" ref="W249" r:id="rId742"/>
    <hyperlink xmlns:r="http://schemas.openxmlformats.org/officeDocument/2006/relationships" ref="C250" r:id="rId743"/>
    <hyperlink xmlns:r="http://schemas.openxmlformats.org/officeDocument/2006/relationships" ref="V250" r:id="rId744"/>
    <hyperlink xmlns:r="http://schemas.openxmlformats.org/officeDocument/2006/relationships" ref="W250" r:id="rId745"/>
    <hyperlink xmlns:r="http://schemas.openxmlformats.org/officeDocument/2006/relationships" ref="C251" r:id="rId746"/>
    <hyperlink xmlns:r="http://schemas.openxmlformats.org/officeDocument/2006/relationships" ref="V251" r:id="rId747"/>
    <hyperlink xmlns:r="http://schemas.openxmlformats.org/officeDocument/2006/relationships" ref="W251" r:id="rId748"/>
    <hyperlink xmlns:r="http://schemas.openxmlformats.org/officeDocument/2006/relationships" ref="C252" r:id="rId749"/>
    <hyperlink xmlns:r="http://schemas.openxmlformats.org/officeDocument/2006/relationships" ref="V252" r:id="rId750"/>
    <hyperlink xmlns:r="http://schemas.openxmlformats.org/officeDocument/2006/relationships" ref="W252" r:id="rId751"/>
    <hyperlink xmlns:r="http://schemas.openxmlformats.org/officeDocument/2006/relationships" ref="C253" r:id="rId752"/>
    <hyperlink xmlns:r="http://schemas.openxmlformats.org/officeDocument/2006/relationships" ref="V253" r:id="rId753"/>
    <hyperlink xmlns:r="http://schemas.openxmlformats.org/officeDocument/2006/relationships" ref="W253" r:id="rId754"/>
    <hyperlink xmlns:r="http://schemas.openxmlformats.org/officeDocument/2006/relationships" ref="C254" r:id="rId755"/>
    <hyperlink xmlns:r="http://schemas.openxmlformats.org/officeDocument/2006/relationships" ref="V254" r:id="rId756"/>
    <hyperlink xmlns:r="http://schemas.openxmlformats.org/officeDocument/2006/relationships" ref="W254" r:id="rId757"/>
    <hyperlink xmlns:r="http://schemas.openxmlformats.org/officeDocument/2006/relationships" ref="C255" r:id="rId758"/>
    <hyperlink xmlns:r="http://schemas.openxmlformats.org/officeDocument/2006/relationships" ref="V255" r:id="rId759"/>
    <hyperlink xmlns:r="http://schemas.openxmlformats.org/officeDocument/2006/relationships" ref="W255" r:id="rId760"/>
    <hyperlink xmlns:r="http://schemas.openxmlformats.org/officeDocument/2006/relationships" ref="C256" r:id="rId761"/>
    <hyperlink xmlns:r="http://schemas.openxmlformats.org/officeDocument/2006/relationships" ref="V256" r:id="rId762"/>
    <hyperlink xmlns:r="http://schemas.openxmlformats.org/officeDocument/2006/relationships" ref="W256" r:id="rId763"/>
    <hyperlink xmlns:r="http://schemas.openxmlformats.org/officeDocument/2006/relationships" ref="C257" r:id="rId764"/>
    <hyperlink xmlns:r="http://schemas.openxmlformats.org/officeDocument/2006/relationships" ref="V257" r:id="rId765"/>
    <hyperlink xmlns:r="http://schemas.openxmlformats.org/officeDocument/2006/relationships" ref="W257" r:id="rId766"/>
    <hyperlink xmlns:r="http://schemas.openxmlformats.org/officeDocument/2006/relationships" ref="C258" r:id="rId767"/>
    <hyperlink xmlns:r="http://schemas.openxmlformats.org/officeDocument/2006/relationships" ref="V258" r:id="rId768"/>
    <hyperlink xmlns:r="http://schemas.openxmlformats.org/officeDocument/2006/relationships" ref="W258" r:id="rId769"/>
    <hyperlink xmlns:r="http://schemas.openxmlformats.org/officeDocument/2006/relationships" ref="C259" r:id="rId770"/>
    <hyperlink xmlns:r="http://schemas.openxmlformats.org/officeDocument/2006/relationships" ref="V259" r:id="rId771"/>
    <hyperlink xmlns:r="http://schemas.openxmlformats.org/officeDocument/2006/relationships" ref="W259" r:id="rId772"/>
    <hyperlink xmlns:r="http://schemas.openxmlformats.org/officeDocument/2006/relationships" ref="C260" r:id="rId773"/>
    <hyperlink xmlns:r="http://schemas.openxmlformats.org/officeDocument/2006/relationships" ref="V260" r:id="rId774"/>
    <hyperlink xmlns:r="http://schemas.openxmlformats.org/officeDocument/2006/relationships" ref="W260" r:id="rId775"/>
    <hyperlink xmlns:r="http://schemas.openxmlformats.org/officeDocument/2006/relationships" ref="C261" r:id="rId776"/>
    <hyperlink xmlns:r="http://schemas.openxmlformats.org/officeDocument/2006/relationships" ref="V261" r:id="rId777"/>
    <hyperlink xmlns:r="http://schemas.openxmlformats.org/officeDocument/2006/relationships" ref="W261" r:id="rId778"/>
    <hyperlink xmlns:r="http://schemas.openxmlformats.org/officeDocument/2006/relationships" ref="C262" r:id="rId779"/>
    <hyperlink xmlns:r="http://schemas.openxmlformats.org/officeDocument/2006/relationships" ref="V262" r:id="rId780"/>
    <hyperlink xmlns:r="http://schemas.openxmlformats.org/officeDocument/2006/relationships" ref="W262" r:id="rId781"/>
    <hyperlink xmlns:r="http://schemas.openxmlformats.org/officeDocument/2006/relationships" ref="C263" r:id="rId782"/>
    <hyperlink xmlns:r="http://schemas.openxmlformats.org/officeDocument/2006/relationships" ref="V263" r:id="rId783"/>
    <hyperlink xmlns:r="http://schemas.openxmlformats.org/officeDocument/2006/relationships" ref="W263" r:id="rId784"/>
    <hyperlink xmlns:r="http://schemas.openxmlformats.org/officeDocument/2006/relationships" ref="C264" r:id="rId785"/>
    <hyperlink xmlns:r="http://schemas.openxmlformats.org/officeDocument/2006/relationships" ref="V264" r:id="rId786"/>
    <hyperlink xmlns:r="http://schemas.openxmlformats.org/officeDocument/2006/relationships" ref="W264" r:id="rId787"/>
    <hyperlink xmlns:r="http://schemas.openxmlformats.org/officeDocument/2006/relationships" ref="C265" r:id="rId788"/>
    <hyperlink xmlns:r="http://schemas.openxmlformats.org/officeDocument/2006/relationships" ref="V265" r:id="rId789"/>
    <hyperlink xmlns:r="http://schemas.openxmlformats.org/officeDocument/2006/relationships" ref="W265" r:id="rId790"/>
    <hyperlink xmlns:r="http://schemas.openxmlformats.org/officeDocument/2006/relationships" ref="C266" r:id="rId791"/>
    <hyperlink xmlns:r="http://schemas.openxmlformats.org/officeDocument/2006/relationships" ref="V266" r:id="rId792"/>
    <hyperlink xmlns:r="http://schemas.openxmlformats.org/officeDocument/2006/relationships" ref="W266" r:id="rId793"/>
    <hyperlink xmlns:r="http://schemas.openxmlformats.org/officeDocument/2006/relationships" ref="C267" r:id="rId794"/>
    <hyperlink xmlns:r="http://schemas.openxmlformats.org/officeDocument/2006/relationships" ref="V267" r:id="rId795"/>
    <hyperlink xmlns:r="http://schemas.openxmlformats.org/officeDocument/2006/relationships" ref="W267" r:id="rId796"/>
    <hyperlink xmlns:r="http://schemas.openxmlformats.org/officeDocument/2006/relationships" ref="C268" r:id="rId797"/>
    <hyperlink xmlns:r="http://schemas.openxmlformats.org/officeDocument/2006/relationships" ref="V268" r:id="rId798"/>
    <hyperlink xmlns:r="http://schemas.openxmlformats.org/officeDocument/2006/relationships" ref="W268" r:id="rId799"/>
    <hyperlink xmlns:r="http://schemas.openxmlformats.org/officeDocument/2006/relationships" ref="C269" r:id="rId800"/>
    <hyperlink xmlns:r="http://schemas.openxmlformats.org/officeDocument/2006/relationships" ref="V269" r:id="rId801"/>
    <hyperlink xmlns:r="http://schemas.openxmlformats.org/officeDocument/2006/relationships" ref="W269" r:id="rId802"/>
    <hyperlink xmlns:r="http://schemas.openxmlformats.org/officeDocument/2006/relationships" ref="C270" r:id="rId803"/>
    <hyperlink xmlns:r="http://schemas.openxmlformats.org/officeDocument/2006/relationships" ref="V270" r:id="rId804"/>
    <hyperlink xmlns:r="http://schemas.openxmlformats.org/officeDocument/2006/relationships" ref="W270" r:id="rId805"/>
    <hyperlink xmlns:r="http://schemas.openxmlformats.org/officeDocument/2006/relationships" ref="C271" r:id="rId806"/>
    <hyperlink xmlns:r="http://schemas.openxmlformats.org/officeDocument/2006/relationships" ref="V271" r:id="rId807"/>
    <hyperlink xmlns:r="http://schemas.openxmlformats.org/officeDocument/2006/relationships" ref="W271" r:id="rId808"/>
    <hyperlink xmlns:r="http://schemas.openxmlformats.org/officeDocument/2006/relationships" ref="C272" r:id="rId809"/>
    <hyperlink xmlns:r="http://schemas.openxmlformats.org/officeDocument/2006/relationships" ref="V272" r:id="rId810"/>
    <hyperlink xmlns:r="http://schemas.openxmlformats.org/officeDocument/2006/relationships" ref="W272" r:id="rId811"/>
    <hyperlink xmlns:r="http://schemas.openxmlformats.org/officeDocument/2006/relationships" ref="C273" r:id="rId812"/>
    <hyperlink xmlns:r="http://schemas.openxmlformats.org/officeDocument/2006/relationships" ref="V273" r:id="rId813"/>
    <hyperlink xmlns:r="http://schemas.openxmlformats.org/officeDocument/2006/relationships" ref="W273" r:id="rId814"/>
    <hyperlink xmlns:r="http://schemas.openxmlformats.org/officeDocument/2006/relationships" ref="C274" r:id="rId815"/>
    <hyperlink xmlns:r="http://schemas.openxmlformats.org/officeDocument/2006/relationships" ref="V274" r:id="rId816"/>
    <hyperlink xmlns:r="http://schemas.openxmlformats.org/officeDocument/2006/relationships" ref="W274" r:id="rId817"/>
    <hyperlink xmlns:r="http://schemas.openxmlformats.org/officeDocument/2006/relationships" ref="C275" r:id="rId818"/>
    <hyperlink xmlns:r="http://schemas.openxmlformats.org/officeDocument/2006/relationships" ref="V275" r:id="rId819"/>
    <hyperlink xmlns:r="http://schemas.openxmlformats.org/officeDocument/2006/relationships" ref="W275" r:id="rId820"/>
    <hyperlink xmlns:r="http://schemas.openxmlformats.org/officeDocument/2006/relationships" ref="C276" r:id="rId821"/>
    <hyperlink xmlns:r="http://schemas.openxmlformats.org/officeDocument/2006/relationships" ref="V276" r:id="rId822"/>
    <hyperlink xmlns:r="http://schemas.openxmlformats.org/officeDocument/2006/relationships" ref="W276" r:id="rId823"/>
    <hyperlink xmlns:r="http://schemas.openxmlformats.org/officeDocument/2006/relationships" ref="C277" r:id="rId824"/>
    <hyperlink xmlns:r="http://schemas.openxmlformats.org/officeDocument/2006/relationships" ref="V277" r:id="rId825"/>
    <hyperlink xmlns:r="http://schemas.openxmlformats.org/officeDocument/2006/relationships" ref="W277" r:id="rId826"/>
    <hyperlink xmlns:r="http://schemas.openxmlformats.org/officeDocument/2006/relationships" ref="C278" r:id="rId827"/>
    <hyperlink xmlns:r="http://schemas.openxmlformats.org/officeDocument/2006/relationships" ref="V278" r:id="rId828"/>
    <hyperlink xmlns:r="http://schemas.openxmlformats.org/officeDocument/2006/relationships" ref="W278" r:id="rId829"/>
  </hyperlinks>
  <pageMargins left="0.75" right="0.75" top="1" bottom="1" header="0.5" footer="0.5"/>
  <tableParts count="1">
    <tablePart xmlns:r="http://schemas.openxmlformats.org/officeDocument/2006/relationships" r:id="rId830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44" customWidth="1" min="3" max="3"/>
    <col width="10" customWidth="1" min="4" max="4"/>
    <col width="30" customWidth="1" min="5" max="5"/>
    <col width="30" customWidth="1" min="6" max="6"/>
    <col width="22" customWidth="1" min="7" max="7"/>
    <col width="40" customWidth="1" min="8" max="8"/>
    <col width="11" customWidth="1" min="9" max="9"/>
    <col width="17" customWidth="1" min="10" max="10"/>
    <col width="17" customWidth="1" min="11" max="11"/>
    <col width="17" customWidth="1" min="12" max="12"/>
    <col width="12" customWidth="1" min="13" max="13"/>
    <col width="10" customWidth="1" min="14" max="14"/>
    <col width="12" customWidth="1" min="15" max="15"/>
    <col width="11" customWidth="1" min="16" max="16"/>
    <col width="12" customWidth="1" min="17" max="17"/>
    <col width="10" customWidth="1" min="18" max="18"/>
    <col width="12" customWidth="1" min="19" max="19"/>
    <col width="16" customWidth="1" min="20" max="20"/>
    <col width="12" customWidth="1" min="21" max="21"/>
    <col width="18" customWidth="1" min="22" max="22"/>
    <col width="16" customWidth="1" min="23" max="23"/>
    <col width="13" customWidth="1" min="24" max="24"/>
    <col hidden="1" width="10" customWidth="1" min="25" max="25"/>
    <col width="12" customWidth="1" min="26" max="26"/>
  </cols>
  <sheetData>
    <row r="1" ht="32" customHeight="1">
      <c r="A1" s="8" t="inlineStr">
        <is>
          <t>#</t>
        </is>
      </c>
      <c r="B1" s="8" t="inlineStr">
        <is>
          <t>LC #</t>
        </is>
      </c>
      <c r="C1" s="8" t="inlineStr">
        <is>
          <t>Problem</t>
        </is>
      </c>
      <c r="D1" s="8" t="inlineStr">
        <is>
          <t>Difficulty</t>
        </is>
      </c>
      <c r="E1" s="8" t="inlineStr">
        <is>
          <t>Pattern</t>
        </is>
      </c>
      <c r="F1" s="8" t="inlineStr">
        <is>
          <t>Sub-pattern</t>
        </is>
      </c>
      <c r="G1" s="8" t="inlineStr">
        <is>
          <t>Topic group</t>
        </is>
      </c>
      <c r="H1" s="8" t="inlineStr">
        <is>
          <t>LeetCode tags</t>
        </is>
      </c>
      <c r="I1" s="8" t="inlineStr">
        <is>
          <t>LC status</t>
        </is>
      </c>
      <c r="J1" s="8" t="inlineStr">
        <is>
          <t>First attempt</t>
        </is>
      </c>
      <c r="K1" s="8" t="inlineStr">
        <is>
          <t>First accepted</t>
        </is>
      </c>
      <c r="L1" s="8" t="inlineStr">
        <is>
          <t>Last submission</t>
        </is>
      </c>
      <c r="M1" s="8" t="inlineStr">
        <is>
          <t>Submissions</t>
        </is>
      </c>
      <c r="N1" s="8" t="inlineStr">
        <is>
          <t>Accepted</t>
        </is>
      </c>
      <c r="O1" s="8" t="inlineStr">
        <is>
          <t>Failed before first AC</t>
        </is>
      </c>
      <c r="P1" s="8" t="inlineStr">
        <is>
          <t>First-try AC?</t>
        </is>
      </c>
      <c r="Q1" s="8" t="inlineStr">
        <is>
          <t>Wrong Answer (before AC)</t>
        </is>
      </c>
      <c r="R1" s="8" t="inlineStr">
        <is>
          <t>TLE (before AC)</t>
        </is>
      </c>
      <c r="S1" s="8" t="inlineStr">
        <is>
          <t>Other errors (before AC)</t>
        </is>
      </c>
      <c r="T1" s="8" t="inlineStr">
        <is>
          <t>Languages</t>
        </is>
      </c>
      <c r="U1" s="8" t="inlineStr">
        <is>
          <t>Best runtime beats %</t>
        </is>
      </c>
      <c r="V1" s="8" t="inlineStr">
        <is>
          <t>Latest accepted submission</t>
        </is>
      </c>
      <c r="W1" s="8" t="inlineStr">
        <is>
          <t>Code &amp; attempts file</t>
        </is>
      </c>
      <c r="X1" s="8" t="inlineStr">
        <is>
          <t>Pre-Mar-2023 subs (excluded)</t>
        </is>
      </c>
      <c r="Y1" s="8" t="inlineStr">
        <is>
          <t>First AC month</t>
        </is>
      </c>
      <c r="Z1" s="8" t="inlineStr">
        <is>
          <t>Mine? (Y/N)</t>
        </is>
      </c>
    </row>
    <row r="2">
      <c r="A2" s="4" t="n">
        <v>1</v>
      </c>
      <c r="B2" s="4" t="n">
        <v>1480</v>
      </c>
      <c r="C2" s="9" t="inlineStr">
        <is>
          <t>Running Sum of 1d Array</t>
        </is>
      </c>
      <c r="D2" s="10" t="inlineStr">
        <is>
          <t>Easy</t>
        </is>
      </c>
      <c r="E2" s="4" t="inlineStr">
        <is>
          <t>Prefix Sum &amp; Difference Array</t>
        </is>
      </c>
      <c r="F2" s="4" t="inlineStr">
        <is>
          <t>Running sum</t>
        </is>
      </c>
      <c r="G2" s="4" t="inlineStr">
        <is>
          <t>Arrays &amp; Strings</t>
        </is>
      </c>
      <c r="H2" s="4" t="inlineStr">
        <is>
          <t>array, prefix-sum</t>
        </is>
      </c>
      <c r="I2" s="4" t="inlineStr">
        <is>
          <t>Ac</t>
        </is>
      </c>
      <c r="J2" s="11" t="n">
        <v>44991.87877314815</v>
      </c>
      <c r="K2" s="11" t="n">
        <v>44991.87877314815</v>
      </c>
      <c r="L2" s="11" t="n">
        <v>44991.87877314815</v>
      </c>
      <c r="M2" s="4" t="n">
        <v>1</v>
      </c>
      <c r="N2" s="4" t="n">
        <v>1</v>
      </c>
      <c r="O2" s="4" t="n">
        <v>0</v>
      </c>
      <c r="P2" s="4">
        <f>IF(AND(N2&gt;0,O2=0),"Yes","No")</f>
        <v/>
      </c>
      <c r="Q2" s="4" t="n">
        <v>0</v>
      </c>
      <c r="R2" s="4" t="n">
        <v>0</v>
      </c>
      <c r="S2" s="4" t="n">
        <v>0</v>
      </c>
      <c r="T2" s="4" t="inlineStr">
        <is>
          <t>C++</t>
        </is>
      </c>
      <c r="U2" s="4" t="n">
        <v>100</v>
      </c>
      <c r="V2" s="9" t="inlineStr">
        <is>
          <t>Submission 910238803</t>
        </is>
      </c>
      <c r="W2" s="9" t="inlineStr">
        <is>
          <t>Open code</t>
        </is>
      </c>
      <c r="X2" s="4" t="n">
        <v>0</v>
      </c>
      <c r="Y2" s="4" t="inlineStr">
        <is>
          <t>2023-03</t>
        </is>
      </c>
      <c r="Z2" s="14" t="n"/>
    </row>
    <row r="3">
      <c r="A3" s="4" t="n">
        <v>2</v>
      </c>
      <c r="B3" s="4" t="n">
        <v>724</v>
      </c>
      <c r="C3" s="9" t="inlineStr">
        <is>
          <t>Find Pivot Index</t>
        </is>
      </c>
      <c r="D3" s="10" t="inlineStr">
        <is>
          <t>Easy</t>
        </is>
      </c>
      <c r="E3" s="4" t="inlineStr">
        <is>
          <t>Prefix Sum &amp; Difference Array</t>
        </is>
      </c>
      <c r="F3" s="4" t="inlineStr">
        <is>
          <t>Prefix sum</t>
        </is>
      </c>
      <c r="G3" s="4" t="inlineStr">
        <is>
          <t>Arrays &amp; Strings</t>
        </is>
      </c>
      <c r="H3" s="4" t="inlineStr">
        <is>
          <t>array, prefix-sum</t>
        </is>
      </c>
      <c r="I3" s="4" t="inlineStr">
        <is>
          <t>Ac</t>
        </is>
      </c>
      <c r="J3" s="11" t="n">
        <v>44991.88550925926</v>
      </c>
      <c r="K3" s="11" t="n">
        <v>44991.88550925926</v>
      </c>
      <c r="L3" s="11" t="n">
        <v>45170.96825231481</v>
      </c>
      <c r="M3" s="4" t="n">
        <v>2</v>
      </c>
      <c r="N3" s="4" t="n">
        <v>2</v>
      </c>
      <c r="O3" s="4" t="n">
        <v>0</v>
      </c>
      <c r="P3" s="4">
        <f>IF(AND(N3&gt;0,O3=0),"Yes","No")</f>
        <v/>
      </c>
      <c r="Q3" s="4" t="n">
        <v>0</v>
      </c>
      <c r="R3" s="4" t="n">
        <v>0</v>
      </c>
      <c r="S3" s="4" t="n">
        <v>0</v>
      </c>
      <c r="T3" s="4" t="inlineStr">
        <is>
          <t>C++</t>
        </is>
      </c>
      <c r="U3" s="4" t="n">
        <v>9.4</v>
      </c>
      <c r="V3" s="9" t="inlineStr">
        <is>
          <t>Submission 1037856937</t>
        </is>
      </c>
      <c r="W3" s="9" t="inlineStr">
        <is>
          <t>Open code</t>
        </is>
      </c>
      <c r="X3" s="4" t="n">
        <v>0</v>
      </c>
      <c r="Y3" s="4" t="inlineStr">
        <is>
          <t>2023-03</t>
        </is>
      </c>
      <c r="Z3" s="14" t="n"/>
    </row>
    <row r="4">
      <c r="A4" s="4" t="n">
        <v>3</v>
      </c>
      <c r="B4" s="4" t="n">
        <v>314</v>
      </c>
      <c r="C4" s="9" t="inlineStr">
        <is>
          <t>Binary Tree Vertical Order Traversal</t>
        </is>
      </c>
      <c r="D4" s="12" t="inlineStr">
        <is>
          <t>Medium</t>
        </is>
      </c>
      <c r="E4" s="4" t="inlineStr">
        <is>
          <t>Binary Tree (BFS / Level Order)</t>
        </is>
      </c>
      <c r="F4" s="4" t="inlineStr">
        <is>
          <t>Column BFS</t>
        </is>
      </c>
      <c r="G4" s="4" t="inlineStr">
        <is>
          <t>Trees</t>
        </is>
      </c>
      <c r="H4" s="4" t="inlineStr">
        <is>
          <t>hash-table, tree, depth-first-search, breadth-first-search, sorting, binary-tree</t>
        </is>
      </c>
      <c r="I4" s="4" t="inlineStr">
        <is>
          <t>Ac</t>
        </is>
      </c>
      <c r="J4" s="11" t="n">
        <v>45119.93109953704</v>
      </c>
      <c r="K4" s="11" t="n">
        <v>45119.93134259259</v>
      </c>
      <c r="L4" s="11" t="n">
        <v>45264.39542824074</v>
      </c>
      <c r="M4" s="4" t="n">
        <v>4</v>
      </c>
      <c r="N4" s="4" t="n">
        <v>2</v>
      </c>
      <c r="O4" s="4" t="n">
        <v>1</v>
      </c>
      <c r="P4" s="4">
        <f>IF(AND(N4&gt;0,O4=0),"Yes","No")</f>
        <v/>
      </c>
      <c r="Q4" s="4" t="n">
        <v>1</v>
      </c>
      <c r="R4" s="4" t="n">
        <v>0</v>
      </c>
      <c r="S4" s="4" t="n">
        <v>0</v>
      </c>
      <c r="T4" s="4" t="inlineStr">
        <is>
          <t>Python3</t>
        </is>
      </c>
      <c r="U4" s="4" t="n">
        <v>0.1</v>
      </c>
      <c r="V4" s="9" t="inlineStr">
        <is>
          <t>Submission 1111892126</t>
        </is>
      </c>
      <c r="W4" s="9" t="inlineStr">
        <is>
          <t>Open code</t>
        </is>
      </c>
      <c r="X4" s="4" t="n">
        <v>0</v>
      </c>
      <c r="Y4" s="4" t="inlineStr">
        <is>
          <t>2023-07</t>
        </is>
      </c>
      <c r="Z4" s="14" t="n"/>
    </row>
    <row r="5">
      <c r="A5" s="4" t="n">
        <v>4</v>
      </c>
      <c r="B5" s="4" t="n">
        <v>1768</v>
      </c>
      <c r="C5" s="9" t="inlineStr">
        <is>
          <t>Merge Strings Alternately</t>
        </is>
      </c>
      <c r="D5" s="10" t="inlineStr">
        <is>
          <t>Easy</t>
        </is>
      </c>
      <c r="E5" s="4" t="inlineStr">
        <is>
          <t>Two Pointers</t>
        </is>
      </c>
      <c r="F5" s="4" t="inlineStr">
        <is>
          <t>Interleave</t>
        </is>
      </c>
      <c r="G5" s="4" t="inlineStr">
        <is>
          <t>Arrays &amp; Strings</t>
        </is>
      </c>
      <c r="H5" s="4" t="inlineStr">
        <is>
          <t>two-pointers, string</t>
        </is>
      </c>
      <c r="I5" s="4" t="inlineStr"/>
      <c r="J5" s="11" t="n">
        <v>45155.99502314815</v>
      </c>
      <c r="K5" s="11" t="n">
        <v>45155.99502314815</v>
      </c>
      <c r="L5" s="11" t="n">
        <v>45155.99502314815</v>
      </c>
      <c r="M5" s="4" t="n">
        <v>1</v>
      </c>
      <c r="N5" s="4" t="n">
        <v>1</v>
      </c>
      <c r="O5" s="4" t="n">
        <v>0</v>
      </c>
      <c r="P5" s="4">
        <f>IF(AND(N5&gt;0,O5=0),"Yes","No")</f>
        <v/>
      </c>
      <c r="Q5" s="4" t="n">
        <v>0</v>
      </c>
      <c r="R5" s="4" t="n">
        <v>0</v>
      </c>
      <c r="S5" s="4" t="n">
        <v>0</v>
      </c>
      <c r="T5" s="4" t="inlineStr">
        <is>
          <t>C++</t>
        </is>
      </c>
      <c r="U5" s="4" t="n">
        <v>30.1</v>
      </c>
      <c r="V5" s="9" t="inlineStr">
        <is>
          <t>Submission 1024218483</t>
        </is>
      </c>
      <c r="W5" s="9" t="inlineStr">
        <is>
          <t>Open code</t>
        </is>
      </c>
      <c r="X5" s="4" t="n">
        <v>0</v>
      </c>
      <c r="Y5" s="4" t="inlineStr">
        <is>
          <t>2023-08</t>
        </is>
      </c>
      <c r="Z5" s="14" t="n"/>
    </row>
    <row r="6">
      <c r="A6" s="4" t="n">
        <v>5</v>
      </c>
      <c r="B6" s="4" t="n">
        <v>1071</v>
      </c>
      <c r="C6" s="9" t="inlineStr">
        <is>
          <t>Greatest Common Divisor of Strings</t>
        </is>
      </c>
      <c r="D6" s="10" t="inlineStr">
        <is>
          <t>Easy</t>
        </is>
      </c>
      <c r="E6" s="4" t="inlineStr">
        <is>
          <t>Math &amp; Bit Manipulation</t>
        </is>
      </c>
      <c r="F6" s="4" t="inlineStr">
        <is>
          <t>GCD</t>
        </is>
      </c>
      <c r="G6" s="4" t="inlineStr">
        <is>
          <t>Arrays &amp; Strings</t>
        </is>
      </c>
      <c r="H6" s="4" t="inlineStr">
        <is>
          <t>math, string, euclidean-algorithm, greatest-common-divisor</t>
        </is>
      </c>
      <c r="I6" s="4" t="inlineStr"/>
      <c r="J6" s="11" t="n">
        <v>45156.03224537037</v>
      </c>
      <c r="K6" s="11" t="n">
        <v>45156.0325</v>
      </c>
      <c r="L6" s="11" t="n">
        <v>45156.0325</v>
      </c>
      <c r="M6" s="4" t="n">
        <v>2</v>
      </c>
      <c r="N6" s="4" t="n">
        <v>1</v>
      </c>
      <c r="O6" s="4" t="n">
        <v>1</v>
      </c>
      <c r="P6" s="4">
        <f>IF(AND(N6&gt;0,O6=0),"Yes","No")</f>
        <v/>
      </c>
      <c r="Q6" s="4" t="n">
        <v>1</v>
      </c>
      <c r="R6" s="4" t="n">
        <v>0</v>
      </c>
      <c r="S6" s="4" t="n">
        <v>0</v>
      </c>
      <c r="T6" s="4" t="inlineStr">
        <is>
          <t>C++</t>
        </is>
      </c>
      <c r="U6" s="4" t="n">
        <v>5.1</v>
      </c>
      <c r="V6" s="9" t="inlineStr">
        <is>
          <t>Submission 1024263824</t>
        </is>
      </c>
      <c r="W6" s="9" t="inlineStr">
        <is>
          <t>Open code</t>
        </is>
      </c>
      <c r="X6" s="4" t="n">
        <v>0</v>
      </c>
      <c r="Y6" s="4" t="inlineStr">
        <is>
          <t>2023-08</t>
        </is>
      </c>
      <c r="Z6" s="14" t="n"/>
    </row>
    <row r="7">
      <c r="A7" s="4" t="n">
        <v>6</v>
      </c>
      <c r="B7" s="4" t="n">
        <v>1431</v>
      </c>
      <c r="C7" s="9" t="inlineStr">
        <is>
          <t>Kids With the Greatest Number of Candies</t>
        </is>
      </c>
      <c r="D7" s="10" t="inlineStr">
        <is>
          <t>Easy</t>
        </is>
      </c>
      <c r="E7" s="4" t="inlineStr">
        <is>
          <t>Arrays, Hashing &amp; Sorting</t>
        </is>
      </c>
      <c r="F7" s="4" t="inlineStr">
        <is>
          <t>Max scan</t>
        </is>
      </c>
      <c r="G7" s="4" t="inlineStr">
        <is>
          <t>Arrays &amp; Strings</t>
        </is>
      </c>
      <c r="H7" s="4" t="inlineStr">
        <is>
          <t>array</t>
        </is>
      </c>
      <c r="I7" s="4" t="inlineStr"/>
      <c r="J7" s="11" t="n">
        <v>45156.91476851852</v>
      </c>
      <c r="K7" s="11" t="n">
        <v>45156.91476851852</v>
      </c>
      <c r="L7" s="11" t="n">
        <v>45156.91476851852</v>
      </c>
      <c r="M7" s="4" t="n">
        <v>1</v>
      </c>
      <c r="N7" s="4" t="n">
        <v>1</v>
      </c>
      <c r="O7" s="4" t="n">
        <v>0</v>
      </c>
      <c r="P7" s="4">
        <f>IF(AND(N7&gt;0,O7=0),"Yes","No")</f>
        <v/>
      </c>
      <c r="Q7" s="4" t="n">
        <v>0</v>
      </c>
      <c r="R7" s="4" t="n">
        <v>0</v>
      </c>
      <c r="S7" s="4" t="n">
        <v>0</v>
      </c>
      <c r="T7" s="4" t="inlineStr">
        <is>
          <t>C++</t>
        </is>
      </c>
      <c r="U7" s="4" t="n">
        <v>100</v>
      </c>
      <c r="V7" s="9" t="inlineStr">
        <is>
          <t>Submission 1025007443</t>
        </is>
      </c>
      <c r="W7" s="9" t="inlineStr">
        <is>
          <t>Open code</t>
        </is>
      </c>
      <c r="X7" s="4" t="n">
        <v>0</v>
      </c>
      <c r="Y7" s="4" t="inlineStr">
        <is>
          <t>2023-08</t>
        </is>
      </c>
      <c r="Z7" s="14" t="n"/>
    </row>
    <row r="8">
      <c r="A8" s="4" t="n">
        <v>7</v>
      </c>
      <c r="B8" s="4" t="n">
        <v>605</v>
      </c>
      <c r="C8" s="9" t="inlineStr">
        <is>
          <t>Can Place Flowers</t>
        </is>
      </c>
      <c r="D8" s="10" t="inlineStr">
        <is>
          <t>Easy</t>
        </is>
      </c>
      <c r="E8" s="4" t="inlineStr">
        <is>
          <t>Greedy</t>
        </is>
      </c>
      <c r="F8" s="4" t="inlineStr">
        <is>
          <t>Greedy placement</t>
        </is>
      </c>
      <c r="G8" s="4" t="inlineStr">
        <is>
          <t>Greedy</t>
        </is>
      </c>
      <c r="H8" s="4" t="inlineStr">
        <is>
          <t>array, greedy</t>
        </is>
      </c>
      <c r="I8" s="4" t="inlineStr"/>
      <c r="J8" s="11" t="n">
        <v>45156.95197916667</v>
      </c>
      <c r="K8" s="11" t="n">
        <v>45156.99431712963</v>
      </c>
      <c r="L8" s="11" t="n">
        <v>45156.99431712963</v>
      </c>
      <c r="M8" s="4" t="n">
        <v>3</v>
      </c>
      <c r="N8" s="4" t="n">
        <v>1</v>
      </c>
      <c r="O8" s="4" t="n">
        <v>2</v>
      </c>
      <c r="P8" s="4">
        <f>IF(AND(N8&gt;0,O8=0),"Yes","No")</f>
        <v/>
      </c>
      <c r="Q8" s="4" t="n">
        <v>1</v>
      </c>
      <c r="R8" s="4" t="n">
        <v>1</v>
      </c>
      <c r="S8" s="4" t="n">
        <v>0</v>
      </c>
      <c r="T8" s="4" t="inlineStr">
        <is>
          <t>C++</t>
        </is>
      </c>
      <c r="U8" s="4" t="n">
        <v>2.9</v>
      </c>
      <c r="V8" s="9" t="inlineStr">
        <is>
          <t>Submission 1025106754</t>
        </is>
      </c>
      <c r="W8" s="9" t="inlineStr">
        <is>
          <t>Open code</t>
        </is>
      </c>
      <c r="X8" s="4" t="n">
        <v>0</v>
      </c>
      <c r="Y8" s="4" t="inlineStr">
        <is>
          <t>2023-08</t>
        </is>
      </c>
      <c r="Z8" s="14" t="n"/>
    </row>
    <row r="9">
      <c r="A9" s="4" t="n">
        <v>8</v>
      </c>
      <c r="B9" s="4" t="n">
        <v>345</v>
      </c>
      <c r="C9" s="9" t="inlineStr">
        <is>
          <t>Reverse Vowels of a String</t>
        </is>
      </c>
      <c r="D9" s="10" t="inlineStr">
        <is>
          <t>Easy</t>
        </is>
      </c>
      <c r="E9" s="4" t="inlineStr">
        <is>
          <t>Two Pointers</t>
        </is>
      </c>
      <c r="F9" s="4" t="inlineStr">
        <is>
          <t>Opposite ends</t>
        </is>
      </c>
      <c r="G9" s="4" t="inlineStr">
        <is>
          <t>Arrays &amp; Strings</t>
        </is>
      </c>
      <c r="H9" s="4" t="inlineStr">
        <is>
          <t>two-pointers, string</t>
        </is>
      </c>
      <c r="I9" s="4" t="inlineStr"/>
      <c r="J9" s="11" t="n">
        <v>45157.01020833333</v>
      </c>
      <c r="K9" s="11" t="n">
        <v>45157.01108796296</v>
      </c>
      <c r="L9" s="11" t="n">
        <v>45157.01108796296</v>
      </c>
      <c r="M9" s="4" t="n">
        <v>2</v>
      </c>
      <c r="N9" s="4" t="n">
        <v>1</v>
      </c>
      <c r="O9" s="4" t="n">
        <v>1</v>
      </c>
      <c r="P9" s="4">
        <f>IF(AND(N9&gt;0,O9=0),"Yes","No")</f>
        <v/>
      </c>
      <c r="Q9" s="4" t="n">
        <v>1</v>
      </c>
      <c r="R9" s="4" t="n">
        <v>0</v>
      </c>
      <c r="S9" s="4" t="n">
        <v>0</v>
      </c>
      <c r="T9" s="4" t="inlineStr">
        <is>
          <t>C++</t>
        </is>
      </c>
      <c r="U9" s="4" t="n">
        <v>32.3</v>
      </c>
      <c r="V9" s="9" t="inlineStr">
        <is>
          <t>Submission 1025126413</t>
        </is>
      </c>
      <c r="W9" s="9" t="inlineStr">
        <is>
          <t>Open code</t>
        </is>
      </c>
      <c r="X9" s="4" t="n">
        <v>0</v>
      </c>
      <c r="Y9" s="4" t="inlineStr">
        <is>
          <t>2023-08</t>
        </is>
      </c>
      <c r="Z9" s="14" t="n"/>
    </row>
    <row r="10">
      <c r="A10" s="4" t="n">
        <v>9</v>
      </c>
      <c r="B10" s="4" t="n">
        <v>151</v>
      </c>
      <c r="C10" s="9" t="inlineStr">
        <is>
          <t>Reverse Words in a String</t>
        </is>
      </c>
      <c r="D10" s="12" t="inlineStr">
        <is>
          <t>Medium</t>
        </is>
      </c>
      <c r="E10" s="4" t="inlineStr">
        <is>
          <t>Two Pointers</t>
        </is>
      </c>
      <c r="F10" s="4" t="inlineStr">
        <is>
          <t>Reverse words</t>
        </is>
      </c>
      <c r="G10" s="4" t="inlineStr">
        <is>
          <t>Arrays &amp; Strings</t>
        </is>
      </c>
      <c r="H10" s="4" t="inlineStr">
        <is>
          <t>two-pointers, string</t>
        </is>
      </c>
      <c r="I10" s="4" t="inlineStr"/>
      <c r="J10" s="11" t="n">
        <v>45161.81515046296</v>
      </c>
      <c r="K10" s="11" t="n">
        <v>45161.81515046296</v>
      </c>
      <c r="L10" s="11" t="n">
        <v>45161.81515046296</v>
      </c>
      <c r="M10" s="4" t="n">
        <v>1</v>
      </c>
      <c r="N10" s="4" t="n">
        <v>1</v>
      </c>
      <c r="O10" s="4" t="n">
        <v>0</v>
      </c>
      <c r="P10" s="4">
        <f>IF(AND(N10&gt;0,O10=0),"Yes","No")</f>
        <v/>
      </c>
      <c r="Q10" s="4" t="n">
        <v>0</v>
      </c>
      <c r="R10" s="4" t="n">
        <v>0</v>
      </c>
      <c r="S10" s="4" t="n">
        <v>0</v>
      </c>
      <c r="T10" s="4" t="inlineStr">
        <is>
          <t>C++</t>
        </is>
      </c>
      <c r="U10" s="4" t="n">
        <v>13.4</v>
      </c>
      <c r="V10" s="9" t="inlineStr">
        <is>
          <t>Submission 1029596542</t>
        </is>
      </c>
      <c r="W10" s="9" t="inlineStr">
        <is>
          <t>Open code</t>
        </is>
      </c>
      <c r="X10" s="4" t="n">
        <v>0</v>
      </c>
      <c r="Y10" s="4" t="inlineStr">
        <is>
          <t>2023-08</t>
        </is>
      </c>
      <c r="Z10" s="14" t="n"/>
    </row>
    <row r="11">
      <c r="A11" s="4" t="n">
        <v>10</v>
      </c>
      <c r="B11" s="4" t="n">
        <v>238</v>
      </c>
      <c r="C11" s="9" t="inlineStr">
        <is>
          <t>Product of Array Except Self</t>
        </is>
      </c>
      <c r="D11" s="12" t="inlineStr">
        <is>
          <t>Medium</t>
        </is>
      </c>
      <c r="E11" s="4" t="inlineStr">
        <is>
          <t>Prefix Sum &amp; Difference Array</t>
        </is>
      </c>
      <c r="F11" s="4" t="inlineStr">
        <is>
          <t>Prefix/suffix product</t>
        </is>
      </c>
      <c r="G11" s="4" t="inlineStr">
        <is>
          <t>Arrays &amp; Strings</t>
        </is>
      </c>
      <c r="H11" s="4" t="inlineStr">
        <is>
          <t>array, prefix-sum</t>
        </is>
      </c>
      <c r="I11" s="4" t="inlineStr">
        <is>
          <t>Ac</t>
        </is>
      </c>
      <c r="J11" s="11" t="n">
        <v>45161.83085648148</v>
      </c>
      <c r="K11" s="11" t="n">
        <v>45161.83085648148</v>
      </c>
      <c r="L11" s="11" t="n">
        <v>45161.83539351852</v>
      </c>
      <c r="M11" s="4" t="n">
        <v>2</v>
      </c>
      <c r="N11" s="4" t="n">
        <v>2</v>
      </c>
      <c r="O11" s="4" t="n">
        <v>0</v>
      </c>
      <c r="P11" s="4">
        <f>IF(AND(N11&gt;0,O11=0),"Yes","No")</f>
        <v/>
      </c>
      <c r="Q11" s="4" t="n">
        <v>0</v>
      </c>
      <c r="R11" s="4" t="n">
        <v>0</v>
      </c>
      <c r="S11" s="4" t="n">
        <v>0</v>
      </c>
      <c r="T11" s="4" t="inlineStr">
        <is>
          <t>C++</t>
        </is>
      </c>
      <c r="U11" s="4" t="n">
        <v>6.2</v>
      </c>
      <c r="V11" s="9" t="inlineStr">
        <is>
          <t>Submission 1029620534</t>
        </is>
      </c>
      <c r="W11" s="9" t="inlineStr">
        <is>
          <t>Open code</t>
        </is>
      </c>
      <c r="X11" s="4" t="n">
        <v>0</v>
      </c>
      <c r="Y11" s="4" t="inlineStr">
        <is>
          <t>2023-08</t>
        </is>
      </c>
      <c r="Z11" s="14" t="n"/>
    </row>
    <row r="12">
      <c r="A12" s="4" t="n">
        <v>11</v>
      </c>
      <c r="B12" s="4" t="n">
        <v>334</v>
      </c>
      <c r="C12" s="9" t="inlineStr">
        <is>
          <t>Increasing Triplet Subsequence</t>
        </is>
      </c>
      <c r="D12" s="12" t="inlineStr">
        <is>
          <t>Medium</t>
        </is>
      </c>
      <c r="E12" s="4" t="inlineStr">
        <is>
          <t>Greedy</t>
        </is>
      </c>
      <c r="F12" s="4" t="inlineStr">
        <is>
          <t>Two running minimums</t>
        </is>
      </c>
      <c r="G12" s="4" t="inlineStr">
        <is>
          <t>Greedy</t>
        </is>
      </c>
      <c r="H12" s="4" t="inlineStr">
        <is>
          <t>array, greedy, longest-increasing-subsequence</t>
        </is>
      </c>
      <c r="I12" s="4" t="inlineStr"/>
      <c r="J12" s="11" t="n">
        <v>45161.85219907408</v>
      </c>
      <c r="K12" s="11" t="n">
        <v>45161.85457175926</v>
      </c>
      <c r="L12" s="11" t="n">
        <v>45161.86216435185</v>
      </c>
      <c r="M12" s="4" t="n">
        <v>4</v>
      </c>
      <c r="N12" s="4" t="n">
        <v>2</v>
      </c>
      <c r="O12" s="4" t="n">
        <v>1</v>
      </c>
      <c r="P12" s="4">
        <f>IF(AND(N12&gt;0,O12=0),"Yes","No")</f>
        <v/>
      </c>
      <c r="Q12" s="4" t="n">
        <v>1</v>
      </c>
      <c r="R12" s="4" t="n">
        <v>0</v>
      </c>
      <c r="S12" s="4" t="n">
        <v>0</v>
      </c>
      <c r="T12" s="4" t="inlineStr">
        <is>
          <t>C++</t>
        </is>
      </c>
      <c r="U12" s="4" t="n">
        <v>5</v>
      </c>
      <c r="V12" s="9" t="inlineStr">
        <is>
          <t>Submission 1029652848</t>
        </is>
      </c>
      <c r="W12" s="9" t="inlineStr">
        <is>
          <t>Open code</t>
        </is>
      </c>
      <c r="X12" s="4" t="n">
        <v>0</v>
      </c>
      <c r="Y12" s="4" t="inlineStr">
        <is>
          <t>2023-08</t>
        </is>
      </c>
      <c r="Z12" s="14" t="n"/>
    </row>
    <row r="13">
      <c r="A13" s="4" t="n">
        <v>12</v>
      </c>
      <c r="B13" s="4" t="n">
        <v>443</v>
      </c>
      <c r="C13" s="9" t="inlineStr">
        <is>
          <t>String Compression</t>
        </is>
      </c>
      <c r="D13" s="12" t="inlineStr">
        <is>
          <t>Medium</t>
        </is>
      </c>
      <c r="E13" s="4" t="inlineStr">
        <is>
          <t>Two Pointers</t>
        </is>
      </c>
      <c r="F13" s="4" t="inlineStr">
        <is>
          <t>Read/write pointers</t>
        </is>
      </c>
      <c r="G13" s="4" t="inlineStr">
        <is>
          <t>Arrays &amp; Strings</t>
        </is>
      </c>
      <c r="H13" s="4" t="inlineStr">
        <is>
          <t>two-pointers, string</t>
        </is>
      </c>
      <c r="I13" s="4" t="inlineStr"/>
      <c r="J13" s="11" t="n">
        <v>45162.00606481481</v>
      </c>
      <c r="K13" s="11" t="n">
        <v>45162.02732638889</v>
      </c>
      <c r="L13" s="11" t="n">
        <v>45162.03225694445</v>
      </c>
      <c r="M13" s="4" t="n">
        <v>7</v>
      </c>
      <c r="N13" s="4" t="n">
        <v>2</v>
      </c>
      <c r="O13" s="4" t="n">
        <v>5</v>
      </c>
      <c r="P13" s="4">
        <f>IF(AND(N13&gt;0,O13=0),"Yes","No")</f>
        <v/>
      </c>
      <c r="Q13" s="4" t="n">
        <v>5</v>
      </c>
      <c r="R13" s="4" t="n">
        <v>0</v>
      </c>
      <c r="S13" s="4" t="n">
        <v>0</v>
      </c>
      <c r="T13" s="4" t="inlineStr">
        <is>
          <t>C++</t>
        </is>
      </c>
      <c r="U13" s="4" t="n">
        <v>2.3</v>
      </c>
      <c r="V13" s="9" t="inlineStr">
        <is>
          <t>Submission 1029879136</t>
        </is>
      </c>
      <c r="W13" s="9" t="inlineStr">
        <is>
          <t>Open code</t>
        </is>
      </c>
      <c r="X13" s="4" t="n">
        <v>0</v>
      </c>
      <c r="Y13" s="4" t="inlineStr">
        <is>
          <t>2023-08</t>
        </is>
      </c>
      <c r="Z13" s="14" t="n"/>
    </row>
    <row r="14">
      <c r="A14" s="4" t="n">
        <v>13</v>
      </c>
      <c r="B14" s="4" t="n">
        <v>283</v>
      </c>
      <c r="C14" s="9" t="inlineStr">
        <is>
          <t>Move Zeroes</t>
        </is>
      </c>
      <c r="D14" s="10" t="inlineStr">
        <is>
          <t>Easy</t>
        </is>
      </c>
      <c r="E14" s="4" t="inlineStr">
        <is>
          <t>Two Pointers</t>
        </is>
      </c>
      <c r="F14" s="4" t="inlineStr">
        <is>
          <t>Read/write pointers</t>
        </is>
      </c>
      <c r="G14" s="4" t="inlineStr">
        <is>
          <t>Arrays &amp; Strings</t>
        </is>
      </c>
      <c r="H14" s="4" t="inlineStr">
        <is>
          <t>array, two-pointers</t>
        </is>
      </c>
      <c r="I14" s="4" t="inlineStr">
        <is>
          <t>Ac</t>
        </is>
      </c>
      <c r="J14" s="11" t="n">
        <v>45162.93751157408</v>
      </c>
      <c r="K14" s="11" t="n">
        <v>45162.93751157408</v>
      </c>
      <c r="L14" s="11" t="n">
        <v>45265.10940972222</v>
      </c>
      <c r="M14" s="4" t="n">
        <v>13</v>
      </c>
      <c r="N14" s="4" t="n">
        <v>10</v>
      </c>
      <c r="O14" s="4" t="n">
        <v>0</v>
      </c>
      <c r="P14" s="4">
        <f>IF(AND(N14&gt;0,O14=0),"Yes","No")</f>
        <v/>
      </c>
      <c r="Q14" s="4" t="n">
        <v>0</v>
      </c>
      <c r="R14" s="4" t="n">
        <v>0</v>
      </c>
      <c r="S14" s="4" t="n">
        <v>0</v>
      </c>
      <c r="T14" s="4" t="inlineStr">
        <is>
          <t>C++, Python, Python3</t>
        </is>
      </c>
      <c r="U14" s="4" t="n">
        <v>10.2</v>
      </c>
      <c r="V14" s="9" t="inlineStr">
        <is>
          <t>Submission 1112443699</t>
        </is>
      </c>
      <c r="W14" s="9" t="inlineStr">
        <is>
          <t>Open code</t>
        </is>
      </c>
      <c r="X14" s="4" t="n">
        <v>0</v>
      </c>
      <c r="Y14" s="4" t="inlineStr">
        <is>
          <t>2023-08</t>
        </is>
      </c>
      <c r="Z14" s="14" t="n"/>
    </row>
    <row r="15">
      <c r="A15" s="4" t="n">
        <v>14</v>
      </c>
      <c r="B15" s="4" t="n">
        <v>392</v>
      </c>
      <c r="C15" s="9" t="inlineStr">
        <is>
          <t>Is Subsequence</t>
        </is>
      </c>
      <c r="D15" s="10" t="inlineStr">
        <is>
          <t>Easy</t>
        </is>
      </c>
      <c r="E15" s="4" t="inlineStr">
        <is>
          <t>Two Pointers</t>
        </is>
      </c>
      <c r="F15" s="4" t="inlineStr">
        <is>
          <t>Subsequence scan</t>
        </is>
      </c>
      <c r="G15" s="4" t="inlineStr">
        <is>
          <t>Arrays &amp; Strings</t>
        </is>
      </c>
      <c r="H15" s="4" t="inlineStr">
        <is>
          <t>two-pointers, string, dynamic-programming</t>
        </is>
      </c>
      <c r="I15" s="4" t="inlineStr">
        <is>
          <t>Ac</t>
        </is>
      </c>
      <c r="J15" s="11" t="n">
        <v>45162.94497685185</v>
      </c>
      <c r="K15" s="11" t="n">
        <v>45162.94555555555</v>
      </c>
      <c r="L15" s="11" t="n">
        <v>45162.94555555555</v>
      </c>
      <c r="M15" s="4" t="n">
        <v>2</v>
      </c>
      <c r="N15" s="4" t="n">
        <v>1</v>
      </c>
      <c r="O15" s="4" t="n">
        <v>1</v>
      </c>
      <c r="P15" s="4">
        <f>IF(AND(N15&gt;0,O15=0),"Yes","No")</f>
        <v/>
      </c>
      <c r="Q15" s="4" t="n">
        <v>1</v>
      </c>
      <c r="R15" s="4" t="n">
        <v>0</v>
      </c>
      <c r="S15" s="4" t="n">
        <v>0</v>
      </c>
      <c r="T15" s="4" t="inlineStr">
        <is>
          <t>C++</t>
        </is>
      </c>
      <c r="U15" s="4" t="n">
        <v>4.7</v>
      </c>
      <c r="V15" s="9" t="inlineStr">
        <is>
          <t>Submission 1030693648</t>
        </is>
      </c>
      <c r="W15" s="9" t="inlineStr">
        <is>
          <t>Open code</t>
        </is>
      </c>
      <c r="X15" s="4" t="n">
        <v>0</v>
      </c>
      <c r="Y15" s="4" t="inlineStr">
        <is>
          <t>2023-08</t>
        </is>
      </c>
      <c r="Z15" s="14" t="n"/>
    </row>
    <row r="16">
      <c r="A16" s="4" t="n">
        <v>15</v>
      </c>
      <c r="B16" s="4" t="n">
        <v>11</v>
      </c>
      <c r="C16" s="9" t="inlineStr">
        <is>
          <t>Container With Most Water</t>
        </is>
      </c>
      <c r="D16" s="12" t="inlineStr">
        <is>
          <t>Medium</t>
        </is>
      </c>
      <c r="E16" s="4" t="inlineStr">
        <is>
          <t>Two Pointers</t>
        </is>
      </c>
      <c r="F16" s="4" t="inlineStr">
        <is>
          <t>Opposite ends</t>
        </is>
      </c>
      <c r="G16" s="4" t="inlineStr">
        <is>
          <t>Arrays &amp; Strings</t>
        </is>
      </c>
      <c r="H16" s="4" t="inlineStr">
        <is>
          <t>array, two-pointers, greedy</t>
        </is>
      </c>
      <c r="I16" s="4" t="inlineStr">
        <is>
          <t>Ac</t>
        </is>
      </c>
      <c r="J16" s="11" t="n">
        <v>45162.97667824074</v>
      </c>
      <c r="K16" s="11" t="n">
        <v>45162.97667824074</v>
      </c>
      <c r="L16" s="11" t="n">
        <v>45162.97667824074</v>
      </c>
      <c r="M16" s="4" t="n">
        <v>1</v>
      </c>
      <c r="N16" s="4" t="n">
        <v>1</v>
      </c>
      <c r="O16" s="4" t="n">
        <v>0</v>
      </c>
      <c r="P16" s="4">
        <f>IF(AND(N16&gt;0,O16=0),"Yes","No")</f>
        <v/>
      </c>
      <c r="Q16" s="4" t="n">
        <v>0</v>
      </c>
      <c r="R16" s="4" t="n">
        <v>0</v>
      </c>
      <c r="S16" s="4" t="n">
        <v>0</v>
      </c>
      <c r="T16" s="4" t="inlineStr">
        <is>
          <t>C++</t>
        </is>
      </c>
      <c r="U16" s="4" t="n">
        <v>6.1</v>
      </c>
      <c r="V16" s="9" t="inlineStr">
        <is>
          <t>Submission 1030734523</t>
        </is>
      </c>
      <c r="W16" s="9" t="inlineStr">
        <is>
          <t>Open code</t>
        </is>
      </c>
      <c r="X16" s="4" t="n">
        <v>0</v>
      </c>
      <c r="Y16" s="4" t="inlineStr">
        <is>
          <t>2023-08</t>
        </is>
      </c>
      <c r="Z16" s="14" t="n"/>
    </row>
    <row r="17">
      <c r="A17" s="4" t="n">
        <v>16</v>
      </c>
      <c r="B17" s="4" t="n">
        <v>1679</v>
      </c>
      <c r="C17" s="9" t="inlineStr">
        <is>
          <t>Max Number of K-Sum Pairs</t>
        </is>
      </c>
      <c r="D17" s="12" t="inlineStr">
        <is>
          <t>Medium</t>
        </is>
      </c>
      <c r="E17" s="4" t="inlineStr">
        <is>
          <t>Two Pointers</t>
        </is>
      </c>
      <c r="F17" s="4" t="inlineStr">
        <is>
          <t>Sort + two pointers</t>
        </is>
      </c>
      <c r="G17" s="4" t="inlineStr">
        <is>
          <t>Arrays &amp; Strings</t>
        </is>
      </c>
      <c r="H17" s="4" t="inlineStr">
        <is>
          <t>array, hash-table, two-pointers, sorting</t>
        </is>
      </c>
      <c r="I17" s="4" t="inlineStr">
        <is>
          <t>Ac</t>
        </is>
      </c>
      <c r="J17" s="11" t="n">
        <v>45162.98857638889</v>
      </c>
      <c r="K17" s="11" t="n">
        <v>45162.99076388889</v>
      </c>
      <c r="L17" s="11" t="n">
        <v>45162.99076388889</v>
      </c>
      <c r="M17" s="4" t="n">
        <v>2</v>
      </c>
      <c r="N17" s="4" t="n">
        <v>1</v>
      </c>
      <c r="O17" s="4" t="n">
        <v>1</v>
      </c>
      <c r="P17" s="4">
        <f>IF(AND(N17&gt;0,O17=0),"Yes","No")</f>
        <v/>
      </c>
      <c r="Q17" s="4" t="n">
        <v>1</v>
      </c>
      <c r="R17" s="4" t="n">
        <v>0</v>
      </c>
      <c r="S17" s="4" t="n">
        <v>0</v>
      </c>
      <c r="T17" s="4" t="inlineStr">
        <is>
          <t>C++</t>
        </is>
      </c>
      <c r="U17" s="4" t="n">
        <v>5.1</v>
      </c>
      <c r="V17" s="9" t="inlineStr">
        <is>
          <t>Submission 1030753639</t>
        </is>
      </c>
      <c r="W17" s="9" t="inlineStr">
        <is>
          <t>Open code</t>
        </is>
      </c>
      <c r="X17" s="4" t="n">
        <v>0</v>
      </c>
      <c r="Y17" s="4" t="inlineStr">
        <is>
          <t>2023-08</t>
        </is>
      </c>
      <c r="Z17" s="14" t="n"/>
    </row>
    <row r="18">
      <c r="A18" s="4" t="n">
        <v>17</v>
      </c>
      <c r="B18" s="4" t="n">
        <v>643</v>
      </c>
      <c r="C18" s="9" t="inlineStr">
        <is>
          <t>Maximum Average Subarray I</t>
        </is>
      </c>
      <c r="D18" s="10" t="inlineStr">
        <is>
          <t>Easy</t>
        </is>
      </c>
      <c r="E18" s="4" t="inlineStr">
        <is>
          <t>Sliding Window</t>
        </is>
      </c>
      <c r="F18" s="4" t="inlineStr">
        <is>
          <t>Fixed window</t>
        </is>
      </c>
      <c r="G18" s="4" t="inlineStr">
        <is>
          <t>Arrays &amp; Strings</t>
        </is>
      </c>
      <c r="H18" s="4" t="inlineStr">
        <is>
          <t>array, sliding-window</t>
        </is>
      </c>
      <c r="I18" s="4" t="inlineStr">
        <is>
          <t>Ac</t>
        </is>
      </c>
      <c r="J18" s="11" t="n">
        <v>45163.00569444444</v>
      </c>
      <c r="K18" s="11" t="n">
        <v>45163.00569444444</v>
      </c>
      <c r="L18" s="11" t="n">
        <v>45248.27012731481</v>
      </c>
      <c r="M18" s="4" t="n">
        <v>2</v>
      </c>
      <c r="N18" s="4" t="n">
        <v>2</v>
      </c>
      <c r="O18" s="4" t="n">
        <v>0</v>
      </c>
      <c r="P18" s="4">
        <f>IF(AND(N18&gt;0,O18=0),"Yes","No")</f>
        <v/>
      </c>
      <c r="Q18" s="4" t="n">
        <v>0</v>
      </c>
      <c r="R18" s="4" t="n">
        <v>0</v>
      </c>
      <c r="S18" s="4" t="n">
        <v>0</v>
      </c>
      <c r="T18" s="4" t="inlineStr">
        <is>
          <t>C++, Python3</t>
        </is>
      </c>
      <c r="U18" s="4" t="n">
        <v>7.6</v>
      </c>
      <c r="V18" s="9" t="inlineStr">
        <is>
          <t>Submission 1101111135</t>
        </is>
      </c>
      <c r="W18" s="9" t="inlineStr">
        <is>
          <t>Open code</t>
        </is>
      </c>
      <c r="X18" s="4" t="n">
        <v>0</v>
      </c>
      <c r="Y18" s="4" t="inlineStr">
        <is>
          <t>2023-08</t>
        </is>
      </c>
      <c r="Z18" s="14" t="n"/>
    </row>
    <row r="19">
      <c r="A19" s="4" t="n">
        <v>18</v>
      </c>
      <c r="B19" s="4" t="n">
        <v>1456</v>
      </c>
      <c r="C19" s="9" t="inlineStr">
        <is>
          <t>Maximum Number of Vowels in a Substring of Given Length</t>
        </is>
      </c>
      <c r="D19" s="12" t="inlineStr">
        <is>
          <t>Medium</t>
        </is>
      </c>
      <c r="E19" s="4" t="inlineStr">
        <is>
          <t>Sliding Window</t>
        </is>
      </c>
      <c r="F19" s="4" t="inlineStr">
        <is>
          <t>Fixed window</t>
        </is>
      </c>
      <c r="G19" s="4" t="inlineStr">
        <is>
          <t>Arrays &amp; Strings</t>
        </is>
      </c>
      <c r="H19" s="4" t="inlineStr">
        <is>
          <t>string, sliding-window</t>
        </is>
      </c>
      <c r="I19" s="4" t="inlineStr"/>
      <c r="J19" s="11" t="n">
        <v>45163.94164351852</v>
      </c>
      <c r="K19" s="11" t="n">
        <v>45163.94164351852</v>
      </c>
      <c r="L19" s="11" t="n">
        <v>45163.94672453704</v>
      </c>
      <c r="M19" s="4" t="n">
        <v>6</v>
      </c>
      <c r="N19" s="4" t="n">
        <v>6</v>
      </c>
      <c r="O19" s="4" t="n">
        <v>0</v>
      </c>
      <c r="P19" s="4">
        <f>IF(AND(N19&gt;0,O19=0),"Yes","No")</f>
        <v/>
      </c>
      <c r="Q19" s="4" t="n">
        <v>0</v>
      </c>
      <c r="R19" s="4" t="n">
        <v>0</v>
      </c>
      <c r="S19" s="4" t="n">
        <v>0</v>
      </c>
      <c r="T19" s="4" t="inlineStr">
        <is>
          <t>C++</t>
        </is>
      </c>
      <c r="U19" s="4" t="n">
        <v>6.2</v>
      </c>
      <c r="V19" s="9" t="inlineStr">
        <is>
          <t>Submission 1031598078</t>
        </is>
      </c>
      <c r="W19" s="9" t="inlineStr">
        <is>
          <t>Open code</t>
        </is>
      </c>
      <c r="X19" s="4" t="n">
        <v>0</v>
      </c>
      <c r="Y19" s="4" t="inlineStr">
        <is>
          <t>2023-08</t>
        </is>
      </c>
      <c r="Z19" s="14" t="n"/>
    </row>
    <row r="20">
      <c r="A20" s="4" t="n">
        <v>19</v>
      </c>
      <c r="B20" s="4" t="n">
        <v>1004</v>
      </c>
      <c r="C20" s="9" t="inlineStr">
        <is>
          <t>Max Consecutive Ones III</t>
        </is>
      </c>
      <c r="D20" s="12" t="inlineStr">
        <is>
          <t>Medium</t>
        </is>
      </c>
      <c r="E20" s="4" t="inlineStr">
        <is>
          <t>Sliding Window</t>
        </is>
      </c>
      <c r="F20" s="4" t="inlineStr">
        <is>
          <t>At most k zeros</t>
        </is>
      </c>
      <c r="G20" s="4" t="inlineStr">
        <is>
          <t>Arrays &amp; Strings</t>
        </is>
      </c>
      <c r="H20" s="4" t="inlineStr">
        <is>
          <t>array, binary-search, sliding-window, prefix-sum</t>
        </is>
      </c>
      <c r="I20" s="4" t="inlineStr">
        <is>
          <t>Ac</t>
        </is>
      </c>
      <c r="J20" s="11" t="n">
        <v>45163.98332175926</v>
      </c>
      <c r="K20" s="11" t="n">
        <v>45163.98332175926</v>
      </c>
      <c r="L20" s="11" t="n">
        <v>45318.93127314815</v>
      </c>
      <c r="M20" s="4" t="n">
        <v>4</v>
      </c>
      <c r="N20" s="4" t="n">
        <v>4</v>
      </c>
      <c r="O20" s="4" t="n">
        <v>0</v>
      </c>
      <c r="P20" s="4">
        <f>IF(AND(N20&gt;0,O20=0),"Yes","No")</f>
        <v/>
      </c>
      <c r="Q20" s="4" t="n">
        <v>0</v>
      </c>
      <c r="R20" s="4" t="n">
        <v>0</v>
      </c>
      <c r="S20" s="4" t="n">
        <v>0</v>
      </c>
      <c r="T20" s="4" t="inlineStr">
        <is>
          <t>C++, Python3</t>
        </is>
      </c>
      <c r="U20" s="4" t="n">
        <v>5.8</v>
      </c>
      <c r="V20" s="9" t="inlineStr">
        <is>
          <t>Submission 1158417154</t>
        </is>
      </c>
      <c r="W20" s="9" t="inlineStr">
        <is>
          <t>Open code</t>
        </is>
      </c>
      <c r="X20" s="4" t="n">
        <v>0</v>
      </c>
      <c r="Y20" s="4" t="inlineStr">
        <is>
          <t>2023-08</t>
        </is>
      </c>
      <c r="Z20" s="14" t="n"/>
    </row>
    <row r="21">
      <c r="A21" s="4" t="n">
        <v>20</v>
      </c>
      <c r="B21" s="4" t="n">
        <v>1493</v>
      </c>
      <c r="C21" s="9" t="inlineStr">
        <is>
          <t>Longest Subarray of 1's After Deleting One Element</t>
        </is>
      </c>
      <c r="D21" s="12" t="inlineStr">
        <is>
          <t>Medium</t>
        </is>
      </c>
      <c r="E21" s="4" t="inlineStr">
        <is>
          <t>Sliding Window</t>
        </is>
      </c>
      <c r="F21" s="4" t="inlineStr">
        <is>
          <t>At most 1 zero</t>
        </is>
      </c>
      <c r="G21" s="4" t="inlineStr">
        <is>
          <t>Arrays &amp; Strings</t>
        </is>
      </c>
      <c r="H21" s="4" t="inlineStr">
        <is>
          <t>array, dynamic-programming, sliding-window</t>
        </is>
      </c>
      <c r="I21" s="4" t="inlineStr"/>
      <c r="J21" s="11" t="n">
        <v>45170.87417824074</v>
      </c>
      <c r="K21" s="11" t="n">
        <v>45170.87417824074</v>
      </c>
      <c r="L21" s="11" t="n">
        <v>45170.87417824074</v>
      </c>
      <c r="M21" s="4" t="n">
        <v>1</v>
      </c>
      <c r="N21" s="4" t="n">
        <v>1</v>
      </c>
      <c r="O21" s="4" t="n">
        <v>0</v>
      </c>
      <c r="P21" s="4">
        <f>IF(AND(N21&gt;0,O21=0),"Yes","No")</f>
        <v/>
      </c>
      <c r="Q21" s="4" t="n">
        <v>0</v>
      </c>
      <c r="R21" s="4" t="n">
        <v>0</v>
      </c>
      <c r="S21" s="4" t="n">
        <v>0</v>
      </c>
      <c r="T21" s="4" t="inlineStr">
        <is>
          <t>C++</t>
        </is>
      </c>
      <c r="U21" s="4" t="n">
        <v>6.2</v>
      </c>
      <c r="V21" s="9" t="inlineStr">
        <is>
          <t>Submission 1037751435</t>
        </is>
      </c>
      <c r="W21" s="9" t="inlineStr">
        <is>
          <t>Open code</t>
        </is>
      </c>
      <c r="X21" s="4" t="n">
        <v>0</v>
      </c>
      <c r="Y21" s="4" t="inlineStr">
        <is>
          <t>2023-09</t>
        </is>
      </c>
      <c r="Z21" s="14" t="n"/>
    </row>
    <row r="22">
      <c r="A22" s="4" t="n">
        <v>21</v>
      </c>
      <c r="B22" s="4" t="n">
        <v>1732</v>
      </c>
      <c r="C22" s="9" t="inlineStr">
        <is>
          <t>Find the Highest Altitude</t>
        </is>
      </c>
      <c r="D22" s="10" t="inlineStr">
        <is>
          <t>Easy</t>
        </is>
      </c>
      <c r="E22" s="4" t="inlineStr">
        <is>
          <t>Prefix Sum &amp; Difference Array</t>
        </is>
      </c>
      <c r="F22" s="4" t="inlineStr">
        <is>
          <t>Running sum</t>
        </is>
      </c>
      <c r="G22" s="4" t="inlineStr">
        <is>
          <t>Arrays &amp; Strings</t>
        </is>
      </c>
      <c r="H22" s="4" t="inlineStr">
        <is>
          <t>array, prefix-sum</t>
        </is>
      </c>
      <c r="I22" s="4" t="inlineStr"/>
      <c r="J22" s="11" t="n">
        <v>45170.96398148148</v>
      </c>
      <c r="K22" s="11" t="n">
        <v>45170.96398148148</v>
      </c>
      <c r="L22" s="11" t="n">
        <v>45170.96398148148</v>
      </c>
      <c r="M22" s="4" t="n">
        <v>1</v>
      </c>
      <c r="N22" s="4" t="n">
        <v>1</v>
      </c>
      <c r="O22" s="4" t="n">
        <v>0</v>
      </c>
      <c r="P22" s="4">
        <f>IF(AND(N22&gt;0,O22=0),"Yes","No")</f>
        <v/>
      </c>
      <c r="Q22" s="4" t="n">
        <v>0</v>
      </c>
      <c r="R22" s="4" t="n">
        <v>0</v>
      </c>
      <c r="S22" s="4" t="n">
        <v>0</v>
      </c>
      <c r="T22" s="4" t="inlineStr">
        <is>
          <t>C++</t>
        </is>
      </c>
      <c r="U22" s="4" t="n">
        <v>100</v>
      </c>
      <c r="V22" s="9" t="inlineStr">
        <is>
          <t>Submission 1037851819</t>
        </is>
      </c>
      <c r="W22" s="9" t="inlineStr">
        <is>
          <t>Open code</t>
        </is>
      </c>
      <c r="X22" s="4" t="n">
        <v>0</v>
      </c>
      <c r="Y22" s="4" t="inlineStr">
        <is>
          <t>2023-09</t>
        </is>
      </c>
      <c r="Z22" s="14" t="n"/>
    </row>
    <row r="23">
      <c r="A23" s="4" t="n">
        <v>22</v>
      </c>
      <c r="B23" s="4" t="n">
        <v>2215</v>
      </c>
      <c r="C23" s="9" t="inlineStr">
        <is>
          <t>Find the Difference of Two Arrays</t>
        </is>
      </c>
      <c r="D23" s="10" t="inlineStr">
        <is>
          <t>Easy</t>
        </is>
      </c>
      <c r="E23" s="4" t="inlineStr">
        <is>
          <t>Arrays, Hashing &amp; Sorting</t>
        </is>
      </c>
      <c r="F23" s="4" t="inlineStr">
        <is>
          <t>Sets</t>
        </is>
      </c>
      <c r="G23" s="4" t="inlineStr">
        <is>
          <t>Arrays &amp; Strings</t>
        </is>
      </c>
      <c r="H23" s="4" t="inlineStr">
        <is>
          <t>array, hash-table</t>
        </is>
      </c>
      <c r="I23" s="4" t="inlineStr"/>
      <c r="J23" s="11" t="n">
        <v>45177.70121527778</v>
      </c>
      <c r="K23" s="11" t="n">
        <v>45177.70121527778</v>
      </c>
      <c r="L23" s="11" t="n">
        <v>45177.70121527778</v>
      </c>
      <c r="M23" s="4" t="n">
        <v>1</v>
      </c>
      <c r="N23" s="4" t="n">
        <v>1</v>
      </c>
      <c r="O23" s="4" t="n">
        <v>0</v>
      </c>
      <c r="P23" s="4">
        <f>IF(AND(N23&gt;0,O23=0),"Yes","No")</f>
        <v/>
      </c>
      <c r="Q23" s="4" t="n">
        <v>0</v>
      </c>
      <c r="R23" s="4" t="n">
        <v>0</v>
      </c>
      <c r="S23" s="4" t="n">
        <v>0</v>
      </c>
      <c r="T23" s="4" t="inlineStr">
        <is>
          <t>C++</t>
        </is>
      </c>
      <c r="U23" s="4" t="n">
        <v>5</v>
      </c>
      <c r="V23" s="9" t="inlineStr">
        <is>
          <t>Submission 1043842772</t>
        </is>
      </c>
      <c r="W23" s="9" t="inlineStr">
        <is>
          <t>Open code</t>
        </is>
      </c>
      <c r="X23" s="4" t="n">
        <v>0</v>
      </c>
      <c r="Y23" s="4" t="inlineStr">
        <is>
          <t>2023-09</t>
        </is>
      </c>
      <c r="Z23" s="14" t="n"/>
    </row>
    <row r="24">
      <c r="A24" s="4" t="n">
        <v>23</v>
      </c>
      <c r="B24" s="4" t="n">
        <v>1207</v>
      </c>
      <c r="C24" s="9" t="inlineStr">
        <is>
          <t>Unique Number of Occurrences</t>
        </is>
      </c>
      <c r="D24" s="10" t="inlineStr">
        <is>
          <t>Easy</t>
        </is>
      </c>
      <c r="E24" s="4" t="inlineStr">
        <is>
          <t>Arrays, Hashing &amp; Sorting</t>
        </is>
      </c>
      <c r="F24" s="4" t="inlineStr">
        <is>
          <t>Counting</t>
        </is>
      </c>
      <c r="G24" s="4" t="inlineStr">
        <is>
          <t>Arrays &amp; Strings</t>
        </is>
      </c>
      <c r="H24" s="4" t="inlineStr">
        <is>
          <t>array, hash-table</t>
        </is>
      </c>
      <c r="I24" s="4" t="inlineStr"/>
      <c r="J24" s="11" t="n">
        <v>45177.96155092592</v>
      </c>
      <c r="K24" s="11" t="n">
        <v>45177.96155092592</v>
      </c>
      <c r="L24" s="11" t="n">
        <v>45177.96155092592</v>
      </c>
      <c r="M24" s="4" t="n">
        <v>1</v>
      </c>
      <c r="N24" s="4" t="n">
        <v>1</v>
      </c>
      <c r="O24" s="4" t="n">
        <v>0</v>
      </c>
      <c r="P24" s="4">
        <f>IF(AND(N24&gt;0,O24=0),"Yes","No")</f>
        <v/>
      </c>
      <c r="Q24" s="4" t="n">
        <v>0</v>
      </c>
      <c r="R24" s="4" t="n">
        <v>0</v>
      </c>
      <c r="S24" s="4" t="n">
        <v>0</v>
      </c>
      <c r="T24" s="4" t="inlineStr">
        <is>
          <t>C++</t>
        </is>
      </c>
      <c r="U24" s="4" t="n">
        <v>100</v>
      </c>
      <c r="V24" s="9" t="inlineStr">
        <is>
          <t>Submission 1044102868</t>
        </is>
      </c>
      <c r="W24" s="9" t="inlineStr">
        <is>
          <t>Open code</t>
        </is>
      </c>
      <c r="X24" s="4" t="n">
        <v>0</v>
      </c>
      <c r="Y24" s="4" t="inlineStr">
        <is>
          <t>2023-09</t>
        </is>
      </c>
      <c r="Z24" s="14" t="n"/>
    </row>
    <row r="25">
      <c r="A25" s="4" t="n">
        <v>24</v>
      </c>
      <c r="B25" s="4" t="n">
        <v>2352</v>
      </c>
      <c r="C25" s="9" t="inlineStr">
        <is>
          <t>Equal Row and Column Pairs</t>
        </is>
      </c>
      <c r="D25" s="12" t="inlineStr">
        <is>
          <t>Medium</t>
        </is>
      </c>
      <c r="E25" s="4" t="inlineStr">
        <is>
          <t>Arrays, Hashing &amp; Sorting</t>
        </is>
      </c>
      <c r="F25" s="4" t="inlineStr">
        <is>
          <t>Row hash count</t>
        </is>
      </c>
      <c r="G25" s="4" t="inlineStr">
        <is>
          <t>Arrays &amp; Strings</t>
        </is>
      </c>
      <c r="H25" s="4" t="inlineStr">
        <is>
          <t>array, hash-table, matrix, simulation</t>
        </is>
      </c>
      <c r="I25" s="4" t="inlineStr"/>
      <c r="J25" s="11" t="n">
        <v>45178.01368055555</v>
      </c>
      <c r="K25" s="11" t="n">
        <v>45178.01368055555</v>
      </c>
      <c r="L25" s="11" t="n">
        <v>45178.01368055555</v>
      </c>
      <c r="M25" s="4" t="n">
        <v>1</v>
      </c>
      <c r="N25" s="4" t="n">
        <v>1</v>
      </c>
      <c r="O25" s="4" t="n">
        <v>0</v>
      </c>
      <c r="P25" s="4">
        <f>IF(AND(N25&gt;0,O25=0),"Yes","No")</f>
        <v/>
      </c>
      <c r="Q25" s="4" t="n">
        <v>0</v>
      </c>
      <c r="R25" s="4" t="n">
        <v>0</v>
      </c>
      <c r="S25" s="4" t="n">
        <v>0</v>
      </c>
      <c r="T25" s="4" t="inlineStr">
        <is>
          <t>C++</t>
        </is>
      </c>
      <c r="U25" s="4" t="n">
        <v>34.8</v>
      </c>
      <c r="V25" s="9" t="inlineStr">
        <is>
          <t>Submission 1044163612</t>
        </is>
      </c>
      <c r="W25" s="9" t="inlineStr">
        <is>
          <t>Open code</t>
        </is>
      </c>
      <c r="X25" s="4" t="n">
        <v>0</v>
      </c>
      <c r="Y25" s="4" t="inlineStr">
        <is>
          <t>2023-09</t>
        </is>
      </c>
      <c r="Z25" s="14" t="n"/>
    </row>
    <row r="26">
      <c r="A26" s="4" t="n">
        <v>25</v>
      </c>
      <c r="B26" s="4" t="n">
        <v>2390</v>
      </c>
      <c r="C26" s="9" t="inlineStr">
        <is>
          <t>Removing Stars From a String</t>
        </is>
      </c>
      <c r="D26" s="12" t="inlineStr">
        <is>
          <t>Medium</t>
        </is>
      </c>
      <c r="E26" s="4" t="inlineStr">
        <is>
          <t>Stack</t>
        </is>
      </c>
      <c r="F26" s="4" t="inlineStr">
        <is>
          <t>Stack</t>
        </is>
      </c>
      <c r="G26" s="4" t="inlineStr">
        <is>
          <t>Stacks &amp; Queues</t>
        </is>
      </c>
      <c r="H26" s="4" t="inlineStr">
        <is>
          <t>string, stack, simulation</t>
        </is>
      </c>
      <c r="I26" s="4" t="inlineStr"/>
      <c r="J26" s="11" t="n">
        <v>45181.83721064815</v>
      </c>
      <c r="K26" s="11" t="n">
        <v>45181.84430555555</v>
      </c>
      <c r="L26" s="11" t="n">
        <v>45181.84430555555</v>
      </c>
      <c r="M26" s="4" t="n">
        <v>2</v>
      </c>
      <c r="N26" s="4" t="n">
        <v>1</v>
      </c>
      <c r="O26" s="4" t="n">
        <v>1</v>
      </c>
      <c r="P26" s="4">
        <f>IF(AND(N26&gt;0,O26=0),"Yes","No")</f>
        <v/>
      </c>
      <c r="Q26" s="4" t="n">
        <v>0</v>
      </c>
      <c r="R26" s="4" t="n">
        <v>0</v>
      </c>
      <c r="S26" s="4" t="n">
        <v>1</v>
      </c>
      <c r="T26" s="4" t="inlineStr">
        <is>
          <t>C++</t>
        </is>
      </c>
      <c r="U26" s="4" t="n">
        <v>0</v>
      </c>
      <c r="V26" s="9" t="inlineStr">
        <is>
          <t>Submission 1047537156</t>
        </is>
      </c>
      <c r="W26" s="9" t="inlineStr">
        <is>
          <t>Open code</t>
        </is>
      </c>
      <c r="X26" s="4" t="n">
        <v>0</v>
      </c>
      <c r="Y26" s="4" t="inlineStr">
        <is>
          <t>2023-09</t>
        </is>
      </c>
      <c r="Z26" s="14" t="n"/>
    </row>
    <row r="27">
      <c r="A27" s="4" t="n">
        <v>26</v>
      </c>
      <c r="B27" s="4" t="n">
        <v>735</v>
      </c>
      <c r="C27" s="9" t="inlineStr">
        <is>
          <t>Asteroid Collision</t>
        </is>
      </c>
      <c r="D27" s="12" t="inlineStr">
        <is>
          <t>Medium</t>
        </is>
      </c>
      <c r="E27" s="4" t="inlineStr">
        <is>
          <t>Stack</t>
        </is>
      </c>
      <c r="F27" s="4" t="inlineStr">
        <is>
          <t>Collision stack</t>
        </is>
      </c>
      <c r="G27" s="4" t="inlineStr">
        <is>
          <t>Stacks &amp; Queues</t>
        </is>
      </c>
      <c r="H27" s="4" t="inlineStr">
        <is>
          <t>array, stack, simulation</t>
        </is>
      </c>
      <c r="I27" s="4" t="inlineStr"/>
      <c r="J27" s="11" t="n">
        <v>45181.85513888889</v>
      </c>
      <c r="K27" s="11" t="n">
        <v>45181.8653125</v>
      </c>
      <c r="L27" s="11" t="n">
        <v>45181.87101851852</v>
      </c>
      <c r="M27" s="4" t="n">
        <v>3</v>
      </c>
      <c r="N27" s="4" t="n">
        <v>2</v>
      </c>
      <c r="O27" s="4" t="n">
        <v>1</v>
      </c>
      <c r="P27" s="4">
        <f>IF(AND(N27&gt;0,O27=0),"Yes","No")</f>
        <v/>
      </c>
      <c r="Q27" s="4" t="n">
        <v>0</v>
      </c>
      <c r="R27" s="4" t="n">
        <v>0</v>
      </c>
      <c r="S27" s="4" t="n">
        <v>1</v>
      </c>
      <c r="T27" s="4" t="inlineStr">
        <is>
          <t>C++</t>
        </is>
      </c>
      <c r="U27" s="4" t="n">
        <v>5.5</v>
      </c>
      <c r="V27" s="9" t="inlineStr">
        <is>
          <t>Submission 1047569035</t>
        </is>
      </c>
      <c r="W27" s="9" t="inlineStr">
        <is>
          <t>Open code</t>
        </is>
      </c>
      <c r="X27" s="4" t="n">
        <v>0</v>
      </c>
      <c r="Y27" s="4" t="inlineStr">
        <is>
          <t>2023-09</t>
        </is>
      </c>
      <c r="Z27" s="14" t="n"/>
    </row>
    <row r="28">
      <c r="A28" s="4" t="n">
        <v>27</v>
      </c>
      <c r="B28" s="4" t="n">
        <v>394</v>
      </c>
      <c r="C28" s="9" t="inlineStr">
        <is>
          <t>Decode String</t>
        </is>
      </c>
      <c r="D28" s="12" t="inlineStr">
        <is>
          <t>Medium</t>
        </is>
      </c>
      <c r="E28" s="4" t="inlineStr">
        <is>
          <t>Stack</t>
        </is>
      </c>
      <c r="F28" s="4" t="inlineStr">
        <is>
          <t>Nested decode stack</t>
        </is>
      </c>
      <c r="G28" s="4" t="inlineStr">
        <is>
          <t>Stacks &amp; Queues</t>
        </is>
      </c>
      <c r="H28" s="4" t="inlineStr">
        <is>
          <t>string, stack, recursion</t>
        </is>
      </c>
      <c r="I28" s="4" t="inlineStr"/>
      <c r="J28" s="11" t="n">
        <v>45182.00825231482</v>
      </c>
      <c r="K28" s="11" t="n">
        <v>45182.00921296296</v>
      </c>
      <c r="L28" s="11" t="n">
        <v>45182.00921296296</v>
      </c>
      <c r="M28" s="4" t="n">
        <v>2</v>
      </c>
      <c r="N28" s="4" t="n">
        <v>1</v>
      </c>
      <c r="O28" s="4" t="n">
        <v>1</v>
      </c>
      <c r="P28" s="4">
        <f>IF(AND(N28&gt;0,O28=0),"Yes","No")</f>
        <v/>
      </c>
      <c r="Q28" s="4" t="n">
        <v>1</v>
      </c>
      <c r="R28" s="4" t="n">
        <v>0</v>
      </c>
      <c r="S28" s="4" t="n">
        <v>0</v>
      </c>
      <c r="T28" s="4" t="inlineStr">
        <is>
          <t>C++</t>
        </is>
      </c>
      <c r="U28" s="4" t="n">
        <v>0.8</v>
      </c>
      <c r="V28" s="9" t="inlineStr">
        <is>
          <t>Submission 1047748694</t>
        </is>
      </c>
      <c r="W28" s="9" t="inlineStr">
        <is>
          <t>Open code</t>
        </is>
      </c>
      <c r="X28" s="4" t="n">
        <v>0</v>
      </c>
      <c r="Y28" s="4" t="inlineStr">
        <is>
          <t>2023-09</t>
        </is>
      </c>
      <c r="Z28" s="14" t="n"/>
    </row>
    <row r="29">
      <c r="A29" s="4" t="n">
        <v>28</v>
      </c>
      <c r="B29" s="4" t="n">
        <v>933</v>
      </c>
      <c r="C29" s="9" t="inlineStr">
        <is>
          <t>Number of Recent Calls</t>
        </is>
      </c>
      <c r="D29" s="10" t="inlineStr">
        <is>
          <t>Easy</t>
        </is>
      </c>
      <c r="E29" s="4" t="inlineStr">
        <is>
          <t>Design</t>
        </is>
      </c>
      <c r="F29" s="4" t="inlineStr">
        <is>
          <t>Queue</t>
        </is>
      </c>
      <c r="G29" s="4" t="inlineStr">
        <is>
          <t>Design</t>
        </is>
      </c>
      <c r="H29" s="4" t="inlineStr">
        <is>
          <t>design, queue, data-stream</t>
        </is>
      </c>
      <c r="I29" s="4" t="inlineStr"/>
      <c r="J29" s="11" t="n">
        <v>45182.02556712963</v>
      </c>
      <c r="K29" s="11" t="n">
        <v>45182.02556712963</v>
      </c>
      <c r="L29" s="11" t="n">
        <v>45182.02556712963</v>
      </c>
      <c r="M29" s="4" t="n">
        <v>1</v>
      </c>
      <c r="N29" s="4" t="n">
        <v>1</v>
      </c>
      <c r="O29" s="4" t="n">
        <v>0</v>
      </c>
      <c r="P29" s="4">
        <f>IF(AND(N29&gt;0,O29=0),"Yes","No")</f>
        <v/>
      </c>
      <c r="Q29" s="4" t="n">
        <v>0</v>
      </c>
      <c r="R29" s="4" t="n">
        <v>0</v>
      </c>
      <c r="S29" s="4" t="n">
        <v>0</v>
      </c>
      <c r="T29" s="4" t="inlineStr">
        <is>
          <t>C++</t>
        </is>
      </c>
      <c r="U29" s="4" t="n">
        <v>5.7</v>
      </c>
      <c r="V29" s="9" t="inlineStr">
        <is>
          <t>Submission 1047767716</t>
        </is>
      </c>
      <c r="W29" s="9" t="inlineStr">
        <is>
          <t>Open code</t>
        </is>
      </c>
      <c r="X29" s="4" t="n">
        <v>0</v>
      </c>
      <c r="Y29" s="4" t="inlineStr">
        <is>
          <t>2023-09</t>
        </is>
      </c>
      <c r="Z29" s="14" t="n"/>
    </row>
    <row r="30">
      <c r="A30" s="4" t="n">
        <v>29</v>
      </c>
      <c r="B30" s="4" t="n">
        <v>408</v>
      </c>
      <c r="C30" s="9" t="inlineStr">
        <is>
          <t>Valid Word Abbreviation</t>
        </is>
      </c>
      <c r="D30" s="10" t="inlineStr">
        <is>
          <t>Easy</t>
        </is>
      </c>
      <c r="E30" s="4" t="inlineStr">
        <is>
          <t>Two Pointers</t>
        </is>
      </c>
      <c r="F30" s="4" t="inlineStr">
        <is>
          <t>Two-pointer parse</t>
        </is>
      </c>
      <c r="G30" s="4" t="inlineStr">
        <is>
          <t>Arrays &amp; Strings</t>
        </is>
      </c>
      <c r="H30" s="4" t="inlineStr">
        <is>
          <t>two-pointers, string</t>
        </is>
      </c>
      <c r="I30" s="4" t="inlineStr">
        <is>
          <t>Ac</t>
        </is>
      </c>
      <c r="J30" s="11" t="n">
        <v>45239.16671296296</v>
      </c>
      <c r="K30" s="11" t="n">
        <v>45239.16671296296</v>
      </c>
      <c r="L30" s="11" t="n">
        <v>45303.9108449074</v>
      </c>
      <c r="M30" s="4" t="n">
        <v>2</v>
      </c>
      <c r="N30" s="4" t="n">
        <v>2</v>
      </c>
      <c r="O30" s="4" t="n">
        <v>0</v>
      </c>
      <c r="P30" s="4">
        <f>IF(AND(N30&gt;0,O30=0),"Yes","No")</f>
        <v/>
      </c>
      <c r="Q30" s="4" t="n">
        <v>0</v>
      </c>
      <c r="R30" s="4" t="n">
        <v>0</v>
      </c>
      <c r="S30" s="4" t="n">
        <v>0</v>
      </c>
      <c r="T30" s="4" t="inlineStr">
        <is>
          <t>Python3</t>
        </is>
      </c>
      <c r="U30" s="4" t="n">
        <v>0.4</v>
      </c>
      <c r="V30" s="9" t="inlineStr">
        <is>
          <t>Submission 1144355158</t>
        </is>
      </c>
      <c r="W30" s="9" t="inlineStr">
        <is>
          <t>Open code</t>
        </is>
      </c>
      <c r="X30" s="4" t="n">
        <v>0</v>
      </c>
      <c r="Y30" s="4" t="inlineStr">
        <is>
          <t>2023-11</t>
        </is>
      </c>
      <c r="Z30" s="14" t="n"/>
    </row>
    <row r="31">
      <c r="A31" s="4" t="n">
        <v>30</v>
      </c>
      <c r="B31" s="4" t="n">
        <v>339</v>
      </c>
      <c r="C31" s="9" t="inlineStr">
        <is>
          <t>Nested List Weight Sum</t>
        </is>
      </c>
      <c r="D31" s="12" t="inlineStr">
        <is>
          <t>Medium</t>
        </is>
      </c>
      <c r="E31" s="4" t="inlineStr">
        <is>
          <t>Binary Tree (DFS &amp; Recursion)</t>
        </is>
      </c>
      <c r="F31" s="4" t="inlineStr">
        <is>
          <t>Recursive depth sum</t>
        </is>
      </c>
      <c r="G31" s="4" t="inlineStr">
        <is>
          <t>Trees</t>
        </is>
      </c>
      <c r="H31" s="4" t="inlineStr">
        <is>
          <t>depth-first-search, breadth-first-search</t>
        </is>
      </c>
      <c r="I31" s="4" t="inlineStr">
        <is>
          <t>Ac</t>
        </is>
      </c>
      <c r="J31" s="11" t="n">
        <v>45240.22956018519</v>
      </c>
      <c r="K31" s="11" t="n">
        <v>45261.13265046296</v>
      </c>
      <c r="L31" s="11" t="n">
        <v>45264.48217592593</v>
      </c>
      <c r="M31" s="4" t="n">
        <v>5</v>
      </c>
      <c r="N31" s="4" t="n">
        <v>2</v>
      </c>
      <c r="O31" s="4" t="n">
        <v>1</v>
      </c>
      <c r="P31" s="4">
        <f>IF(AND(N31&gt;0,O31=0),"Yes","No")</f>
        <v/>
      </c>
      <c r="Q31" s="4" t="n">
        <v>0</v>
      </c>
      <c r="R31" s="4" t="n">
        <v>0</v>
      </c>
      <c r="S31" s="4" t="n">
        <v>1</v>
      </c>
      <c r="T31" s="4" t="inlineStr">
        <is>
          <t>Python3</t>
        </is>
      </c>
      <c r="U31" s="4" t="n">
        <v>0</v>
      </c>
      <c r="V31" s="9" t="inlineStr">
        <is>
          <t>Submission 1111957079</t>
        </is>
      </c>
      <c r="W31" s="9" t="inlineStr">
        <is>
          <t>Open code</t>
        </is>
      </c>
      <c r="X31" s="4" t="n">
        <v>0</v>
      </c>
      <c r="Y31" s="4" t="inlineStr">
        <is>
          <t>2023-12</t>
        </is>
      </c>
      <c r="Z31" s="14" t="n"/>
    </row>
    <row r="32">
      <c r="A32" s="4" t="n">
        <v>31</v>
      </c>
      <c r="B32" s="4" t="n">
        <v>827</v>
      </c>
      <c r="C32" s="9" t="inlineStr">
        <is>
          <t>Making A Large Island</t>
        </is>
      </c>
      <c r="D32" s="13" t="inlineStr">
        <is>
          <t>Hard</t>
        </is>
      </c>
      <c r="E32" s="4" t="inlineStr">
        <is>
          <t>Graph: Grid BFS/DFS</t>
        </is>
      </c>
      <c r="F32" s="4" t="inlineStr">
        <is>
          <t>Label islands + merge</t>
        </is>
      </c>
      <c r="G32" s="4" t="inlineStr">
        <is>
          <t>Graphs</t>
        </is>
      </c>
      <c r="H32" s="4" t="inlineStr">
        <is>
          <t>array, depth-first-search, breadth-first-search, union-find, matrix</t>
        </is>
      </c>
      <c r="I32" s="4" t="inlineStr">
        <is>
          <t>Ac</t>
        </is>
      </c>
      <c r="J32" s="11" t="n">
        <v>45242.98887731481</v>
      </c>
      <c r="K32" s="11" t="n">
        <v>45243.02622685185</v>
      </c>
      <c r="L32" s="11" t="n">
        <v>45328.30020833333</v>
      </c>
      <c r="M32" s="4" t="n">
        <v>28</v>
      </c>
      <c r="N32" s="4" t="n">
        <v>5</v>
      </c>
      <c r="O32" s="4" t="n">
        <v>3</v>
      </c>
      <c r="P32" s="4">
        <f>IF(AND(N32&gt;0,O32=0),"Yes","No")</f>
        <v/>
      </c>
      <c r="Q32" s="4" t="n">
        <v>0</v>
      </c>
      <c r="R32" s="4" t="n">
        <v>1</v>
      </c>
      <c r="S32" s="4" t="n">
        <v>2</v>
      </c>
      <c r="T32" s="4" t="inlineStr">
        <is>
          <t>Python3</t>
        </is>
      </c>
      <c r="U32" s="4" t="n">
        <v>5</v>
      </c>
      <c r="V32" s="9" t="inlineStr">
        <is>
          <t>Submission 1167335012</t>
        </is>
      </c>
      <c r="W32" s="9" t="inlineStr">
        <is>
          <t>Open code</t>
        </is>
      </c>
      <c r="X32" s="4" t="n">
        <v>0</v>
      </c>
      <c r="Y32" s="4" t="inlineStr">
        <is>
          <t>2023-11</t>
        </is>
      </c>
      <c r="Z32" s="14" t="n"/>
    </row>
    <row r="33">
      <c r="A33" s="4" t="n">
        <v>32</v>
      </c>
      <c r="B33" s="4" t="n">
        <v>921</v>
      </c>
      <c r="C33" s="9" t="inlineStr">
        <is>
          <t>Minimum Add to Make Parentheses Valid</t>
        </is>
      </c>
      <c r="D33" s="12" t="inlineStr">
        <is>
          <t>Medium</t>
        </is>
      </c>
      <c r="E33" s="4" t="inlineStr">
        <is>
          <t>Greedy</t>
        </is>
      </c>
      <c r="F33" s="4" t="inlineStr">
        <is>
          <t>Balance counter</t>
        </is>
      </c>
      <c r="G33" s="4" t="inlineStr">
        <is>
          <t>Greedy</t>
        </is>
      </c>
      <c r="H33" s="4" t="inlineStr">
        <is>
          <t>string, stack, greedy, bracket-sequences</t>
        </is>
      </c>
      <c r="I33" s="4" t="inlineStr">
        <is>
          <t>Ac</t>
        </is>
      </c>
      <c r="J33" s="11" t="n">
        <v>45243.03887731482</v>
      </c>
      <c r="K33" s="11" t="n">
        <v>45243.03887731482</v>
      </c>
      <c r="L33" s="11" t="n">
        <v>45265.02975694444</v>
      </c>
      <c r="M33" s="4" t="n">
        <v>4</v>
      </c>
      <c r="N33" s="4" t="n">
        <v>4</v>
      </c>
      <c r="O33" s="4" t="n">
        <v>0</v>
      </c>
      <c r="P33" s="4">
        <f>IF(AND(N33&gt;0,O33=0),"Yes","No")</f>
        <v/>
      </c>
      <c r="Q33" s="4" t="n">
        <v>0</v>
      </c>
      <c r="R33" s="4" t="n">
        <v>0</v>
      </c>
      <c r="S33" s="4" t="n">
        <v>0</v>
      </c>
      <c r="T33" s="4" t="inlineStr">
        <is>
          <t>Python3</t>
        </is>
      </c>
      <c r="U33" s="4" t="n">
        <v>0.6</v>
      </c>
      <c r="V33" s="9" t="inlineStr">
        <is>
          <t>Submission 1112386888</t>
        </is>
      </c>
      <c r="W33" s="9" t="inlineStr">
        <is>
          <t>Open code</t>
        </is>
      </c>
      <c r="X33" s="4" t="n">
        <v>0</v>
      </c>
      <c r="Y33" s="4" t="inlineStr">
        <is>
          <t>2023-11</t>
        </is>
      </c>
      <c r="Z33" s="14" t="n"/>
    </row>
    <row r="34">
      <c r="A34" s="4" t="n">
        <v>33</v>
      </c>
      <c r="B34" s="4" t="n">
        <v>766</v>
      </c>
      <c r="C34" s="9" t="inlineStr">
        <is>
          <t>Toeplitz Matrix</t>
        </is>
      </c>
      <c r="D34" s="10" t="inlineStr">
        <is>
          <t>Easy</t>
        </is>
      </c>
      <c r="E34" s="4" t="inlineStr">
        <is>
          <t>Strings &amp; Simulation</t>
        </is>
      </c>
      <c r="F34" s="4" t="inlineStr">
        <is>
          <t>Matrix scan</t>
        </is>
      </c>
      <c r="G34" s="4" t="inlineStr">
        <is>
          <t>Arrays &amp; Strings</t>
        </is>
      </c>
      <c r="H34" s="4" t="inlineStr">
        <is>
          <t>array, matrix</t>
        </is>
      </c>
      <c r="I34" s="4" t="inlineStr">
        <is>
          <t>Ac</t>
        </is>
      </c>
      <c r="J34" s="11" t="n">
        <v>45244.89024305555</v>
      </c>
      <c r="K34" s="11" t="n">
        <v>45244.89024305555</v>
      </c>
      <c r="L34" s="11" t="n">
        <v>45265.0125462963</v>
      </c>
      <c r="M34" s="4" t="n">
        <v>2</v>
      </c>
      <c r="N34" s="4" t="n">
        <v>2</v>
      </c>
      <c r="O34" s="4" t="n">
        <v>0</v>
      </c>
      <c r="P34" s="4">
        <f>IF(AND(N34&gt;0,O34=0),"Yes","No")</f>
        <v/>
      </c>
      <c r="Q34" s="4" t="n">
        <v>0</v>
      </c>
      <c r="R34" s="4" t="n">
        <v>0</v>
      </c>
      <c r="S34" s="4" t="n">
        <v>0</v>
      </c>
      <c r="T34" s="4" t="inlineStr">
        <is>
          <t>Python3</t>
        </is>
      </c>
      <c r="U34" s="4" t="n">
        <v>4.7</v>
      </c>
      <c r="V34" s="9" t="inlineStr">
        <is>
          <t>Submission 1112372456</t>
        </is>
      </c>
      <c r="W34" s="9" t="inlineStr">
        <is>
          <t>Open code</t>
        </is>
      </c>
      <c r="X34" s="4" t="n">
        <v>0</v>
      </c>
      <c r="Y34" s="4" t="inlineStr">
        <is>
          <t>2023-11</t>
        </is>
      </c>
      <c r="Z34" s="14" t="n"/>
    </row>
    <row r="35">
      <c r="A35" s="4" t="n">
        <v>34</v>
      </c>
      <c r="B35" s="4" t="n">
        <v>199</v>
      </c>
      <c r="C35" s="9" t="inlineStr">
        <is>
          <t>Binary Tree Right Side View</t>
        </is>
      </c>
      <c r="D35" s="12" t="inlineStr">
        <is>
          <t>Medium</t>
        </is>
      </c>
      <c r="E35" s="4" t="inlineStr">
        <is>
          <t>Binary Tree (BFS / Level Order)</t>
        </is>
      </c>
      <c r="F35" s="4" t="inlineStr">
        <is>
          <t>Last node per level</t>
        </is>
      </c>
      <c r="G35" s="4" t="inlineStr">
        <is>
          <t>Trees</t>
        </is>
      </c>
      <c r="H35" s="4" t="inlineStr">
        <is>
          <t>tree, depth-first-search, breadth-first-search, binary-tree</t>
        </is>
      </c>
      <c r="I35" s="4" t="inlineStr">
        <is>
          <t>Ac</t>
        </is>
      </c>
      <c r="J35" s="11" t="n">
        <v>45245.89293981482</v>
      </c>
      <c r="K35" s="11" t="n">
        <v>45245.89293981482</v>
      </c>
      <c r="L35" s="11" t="n">
        <v>45313.07327546296</v>
      </c>
      <c r="M35" s="4" t="n">
        <v>3</v>
      </c>
      <c r="N35" s="4" t="n">
        <v>3</v>
      </c>
      <c r="O35" s="4" t="n">
        <v>0</v>
      </c>
      <c r="P35" s="4">
        <f>IF(AND(N35&gt;0,O35=0),"Yes","No")</f>
        <v/>
      </c>
      <c r="Q35" s="4" t="n">
        <v>0</v>
      </c>
      <c r="R35" s="4" t="n">
        <v>0</v>
      </c>
      <c r="S35" s="4" t="n">
        <v>0</v>
      </c>
      <c r="T35" s="4" t="inlineStr">
        <is>
          <t>Python3</t>
        </is>
      </c>
      <c r="U35" s="4" t="n">
        <v>0.5</v>
      </c>
      <c r="V35" s="9" t="inlineStr">
        <is>
          <t>Submission 1152935407</t>
        </is>
      </c>
      <c r="W35" s="9" t="inlineStr">
        <is>
          <t>Open code</t>
        </is>
      </c>
      <c r="X35" s="4" t="n">
        <v>0</v>
      </c>
      <c r="Y35" s="4" t="inlineStr">
        <is>
          <t>2023-11</t>
        </is>
      </c>
      <c r="Z35" s="14" t="n"/>
    </row>
    <row r="36">
      <c r="A36" s="4" t="n">
        <v>35</v>
      </c>
      <c r="B36" s="4" t="n">
        <v>88</v>
      </c>
      <c r="C36" s="9" t="inlineStr">
        <is>
          <t>Merge Sorted Array</t>
        </is>
      </c>
      <c r="D36" s="10" t="inlineStr">
        <is>
          <t>Easy</t>
        </is>
      </c>
      <c r="E36" s="4" t="inlineStr">
        <is>
          <t>Two Pointers</t>
        </is>
      </c>
      <c r="F36" s="4" t="inlineStr">
        <is>
          <t>Merge from the end</t>
        </is>
      </c>
      <c r="G36" s="4" t="inlineStr">
        <is>
          <t>Arrays &amp; Strings</t>
        </is>
      </c>
      <c r="H36" s="4" t="inlineStr">
        <is>
          <t>array, two-pointers, sorting</t>
        </is>
      </c>
      <c r="I36" s="4" t="inlineStr">
        <is>
          <t>Ac</t>
        </is>
      </c>
      <c r="J36" s="11" t="n">
        <v>45246.02743055556</v>
      </c>
      <c r="K36" s="11" t="n">
        <v>45246.02743055556</v>
      </c>
      <c r="L36" s="11" t="n">
        <v>45265.19012731482</v>
      </c>
      <c r="M36" s="4" t="n">
        <v>3</v>
      </c>
      <c r="N36" s="4" t="n">
        <v>3</v>
      </c>
      <c r="O36" s="4" t="n">
        <v>0</v>
      </c>
      <c r="P36" s="4">
        <f>IF(AND(N36&gt;0,O36=0),"Yes","No")</f>
        <v/>
      </c>
      <c r="Q36" s="4" t="n">
        <v>0</v>
      </c>
      <c r="R36" s="4" t="n">
        <v>0</v>
      </c>
      <c r="S36" s="4" t="n">
        <v>0</v>
      </c>
      <c r="T36" s="4" t="inlineStr">
        <is>
          <t>Python, Python3</t>
        </is>
      </c>
      <c r="U36" s="4" t="n">
        <v>3.1</v>
      </c>
      <c r="V36" s="9" t="inlineStr">
        <is>
          <t>Submission 1112489517</t>
        </is>
      </c>
      <c r="W36" s="9" t="inlineStr">
        <is>
          <t>Open code</t>
        </is>
      </c>
      <c r="X36" s="4" t="n">
        <v>0</v>
      </c>
      <c r="Y36" s="4" t="inlineStr">
        <is>
          <t>2023-11</t>
        </is>
      </c>
      <c r="Z36" s="14" t="n"/>
    </row>
    <row r="37">
      <c r="A37" s="4" t="n">
        <v>36</v>
      </c>
      <c r="B37" s="4" t="n">
        <v>125</v>
      </c>
      <c r="C37" s="9" t="inlineStr">
        <is>
          <t>Valid Palindrome</t>
        </is>
      </c>
      <c r="D37" s="10" t="inlineStr">
        <is>
          <t>Easy</t>
        </is>
      </c>
      <c r="E37" s="4" t="inlineStr">
        <is>
          <t>Two Pointers</t>
        </is>
      </c>
      <c r="F37" s="4" t="inlineStr">
        <is>
          <t>Opposite ends</t>
        </is>
      </c>
      <c r="G37" s="4" t="inlineStr">
        <is>
          <t>Arrays &amp; Strings</t>
        </is>
      </c>
      <c r="H37" s="4" t="inlineStr">
        <is>
          <t>two-pointers, string</t>
        </is>
      </c>
      <c r="I37" s="4" t="inlineStr">
        <is>
          <t>Ac</t>
        </is>
      </c>
      <c r="J37" s="11" t="n">
        <v>45246.19815972223</v>
      </c>
      <c r="K37" s="11" t="n">
        <v>45246.19815972223</v>
      </c>
      <c r="L37" s="11" t="n">
        <v>45326.41494212963</v>
      </c>
      <c r="M37" s="4" t="n">
        <v>3</v>
      </c>
      <c r="N37" s="4" t="n">
        <v>3</v>
      </c>
      <c r="O37" s="4" t="n">
        <v>0</v>
      </c>
      <c r="P37" s="4">
        <f>IF(AND(N37&gt;0,O37=0),"Yes","No")</f>
        <v/>
      </c>
      <c r="Q37" s="4" t="n">
        <v>0</v>
      </c>
      <c r="R37" s="4" t="n">
        <v>0</v>
      </c>
      <c r="S37" s="4" t="n">
        <v>0</v>
      </c>
      <c r="T37" s="4" t="inlineStr">
        <is>
          <t>Python, Python3</t>
        </is>
      </c>
      <c r="U37" s="4" t="n">
        <v>36.1</v>
      </c>
      <c r="V37" s="9" t="inlineStr">
        <is>
          <t>Submission 1165501847</t>
        </is>
      </c>
      <c r="W37" s="9" t="inlineStr">
        <is>
          <t>Open code</t>
        </is>
      </c>
      <c r="X37" s="4" t="n">
        <v>0</v>
      </c>
      <c r="Y37" s="4" t="inlineStr">
        <is>
          <t>2023-11</t>
        </is>
      </c>
      <c r="Z37" s="14" t="n"/>
    </row>
    <row r="38">
      <c r="A38" s="4" t="n">
        <v>37</v>
      </c>
      <c r="B38" s="4" t="n">
        <v>670</v>
      </c>
      <c r="C38" s="9" t="inlineStr">
        <is>
          <t>Maximum Swap</t>
        </is>
      </c>
      <c r="D38" s="12" t="inlineStr">
        <is>
          <t>Medium</t>
        </is>
      </c>
      <c r="E38" s="4" t="inlineStr">
        <is>
          <t>Greedy</t>
        </is>
      </c>
      <c r="F38" s="4" t="inlineStr">
        <is>
          <t>Last occurrence</t>
        </is>
      </c>
      <c r="G38" s="4" t="inlineStr">
        <is>
          <t>Greedy</t>
        </is>
      </c>
      <c r="H38" s="4" t="inlineStr">
        <is>
          <t>math, greedy</t>
        </is>
      </c>
      <c r="I38" s="4" t="inlineStr">
        <is>
          <t>Ac</t>
        </is>
      </c>
      <c r="J38" s="11" t="n">
        <v>45246.25586805555</v>
      </c>
      <c r="K38" s="11" t="n">
        <v>45253.15024305556</v>
      </c>
      <c r="L38" s="11" t="n">
        <v>45325.11556712963</v>
      </c>
      <c r="M38" s="4" t="n">
        <v>8</v>
      </c>
      <c r="N38" s="4" t="n">
        <v>3</v>
      </c>
      <c r="O38" s="4" t="n">
        <v>3</v>
      </c>
      <c r="P38" s="4">
        <f>IF(AND(N38&gt;0,O38=0),"Yes","No")</f>
        <v/>
      </c>
      <c r="Q38" s="4" t="n">
        <v>3</v>
      </c>
      <c r="R38" s="4" t="n">
        <v>0</v>
      </c>
      <c r="S38" s="4" t="n">
        <v>0</v>
      </c>
      <c r="T38" s="4" t="inlineStr">
        <is>
          <t>Python, Python3</t>
        </is>
      </c>
      <c r="U38" s="4" t="n">
        <v>0</v>
      </c>
      <c r="V38" s="9" t="inlineStr">
        <is>
          <t>Submission 1164268995</t>
        </is>
      </c>
      <c r="W38" s="9" t="inlineStr">
        <is>
          <t>Open code</t>
        </is>
      </c>
      <c r="X38" s="4" t="n">
        <v>0</v>
      </c>
      <c r="Y38" s="4" t="inlineStr">
        <is>
          <t>2023-11</t>
        </is>
      </c>
      <c r="Z38" s="14" t="n"/>
    </row>
    <row r="39">
      <c r="A39" s="4" t="n">
        <v>38</v>
      </c>
      <c r="B39" s="4" t="n">
        <v>986</v>
      </c>
      <c r="C39" s="9" t="inlineStr">
        <is>
          <t>Interval List Intersections</t>
        </is>
      </c>
      <c r="D39" s="12" t="inlineStr">
        <is>
          <t>Medium</t>
        </is>
      </c>
      <c r="E39" s="4" t="inlineStr">
        <is>
          <t>Intervals &amp; Sweep Line</t>
        </is>
      </c>
      <c r="F39" s="4" t="inlineStr">
        <is>
          <t>Two-pointer intersection</t>
        </is>
      </c>
      <c r="G39" s="4" t="inlineStr">
        <is>
          <t>Heaps &amp; Intervals</t>
        </is>
      </c>
      <c r="H39" s="4" t="inlineStr">
        <is>
          <t>array, two-pointers, sweep-line</t>
        </is>
      </c>
      <c r="I39" s="4" t="inlineStr">
        <is>
          <t>Ac</t>
        </is>
      </c>
      <c r="J39" s="11" t="n">
        <v>45246.85293981482</v>
      </c>
      <c r="K39" s="11" t="n">
        <v>45246.85293981482</v>
      </c>
      <c r="L39" s="11" t="n">
        <v>45332.09527777778</v>
      </c>
      <c r="M39" s="4" t="n">
        <v>3</v>
      </c>
      <c r="N39" s="4" t="n">
        <v>3</v>
      </c>
      <c r="O39" s="4" t="n">
        <v>0</v>
      </c>
      <c r="P39" s="4">
        <f>IF(AND(N39&gt;0,O39=0),"Yes","No")</f>
        <v/>
      </c>
      <c r="Q39" s="4" t="n">
        <v>0</v>
      </c>
      <c r="R39" s="4" t="n">
        <v>0</v>
      </c>
      <c r="S39" s="4" t="n">
        <v>0</v>
      </c>
      <c r="T39" s="4" t="inlineStr">
        <is>
          <t>Python, Python3</t>
        </is>
      </c>
      <c r="U39" s="4" t="n">
        <v>6.1</v>
      </c>
      <c r="V39" s="9" t="inlineStr">
        <is>
          <t>Submission 1170940559</t>
        </is>
      </c>
      <c r="W39" s="9" t="inlineStr">
        <is>
          <t>Open code</t>
        </is>
      </c>
      <c r="X39" s="4" t="n">
        <v>0</v>
      </c>
      <c r="Y39" s="4" t="inlineStr">
        <is>
          <t>2023-11</t>
        </is>
      </c>
      <c r="Z39" s="14" t="n"/>
    </row>
    <row r="40">
      <c r="A40" s="4" t="n">
        <v>39</v>
      </c>
      <c r="B40" s="4" t="n">
        <v>296</v>
      </c>
      <c r="C40" s="9" t="inlineStr">
        <is>
          <t>Best Meeting Point</t>
        </is>
      </c>
      <c r="D40" s="13" t="inlineStr">
        <is>
          <t>Hard</t>
        </is>
      </c>
      <c r="E40" s="4" t="inlineStr">
        <is>
          <t>Math &amp; Bit Manipulation</t>
        </is>
      </c>
      <c r="F40" s="4" t="inlineStr">
        <is>
          <t>Median</t>
        </is>
      </c>
      <c r="G40" s="4" t="inlineStr">
        <is>
          <t>Arrays &amp; Strings</t>
        </is>
      </c>
      <c r="H40" s="4" t="inlineStr">
        <is>
          <t>array, math, sorting, matrix</t>
        </is>
      </c>
      <c r="I40" s="4" t="inlineStr">
        <is>
          <t>Ac</t>
        </is>
      </c>
      <c r="J40" s="11" t="n">
        <v>45247.05082175926</v>
      </c>
      <c r="K40" s="11" t="n">
        <v>45247.05983796297</v>
      </c>
      <c r="L40" s="11" t="n">
        <v>45327.30167824074</v>
      </c>
      <c r="M40" s="4" t="n">
        <v>5</v>
      </c>
      <c r="N40" s="4" t="n">
        <v>2</v>
      </c>
      <c r="O40" s="4" t="n">
        <v>1</v>
      </c>
      <c r="P40" s="4">
        <f>IF(AND(N40&gt;0,O40=0),"Yes","No")</f>
        <v/>
      </c>
      <c r="Q40" s="4" t="n">
        <v>0</v>
      </c>
      <c r="R40" s="4" t="n">
        <v>1</v>
      </c>
      <c r="S40" s="4" t="n">
        <v>0</v>
      </c>
      <c r="T40" s="4" t="inlineStr">
        <is>
          <t>Python, Python3</t>
        </is>
      </c>
      <c r="U40" s="4" t="n">
        <v>18.2</v>
      </c>
      <c r="V40" s="9" t="inlineStr">
        <is>
          <t>Submission 1112468782</t>
        </is>
      </c>
      <c r="W40" s="9" t="inlineStr">
        <is>
          <t>Open code</t>
        </is>
      </c>
      <c r="X40" s="4" t="n">
        <v>0</v>
      </c>
      <c r="Y40" s="4" t="inlineStr">
        <is>
          <t>2023-11</t>
        </is>
      </c>
      <c r="Z40" s="14" t="n"/>
    </row>
    <row r="41">
      <c r="A41" s="4" t="n">
        <v>40</v>
      </c>
      <c r="B41" s="4" t="n">
        <v>480</v>
      </c>
      <c r="C41" s="9" t="inlineStr">
        <is>
          <t>Sliding Window Median</t>
        </is>
      </c>
      <c r="D41" s="13" t="inlineStr">
        <is>
          <t>Hard</t>
        </is>
      </c>
      <c r="E41" s="4" t="inlineStr">
        <is>
          <t>Heap / Top-K</t>
        </is>
      </c>
      <c r="F41" s="4" t="inlineStr">
        <is>
          <t>Two heaps with lazy delete</t>
        </is>
      </c>
      <c r="G41" s="4" t="inlineStr">
        <is>
          <t>Heaps &amp; Intervals</t>
        </is>
      </c>
      <c r="H41" s="4" t="inlineStr">
        <is>
          <t>array, hash-table, sliding-window, heap-priority-queue, treap</t>
        </is>
      </c>
      <c r="I41" s="4" t="inlineStr">
        <is>
          <t>Ac</t>
        </is>
      </c>
      <c r="J41" s="11" t="n">
        <v>45248.0366087963</v>
      </c>
      <c r="K41" s="11" t="n">
        <v>45248.0375462963</v>
      </c>
      <c r="L41" s="11" t="n">
        <v>45317.41548611111</v>
      </c>
      <c r="M41" s="4" t="n">
        <v>4</v>
      </c>
      <c r="N41" s="4" t="n">
        <v>3</v>
      </c>
      <c r="O41" s="4" t="n">
        <v>1</v>
      </c>
      <c r="P41" s="4">
        <f>IF(AND(N41&gt;0,O41=0),"Yes","No")</f>
        <v/>
      </c>
      <c r="Q41" s="4" t="n">
        <v>1</v>
      </c>
      <c r="R41" s="4" t="n">
        <v>0</v>
      </c>
      <c r="S41" s="4" t="n">
        <v>0</v>
      </c>
      <c r="T41" s="4" t="inlineStr">
        <is>
          <t>Python3</t>
        </is>
      </c>
      <c r="U41" s="4" t="n">
        <v>6.1</v>
      </c>
      <c r="V41" s="9" t="inlineStr">
        <is>
          <t>Submission 1157053663</t>
        </is>
      </c>
      <c r="W41" s="9" t="inlineStr">
        <is>
          <t>Open code</t>
        </is>
      </c>
      <c r="X41" s="4" t="n">
        <v>0</v>
      </c>
      <c r="Y41" s="4" t="inlineStr">
        <is>
          <t>2023-11</t>
        </is>
      </c>
      <c r="Z41" s="14" t="n"/>
    </row>
    <row r="42">
      <c r="A42" s="4" t="n">
        <v>41</v>
      </c>
      <c r="B42" s="4" t="n">
        <v>217</v>
      </c>
      <c r="C42" s="9" t="inlineStr">
        <is>
          <t>Contains Duplicate</t>
        </is>
      </c>
      <c r="D42" s="10" t="inlineStr">
        <is>
          <t>Easy</t>
        </is>
      </c>
      <c r="E42" s="4" t="inlineStr">
        <is>
          <t>Arrays, Hashing &amp; Sorting</t>
        </is>
      </c>
      <c r="F42" s="4" t="inlineStr">
        <is>
          <t>Hash set</t>
        </is>
      </c>
      <c r="G42" s="4" t="inlineStr">
        <is>
          <t>Arrays &amp; Strings</t>
        </is>
      </c>
      <c r="H42" s="4" t="inlineStr">
        <is>
          <t>array, hash-table, sorting</t>
        </is>
      </c>
      <c r="I42" s="4" t="inlineStr">
        <is>
          <t>Notac</t>
        </is>
      </c>
      <c r="J42" s="11" t="n">
        <v>45248.10965277778</v>
      </c>
      <c r="K42" s="11" t="n"/>
      <c r="L42" s="11" t="n">
        <v>45248.10965277778</v>
      </c>
      <c r="M42" s="4" t="n">
        <v>1</v>
      </c>
      <c r="N42" s="4" t="n">
        <v>0</v>
      </c>
      <c r="O42" s="4" t="n">
        <v>1</v>
      </c>
      <c r="P42" s="4">
        <f>IF(AND(N42&gt;0,O42=0),"Yes","No")</f>
        <v/>
      </c>
      <c r="Q42" s="4" t="n">
        <v>0</v>
      </c>
      <c r="R42" s="4" t="n">
        <v>1</v>
      </c>
      <c r="S42" s="4" t="n">
        <v>0</v>
      </c>
      <c r="T42" s="4" t="inlineStr">
        <is>
          <t>Python3</t>
        </is>
      </c>
      <c r="U42" s="4" t="n"/>
      <c r="V42" s="4" t="n"/>
      <c r="W42" s="9" t="inlineStr">
        <is>
          <t>Open code</t>
        </is>
      </c>
      <c r="X42" s="4" t="n">
        <v>0</v>
      </c>
      <c r="Y42" s="4" t="inlineStr"/>
      <c r="Z42" s="14" t="n"/>
    </row>
    <row r="43">
      <c r="A43" s="4" t="n">
        <v>42</v>
      </c>
      <c r="B43" s="4" t="n">
        <v>219</v>
      </c>
      <c r="C43" s="9" t="inlineStr">
        <is>
          <t>Contains Duplicate II</t>
        </is>
      </c>
      <c r="D43" s="10" t="inlineStr">
        <is>
          <t>Easy</t>
        </is>
      </c>
      <c r="E43" s="4" t="inlineStr">
        <is>
          <t>Sliding Window</t>
        </is>
      </c>
      <c r="F43" s="4" t="inlineStr">
        <is>
          <t>Window set</t>
        </is>
      </c>
      <c r="G43" s="4" t="inlineStr">
        <is>
          <t>Arrays &amp; Strings</t>
        </is>
      </c>
      <c r="H43" s="4" t="inlineStr">
        <is>
          <t>array, hash-table, sliding-window</t>
        </is>
      </c>
      <c r="I43" s="4" t="inlineStr">
        <is>
          <t>Ac</t>
        </is>
      </c>
      <c r="J43" s="11" t="n">
        <v>45248.11488425926</v>
      </c>
      <c r="K43" s="11" t="n">
        <v>45248.11488425926</v>
      </c>
      <c r="L43" s="11" t="n">
        <v>45248.11488425926</v>
      </c>
      <c r="M43" s="4" t="n">
        <v>1</v>
      </c>
      <c r="N43" s="4" t="n">
        <v>1</v>
      </c>
      <c r="O43" s="4" t="n">
        <v>0</v>
      </c>
      <c r="P43" s="4">
        <f>IF(AND(N43&gt;0,O43=0),"Yes","No")</f>
        <v/>
      </c>
      <c r="Q43" s="4" t="n">
        <v>0</v>
      </c>
      <c r="R43" s="4" t="n">
        <v>0</v>
      </c>
      <c r="S43" s="4" t="n">
        <v>0</v>
      </c>
      <c r="T43" s="4" t="inlineStr">
        <is>
          <t>Python3</t>
        </is>
      </c>
      <c r="U43" s="4" t="n">
        <v>5</v>
      </c>
      <c r="V43" s="9" t="inlineStr">
        <is>
          <t>Submission 1101040393</t>
        </is>
      </c>
      <c r="W43" s="9" t="inlineStr">
        <is>
          <t>Open code</t>
        </is>
      </c>
      <c r="X43" s="4" t="n">
        <v>0</v>
      </c>
      <c r="Y43" s="4" t="inlineStr">
        <is>
          <t>2023-11</t>
        </is>
      </c>
      <c r="Z43" s="14" t="n"/>
    </row>
    <row r="44">
      <c r="A44" s="4" t="n">
        <v>43</v>
      </c>
      <c r="B44" s="4" t="n">
        <v>347</v>
      </c>
      <c r="C44" s="9" t="inlineStr">
        <is>
          <t>Top K Frequent Elements</t>
        </is>
      </c>
      <c r="D44" s="12" t="inlineStr">
        <is>
          <t>Medium</t>
        </is>
      </c>
      <c r="E44" s="4" t="inlineStr">
        <is>
          <t>Heap / Top-K</t>
        </is>
      </c>
      <c r="F44" s="4" t="inlineStr">
        <is>
          <t>Top-K / bucket sort</t>
        </is>
      </c>
      <c r="G44" s="4" t="inlineStr">
        <is>
          <t>Heaps &amp; Intervals</t>
        </is>
      </c>
      <c r="H44" s="4" t="inlineStr">
        <is>
          <t>array, hash-table, divide-and-conquer, sorting, heap-priority-queue, bucket-sort, counting, quickselect</t>
        </is>
      </c>
      <c r="I44" s="4" t="inlineStr">
        <is>
          <t>Ac</t>
        </is>
      </c>
      <c r="J44" s="11" t="n">
        <v>45249.37668981482</v>
      </c>
      <c r="K44" s="11" t="n">
        <v>45249.38162037037</v>
      </c>
      <c r="L44" s="11" t="n">
        <v>45306.3021875</v>
      </c>
      <c r="M44" s="4" t="n">
        <v>9</v>
      </c>
      <c r="N44" s="4" t="n">
        <v>4</v>
      </c>
      <c r="O44" s="4" t="n">
        <v>4</v>
      </c>
      <c r="P44" s="4">
        <f>IF(AND(N44&gt;0,O44=0),"Yes","No")</f>
        <v/>
      </c>
      <c r="Q44" s="4" t="n">
        <v>4</v>
      </c>
      <c r="R44" s="4" t="n">
        <v>0</v>
      </c>
      <c r="S44" s="4" t="n">
        <v>0</v>
      </c>
      <c r="T44" s="4" t="inlineStr">
        <is>
          <t>Python3</t>
        </is>
      </c>
      <c r="U44" s="4" t="n">
        <v>5</v>
      </c>
      <c r="V44" s="9" t="inlineStr">
        <is>
          <t>Submission 1146455372</t>
        </is>
      </c>
      <c r="W44" s="9" t="inlineStr">
        <is>
          <t>Open code</t>
        </is>
      </c>
      <c r="X44" s="4" t="n">
        <v>0</v>
      </c>
      <c r="Y44" s="4" t="inlineStr">
        <is>
          <t>2023-11</t>
        </is>
      </c>
      <c r="Z44" s="14" t="n"/>
    </row>
    <row r="45">
      <c r="A45" s="4" t="n">
        <v>44</v>
      </c>
      <c r="B45" s="4" t="n">
        <v>490</v>
      </c>
      <c r="C45" s="9" t="inlineStr">
        <is>
          <t>The Maze</t>
        </is>
      </c>
      <c r="D45" s="12" t="inlineStr">
        <is>
          <t>Medium</t>
        </is>
      </c>
      <c r="E45" s="4" t="inlineStr">
        <is>
          <t>Graph: Grid BFS/DFS</t>
        </is>
      </c>
      <c r="F45" s="4" t="inlineStr">
        <is>
          <t>Rolling BFS</t>
        </is>
      </c>
      <c r="G45" s="4" t="inlineStr">
        <is>
          <t>Graphs</t>
        </is>
      </c>
      <c r="H45" s="4" t="inlineStr">
        <is>
          <t>array, depth-first-search, breadth-first-search, matrix</t>
        </is>
      </c>
      <c r="I45" s="4" t="inlineStr">
        <is>
          <t>Ac</t>
        </is>
      </c>
      <c r="J45" s="11" t="n">
        <v>45249.86143518519</v>
      </c>
      <c r="K45" s="11" t="n">
        <v>45249.86594907408</v>
      </c>
      <c r="L45" s="11" t="n">
        <v>45249.86594907408</v>
      </c>
      <c r="M45" s="4" t="n">
        <v>2</v>
      </c>
      <c r="N45" s="4" t="n">
        <v>1</v>
      </c>
      <c r="O45" s="4" t="n">
        <v>1</v>
      </c>
      <c r="P45" s="4">
        <f>IF(AND(N45&gt;0,O45=0),"Yes","No")</f>
        <v/>
      </c>
      <c r="Q45" s="4" t="n">
        <v>1</v>
      </c>
      <c r="R45" s="4" t="n">
        <v>0</v>
      </c>
      <c r="S45" s="4" t="n">
        <v>0</v>
      </c>
      <c r="T45" s="4" t="inlineStr">
        <is>
          <t>Python3</t>
        </is>
      </c>
      <c r="U45" s="4" t="n">
        <v>5.2</v>
      </c>
      <c r="V45" s="9" t="inlineStr">
        <is>
          <t>Submission 1102138705</t>
        </is>
      </c>
      <c r="W45" s="9" t="inlineStr">
        <is>
          <t>Open code</t>
        </is>
      </c>
      <c r="X45" s="4" t="n">
        <v>0</v>
      </c>
      <c r="Y45" s="4" t="inlineStr">
        <is>
          <t>2023-11</t>
        </is>
      </c>
      <c r="Z45" s="14" t="n"/>
    </row>
    <row r="46">
      <c r="A46" s="4" t="n">
        <v>45</v>
      </c>
      <c r="B46" s="4" t="n">
        <v>1011</v>
      </c>
      <c r="C46" s="9" t="inlineStr">
        <is>
          <t>Capacity To Ship Packages Within D Days</t>
        </is>
      </c>
      <c r="D46" s="12" t="inlineStr">
        <is>
          <t>Medium</t>
        </is>
      </c>
      <c r="E46" s="4" t="inlineStr">
        <is>
          <t>Binary Search on Answer</t>
        </is>
      </c>
      <c r="F46" s="4" t="inlineStr">
        <is>
          <t>Minimise capacity</t>
        </is>
      </c>
      <c r="G46" s="4" t="inlineStr">
        <is>
          <t>Searching</t>
        </is>
      </c>
      <c r="H46" s="4" t="inlineStr">
        <is>
          <t>array, binary-search</t>
        </is>
      </c>
      <c r="I46" s="4" t="inlineStr">
        <is>
          <t>Ac</t>
        </is>
      </c>
      <c r="J46" s="11" t="n">
        <v>45250.0577662037</v>
      </c>
      <c r="K46" s="11" t="n">
        <v>45250.0577662037</v>
      </c>
      <c r="L46" s="11" t="n">
        <v>45257.83907407407</v>
      </c>
      <c r="M46" s="4" t="n">
        <v>2</v>
      </c>
      <c r="N46" s="4" t="n">
        <v>2</v>
      </c>
      <c r="O46" s="4" t="n">
        <v>0</v>
      </c>
      <c r="P46" s="4">
        <f>IF(AND(N46&gt;0,O46=0),"Yes","No")</f>
        <v/>
      </c>
      <c r="Q46" s="4" t="n">
        <v>0</v>
      </c>
      <c r="R46" s="4" t="n">
        <v>0</v>
      </c>
      <c r="S46" s="4" t="n">
        <v>0</v>
      </c>
      <c r="T46" s="4" t="inlineStr">
        <is>
          <t>Python3</t>
        </is>
      </c>
      <c r="U46" s="4" t="n">
        <v>5.7</v>
      </c>
      <c r="V46" s="9" t="inlineStr">
        <is>
          <t>Submission 1107477954</t>
        </is>
      </c>
      <c r="W46" s="9" t="inlineStr">
        <is>
          <t>Open code</t>
        </is>
      </c>
      <c r="X46" s="4" t="n">
        <v>0</v>
      </c>
      <c r="Y46" s="4" t="inlineStr">
        <is>
          <t>2023-11</t>
        </is>
      </c>
      <c r="Z46" s="14" t="n"/>
    </row>
    <row r="47">
      <c r="A47" s="4" t="n">
        <v>46</v>
      </c>
      <c r="B47" s="4" t="n">
        <v>215</v>
      </c>
      <c r="C47" s="9" t="inlineStr">
        <is>
          <t>Kth Largest Element in an Array</t>
        </is>
      </c>
      <c r="D47" s="12" t="inlineStr">
        <is>
          <t>Medium</t>
        </is>
      </c>
      <c r="E47" s="4" t="inlineStr">
        <is>
          <t>Heap / Top-K</t>
        </is>
      </c>
      <c r="F47" s="4" t="inlineStr">
        <is>
          <t>Quickselect / heap</t>
        </is>
      </c>
      <c r="G47" s="4" t="inlineStr">
        <is>
          <t>Heaps &amp; Intervals</t>
        </is>
      </c>
      <c r="H47" s="4" t="inlineStr">
        <is>
          <t>array, divide-and-conquer, sorting, heap-priority-queue, quickselect</t>
        </is>
      </c>
      <c r="I47" s="4" t="inlineStr">
        <is>
          <t>Ac</t>
        </is>
      </c>
      <c r="J47" s="11" t="n">
        <v>45250.8415625</v>
      </c>
      <c r="K47" s="11" t="n">
        <v>45250.84212962963</v>
      </c>
      <c r="L47" s="11" t="n">
        <v>45523.27506944445</v>
      </c>
      <c r="M47" s="4" t="n">
        <v>6</v>
      </c>
      <c r="N47" s="4" t="n">
        <v>2</v>
      </c>
      <c r="O47" s="4" t="n">
        <v>1</v>
      </c>
      <c r="P47" s="4">
        <f>IF(AND(N47&gt;0,O47=0),"Yes","No")</f>
        <v/>
      </c>
      <c r="Q47" s="4" t="n">
        <v>0</v>
      </c>
      <c r="R47" s="4" t="n">
        <v>1</v>
      </c>
      <c r="S47" s="4" t="n">
        <v>0</v>
      </c>
      <c r="T47" s="4" t="inlineStr">
        <is>
          <t>Java, Python3</t>
        </is>
      </c>
      <c r="U47" s="4" t="n">
        <v>64</v>
      </c>
      <c r="V47" s="9" t="inlineStr">
        <is>
          <t>Submission 1360851507</t>
        </is>
      </c>
      <c r="W47" s="9" t="inlineStr">
        <is>
          <t>Open code</t>
        </is>
      </c>
      <c r="X47" s="4" t="n">
        <v>0</v>
      </c>
      <c r="Y47" s="4" t="inlineStr">
        <is>
          <t>2023-11</t>
        </is>
      </c>
      <c r="Z47" s="14" t="n"/>
    </row>
    <row r="48">
      <c r="A48" s="4" t="n">
        <v>47</v>
      </c>
      <c r="B48" s="4" t="n">
        <v>1249</v>
      </c>
      <c r="C48" s="9" t="inlineStr">
        <is>
          <t>Minimum Remove to Make Valid Parentheses</t>
        </is>
      </c>
      <c r="D48" s="12" t="inlineStr">
        <is>
          <t>Medium</t>
        </is>
      </c>
      <c r="E48" s="4" t="inlineStr">
        <is>
          <t>Stack</t>
        </is>
      </c>
      <c r="F48" s="4" t="inlineStr">
        <is>
          <t>Index stack</t>
        </is>
      </c>
      <c r="G48" s="4" t="inlineStr">
        <is>
          <t>Stacks &amp; Queues</t>
        </is>
      </c>
      <c r="H48" s="4" t="inlineStr">
        <is>
          <t>string, stack</t>
        </is>
      </c>
      <c r="I48" s="4" t="inlineStr">
        <is>
          <t>Ac</t>
        </is>
      </c>
      <c r="J48" s="11" t="n">
        <v>45251.2103587963</v>
      </c>
      <c r="K48" s="11" t="n">
        <v>45251.2103587963</v>
      </c>
      <c r="L48" s="11" t="n">
        <v>45854.51822916666</v>
      </c>
      <c r="M48" s="4" t="n">
        <v>5</v>
      </c>
      <c r="N48" s="4" t="n">
        <v>4</v>
      </c>
      <c r="O48" s="4" t="n">
        <v>0</v>
      </c>
      <c r="P48" s="4">
        <f>IF(AND(N48&gt;0,O48=0),"Yes","No")</f>
        <v/>
      </c>
      <c r="Q48" s="4" t="n">
        <v>0</v>
      </c>
      <c r="R48" s="4" t="n">
        <v>0</v>
      </c>
      <c r="S48" s="4" t="n">
        <v>0</v>
      </c>
      <c r="T48" s="4" t="inlineStr">
        <is>
          <t>C++, Python3</t>
        </is>
      </c>
      <c r="U48" s="4" t="n">
        <v>77.5</v>
      </c>
      <c r="V48" s="9" t="inlineStr">
        <is>
          <t>Submission 1699732158</t>
        </is>
      </c>
      <c r="W48" s="9" t="inlineStr">
        <is>
          <t>Open code</t>
        </is>
      </c>
      <c r="X48" s="4" t="n">
        <v>0</v>
      </c>
      <c r="Y48" s="4" t="inlineStr">
        <is>
          <t>2023-11</t>
        </is>
      </c>
      <c r="Z48" s="14" t="n"/>
    </row>
    <row r="49">
      <c r="A49" s="4" t="n">
        <v>48</v>
      </c>
      <c r="B49" s="4" t="n">
        <v>1650</v>
      </c>
      <c r="C49" s="9" t="inlineStr">
        <is>
          <t>Lowest Common Ancestor of a Binary Tree III</t>
        </is>
      </c>
      <c r="D49" s="12" t="inlineStr">
        <is>
          <t>Medium</t>
        </is>
      </c>
      <c r="E49" s="4" t="inlineStr">
        <is>
          <t>Binary Tree (DFS &amp; Recursion)</t>
        </is>
      </c>
      <c r="F49" s="4" t="inlineStr">
        <is>
          <t>Parent pointers, two-pointer</t>
        </is>
      </c>
      <c r="G49" s="4" t="inlineStr">
        <is>
          <t>Trees</t>
        </is>
      </c>
      <c r="H49" s="4" t="inlineStr">
        <is>
          <t>hash-table, two-pointers, tree, binary-tree, binary-lifting, lowest-common-ancestor</t>
        </is>
      </c>
      <c r="I49" s="4" t="inlineStr">
        <is>
          <t>Ac</t>
        </is>
      </c>
      <c r="J49" s="11" t="n">
        <v>45251.89365740741</v>
      </c>
      <c r="K49" s="11" t="n">
        <v>45251.89365740741</v>
      </c>
      <c r="L49" s="11" t="n">
        <v>45303.92761574074</v>
      </c>
      <c r="M49" s="4" t="n">
        <v>4</v>
      </c>
      <c r="N49" s="4" t="n">
        <v>4</v>
      </c>
      <c r="O49" s="4" t="n">
        <v>0</v>
      </c>
      <c r="P49" s="4">
        <f>IF(AND(N49&gt;0,O49=0),"Yes","No")</f>
        <v/>
      </c>
      <c r="Q49" s="4" t="n">
        <v>0</v>
      </c>
      <c r="R49" s="4" t="n">
        <v>0</v>
      </c>
      <c r="S49" s="4" t="n">
        <v>0</v>
      </c>
      <c r="T49" s="4" t="inlineStr">
        <is>
          <t>Python3</t>
        </is>
      </c>
      <c r="U49" s="4" t="n">
        <v>99.09999999999999</v>
      </c>
      <c r="V49" s="9" t="inlineStr">
        <is>
          <t>Submission 1144374104</t>
        </is>
      </c>
      <c r="W49" s="9" t="inlineStr">
        <is>
          <t>Open code</t>
        </is>
      </c>
      <c r="X49" s="4" t="n">
        <v>0</v>
      </c>
      <c r="Y49" s="4" t="inlineStr">
        <is>
          <t>2023-11</t>
        </is>
      </c>
      <c r="Z49" s="14" t="n"/>
    </row>
    <row r="50">
      <c r="A50" s="4" t="n">
        <v>49</v>
      </c>
      <c r="B50" s="4" t="n">
        <v>415</v>
      </c>
      <c r="C50" s="9" t="inlineStr">
        <is>
          <t>Add Strings</t>
        </is>
      </c>
      <c r="D50" s="10" t="inlineStr">
        <is>
          <t>Easy</t>
        </is>
      </c>
      <c r="E50" s="4" t="inlineStr">
        <is>
          <t>Strings &amp; Simulation</t>
        </is>
      </c>
      <c r="F50" s="4" t="inlineStr">
        <is>
          <t>Digit addition</t>
        </is>
      </c>
      <c r="G50" s="4" t="inlineStr">
        <is>
          <t>Arrays &amp; Strings</t>
        </is>
      </c>
      <c r="H50" s="4" t="inlineStr">
        <is>
          <t>math, string, simulation</t>
        </is>
      </c>
      <c r="I50" s="4" t="inlineStr">
        <is>
          <t>Ac</t>
        </is>
      </c>
      <c r="J50" s="11" t="n">
        <v>45252.06335648148</v>
      </c>
      <c r="K50" s="11" t="n">
        <v>45252.06335648148</v>
      </c>
      <c r="L50" s="11" t="n">
        <v>45313.04665509259</v>
      </c>
      <c r="M50" s="4" t="n">
        <v>5</v>
      </c>
      <c r="N50" s="4" t="n">
        <v>3</v>
      </c>
      <c r="O50" s="4" t="n">
        <v>0</v>
      </c>
      <c r="P50" s="4">
        <f>IF(AND(N50&gt;0,O50=0),"Yes","No")</f>
        <v/>
      </c>
      <c r="Q50" s="4" t="n">
        <v>0</v>
      </c>
      <c r="R50" s="4" t="n">
        <v>0</v>
      </c>
      <c r="S50" s="4" t="n">
        <v>0</v>
      </c>
      <c r="T50" s="4" t="inlineStr">
        <is>
          <t>Python3</t>
        </is>
      </c>
      <c r="U50" s="4" t="n">
        <v>8.300000000000001</v>
      </c>
      <c r="V50" s="9" t="inlineStr">
        <is>
          <t>Submission 1152910148</t>
        </is>
      </c>
      <c r="W50" s="9" t="inlineStr">
        <is>
          <t>Open code</t>
        </is>
      </c>
      <c r="X50" s="4" t="n">
        <v>0</v>
      </c>
      <c r="Y50" s="4" t="inlineStr">
        <is>
          <t>2023-11</t>
        </is>
      </c>
      <c r="Z50" s="14" t="n"/>
    </row>
    <row r="51">
      <c r="A51" s="4" t="n">
        <v>50</v>
      </c>
      <c r="B51" s="4" t="n">
        <v>67</v>
      </c>
      <c r="C51" s="9" t="inlineStr">
        <is>
          <t>Add Binary</t>
        </is>
      </c>
      <c r="D51" s="10" t="inlineStr">
        <is>
          <t>Easy</t>
        </is>
      </c>
      <c r="E51" s="4" t="inlineStr">
        <is>
          <t>Strings &amp; Simulation</t>
        </is>
      </c>
      <c r="F51" s="4" t="inlineStr">
        <is>
          <t>Digit addition</t>
        </is>
      </c>
      <c r="G51" s="4" t="inlineStr">
        <is>
          <t>Arrays &amp; Strings</t>
        </is>
      </c>
      <c r="H51" s="4" t="inlineStr">
        <is>
          <t>math, string, bit-manipulation, simulation</t>
        </is>
      </c>
      <c r="I51" s="4" t="inlineStr">
        <is>
          <t>Ac</t>
        </is>
      </c>
      <c r="J51" s="11" t="n">
        <v>45252.08180555556</v>
      </c>
      <c r="K51" s="11" t="n">
        <v>45252.08180555556</v>
      </c>
      <c r="L51" s="11" t="n">
        <v>45252.08188657407</v>
      </c>
      <c r="M51" s="4" t="n">
        <v>2</v>
      </c>
      <c r="N51" s="4" t="n">
        <v>2</v>
      </c>
      <c r="O51" s="4" t="n">
        <v>0</v>
      </c>
      <c r="P51" s="4">
        <f>IF(AND(N51&gt;0,O51=0),"Yes","No")</f>
        <v/>
      </c>
      <c r="Q51" s="4" t="n">
        <v>0</v>
      </c>
      <c r="R51" s="4" t="n">
        <v>0</v>
      </c>
      <c r="S51" s="4" t="n">
        <v>0</v>
      </c>
      <c r="T51" s="4" t="inlineStr">
        <is>
          <t>Python3</t>
        </is>
      </c>
      <c r="U51" s="4" t="n">
        <v>4.7</v>
      </c>
      <c r="V51" s="9" t="inlineStr">
        <is>
          <t>Submission 1103721779</t>
        </is>
      </c>
      <c r="W51" s="9" t="inlineStr">
        <is>
          <t>Open code</t>
        </is>
      </c>
      <c r="X51" s="4" t="n">
        <v>0</v>
      </c>
      <c r="Y51" s="4" t="inlineStr">
        <is>
          <t>2023-11</t>
        </is>
      </c>
      <c r="Z51" s="14" t="n"/>
    </row>
    <row r="52">
      <c r="A52" s="4" t="n">
        <v>51</v>
      </c>
      <c r="B52" s="4" t="n">
        <v>708</v>
      </c>
      <c r="C52" s="9" t="inlineStr">
        <is>
          <t>Insert into a Sorted Circular Linked List</t>
        </is>
      </c>
      <c r="D52" s="12" t="inlineStr">
        <is>
          <t>Medium</t>
        </is>
      </c>
      <c r="E52" s="4" t="inlineStr">
        <is>
          <t>Linked List</t>
        </is>
      </c>
      <c r="F52" s="4" t="inlineStr">
        <is>
          <t>Circular insert</t>
        </is>
      </c>
      <c r="G52" s="4" t="inlineStr">
        <is>
          <t>Linked List</t>
        </is>
      </c>
      <c r="H52" s="4" t="inlineStr">
        <is>
          <t>linked-list</t>
        </is>
      </c>
      <c r="I52" s="4" t="inlineStr">
        <is>
          <t>Ac</t>
        </is>
      </c>
      <c r="J52" s="11" t="n">
        <v>45253.05592592592</v>
      </c>
      <c r="K52" s="11" t="n">
        <v>45253.0622337963</v>
      </c>
      <c r="L52" s="11" t="n">
        <v>45291.05157407407</v>
      </c>
      <c r="M52" s="4" t="n">
        <v>7</v>
      </c>
      <c r="N52" s="4" t="n">
        <v>3</v>
      </c>
      <c r="O52" s="4" t="n">
        <v>1</v>
      </c>
      <c r="P52" s="4">
        <f>IF(AND(N52&gt;0,O52=0),"Yes","No")</f>
        <v/>
      </c>
      <c r="Q52" s="4" t="n">
        <v>1</v>
      </c>
      <c r="R52" s="4" t="n">
        <v>0</v>
      </c>
      <c r="S52" s="4" t="n">
        <v>0</v>
      </c>
      <c r="T52" s="4" t="inlineStr">
        <is>
          <t>Python3</t>
        </is>
      </c>
      <c r="U52" s="4" t="n">
        <v>93.8</v>
      </c>
      <c r="V52" s="9" t="inlineStr">
        <is>
          <t>Submission 1132452299</t>
        </is>
      </c>
      <c r="W52" s="9" t="inlineStr">
        <is>
          <t>Open code</t>
        </is>
      </c>
      <c r="X52" s="4" t="n">
        <v>0</v>
      </c>
      <c r="Y52" s="4" t="inlineStr">
        <is>
          <t>2023-11</t>
        </is>
      </c>
      <c r="Z52" s="14" t="n"/>
    </row>
    <row r="53">
      <c r="A53" s="4" t="n">
        <v>52</v>
      </c>
      <c r="B53" s="4" t="n">
        <v>426</v>
      </c>
      <c r="C53" s="9" t="inlineStr">
        <is>
          <t>Convert Binary Search Tree to Sorted Doubly Linked List</t>
        </is>
      </c>
      <c r="D53" s="12" t="inlineStr">
        <is>
          <t>Medium</t>
        </is>
      </c>
      <c r="E53" s="4" t="inlineStr">
        <is>
          <t>Binary Search Tree</t>
        </is>
      </c>
      <c r="F53" s="4" t="inlineStr">
        <is>
          <t>Inorder linking</t>
        </is>
      </c>
      <c r="G53" s="4" t="inlineStr">
        <is>
          <t>Trees</t>
        </is>
      </c>
      <c r="H53" s="4" t="inlineStr">
        <is>
          <t>linked-list, stack, tree, depth-first-search, binary-search-tree, binary-tree, doubly-linked-list</t>
        </is>
      </c>
      <c r="I53" s="4" t="inlineStr">
        <is>
          <t>Ac</t>
        </is>
      </c>
      <c r="J53" s="11" t="n">
        <v>45253.09127314815</v>
      </c>
      <c r="K53" s="11" t="n">
        <v>45253.09141203704</v>
      </c>
      <c r="L53" s="11" t="n">
        <v>45304.15557870371</v>
      </c>
      <c r="M53" s="4" t="n">
        <v>6</v>
      </c>
      <c r="N53" s="4" t="n">
        <v>3</v>
      </c>
      <c r="O53" s="4" t="n">
        <v>1</v>
      </c>
      <c r="P53" s="4">
        <f>IF(AND(N53&gt;0,O53=0),"Yes","No")</f>
        <v/>
      </c>
      <c r="Q53" s="4" t="n">
        <v>0</v>
      </c>
      <c r="R53" s="4" t="n">
        <v>0</v>
      </c>
      <c r="S53" s="4" t="n">
        <v>1</v>
      </c>
      <c r="T53" s="4" t="inlineStr">
        <is>
          <t>Python3</t>
        </is>
      </c>
      <c r="U53" s="4" t="n">
        <v>99</v>
      </c>
      <c r="V53" s="9" t="inlineStr">
        <is>
          <t>Submission 1144582411</t>
        </is>
      </c>
      <c r="W53" s="9" t="inlineStr">
        <is>
          <t>Open code</t>
        </is>
      </c>
      <c r="X53" s="4" t="n">
        <v>0</v>
      </c>
      <c r="Y53" s="4" t="inlineStr">
        <is>
          <t>2023-11</t>
        </is>
      </c>
      <c r="Z53" s="14" t="n"/>
    </row>
    <row r="54">
      <c r="A54" s="4" t="n">
        <v>53</v>
      </c>
      <c r="B54" s="4" t="n">
        <v>65</v>
      </c>
      <c r="C54" s="9" t="inlineStr">
        <is>
          <t>Valid Number</t>
        </is>
      </c>
      <c r="D54" s="13" t="inlineStr">
        <is>
          <t>Hard</t>
        </is>
      </c>
      <c r="E54" s="4" t="inlineStr">
        <is>
          <t>Strings &amp; Simulation</t>
        </is>
      </c>
      <c r="F54" s="4" t="inlineStr">
        <is>
          <t>Parsing / state machine</t>
        </is>
      </c>
      <c r="G54" s="4" t="inlineStr">
        <is>
          <t>Arrays &amp; Strings</t>
        </is>
      </c>
      <c r="H54" s="4" t="inlineStr">
        <is>
          <t>string</t>
        </is>
      </c>
      <c r="I54" s="4" t="inlineStr">
        <is>
          <t>Ac</t>
        </is>
      </c>
      <c r="J54" s="11" t="n">
        <v>45253.14166666667</v>
      </c>
      <c r="K54" s="11" t="n">
        <v>45253.14166666667</v>
      </c>
      <c r="L54" s="11" t="n">
        <v>45332.03668981481</v>
      </c>
      <c r="M54" s="4" t="n">
        <v>7</v>
      </c>
      <c r="N54" s="4" t="n">
        <v>4</v>
      </c>
      <c r="O54" s="4" t="n">
        <v>0</v>
      </c>
      <c r="P54" s="4">
        <f>IF(AND(N54&gt;0,O54=0),"Yes","No")</f>
        <v/>
      </c>
      <c r="Q54" s="4" t="n">
        <v>0</v>
      </c>
      <c r="R54" s="4" t="n">
        <v>0</v>
      </c>
      <c r="S54" s="4" t="n">
        <v>0</v>
      </c>
      <c r="T54" s="4" t="inlineStr">
        <is>
          <t>Python3</t>
        </is>
      </c>
      <c r="U54" s="4" t="n">
        <v>3.8</v>
      </c>
      <c r="V54" s="9" t="inlineStr">
        <is>
          <t>Submission 1170890636</t>
        </is>
      </c>
      <c r="W54" s="9" t="inlineStr">
        <is>
          <t>Open code</t>
        </is>
      </c>
      <c r="X54" s="4" t="n">
        <v>0</v>
      </c>
      <c r="Y54" s="4" t="inlineStr">
        <is>
          <t>2023-11</t>
        </is>
      </c>
      <c r="Z54" s="14" t="n"/>
    </row>
    <row r="55">
      <c r="A55" s="4" t="n">
        <v>54</v>
      </c>
      <c r="B55" s="4" t="n">
        <v>71</v>
      </c>
      <c r="C55" s="9" t="inlineStr">
        <is>
          <t>Simplify Path</t>
        </is>
      </c>
      <c r="D55" s="12" t="inlineStr">
        <is>
          <t>Medium</t>
        </is>
      </c>
      <c r="E55" s="4" t="inlineStr">
        <is>
          <t>Stack</t>
        </is>
      </c>
      <c r="F55" s="4" t="inlineStr">
        <is>
          <t>Path stack</t>
        </is>
      </c>
      <c r="G55" s="4" t="inlineStr">
        <is>
          <t>Stacks &amp; Queues</t>
        </is>
      </c>
      <c r="H55" s="4" t="inlineStr">
        <is>
          <t>string, stack</t>
        </is>
      </c>
      <c r="I55" s="4" t="inlineStr">
        <is>
          <t>Ac</t>
        </is>
      </c>
      <c r="J55" s="11" t="n">
        <v>45253.16142361111</v>
      </c>
      <c r="K55" s="11" t="n">
        <v>45253.16142361111</v>
      </c>
      <c r="L55" s="11" t="n">
        <v>45264.50150462963</v>
      </c>
      <c r="M55" s="4" t="n">
        <v>3</v>
      </c>
      <c r="N55" s="4" t="n">
        <v>3</v>
      </c>
      <c r="O55" s="4" t="n">
        <v>0</v>
      </c>
      <c r="P55" s="4">
        <f>IF(AND(N55&gt;0,O55=0),"Yes","No")</f>
        <v/>
      </c>
      <c r="Q55" s="4" t="n">
        <v>0</v>
      </c>
      <c r="R55" s="4" t="n">
        <v>0</v>
      </c>
      <c r="S55" s="4" t="n">
        <v>0</v>
      </c>
      <c r="T55" s="4" t="inlineStr">
        <is>
          <t>Python3</t>
        </is>
      </c>
      <c r="U55" s="4" t="n">
        <v>5.2</v>
      </c>
      <c r="V55" s="9" t="inlineStr">
        <is>
          <t>Submission 1111972681</t>
        </is>
      </c>
      <c r="W55" s="9" t="inlineStr">
        <is>
          <t>Open code</t>
        </is>
      </c>
      <c r="X55" s="4" t="n">
        <v>0</v>
      </c>
      <c r="Y55" s="4" t="inlineStr">
        <is>
          <t>2023-11</t>
        </is>
      </c>
      <c r="Z55" s="14" t="n"/>
    </row>
    <row r="56">
      <c r="A56" s="4" t="n">
        <v>55</v>
      </c>
      <c r="B56" s="4" t="n">
        <v>259</v>
      </c>
      <c r="C56" s="9" t="inlineStr">
        <is>
          <t>3Sum Smaller</t>
        </is>
      </c>
      <c r="D56" s="12" t="inlineStr">
        <is>
          <t>Medium</t>
        </is>
      </c>
      <c r="E56" s="4" t="inlineStr">
        <is>
          <t>Two Pointers</t>
        </is>
      </c>
      <c r="F56" s="4" t="inlineStr">
        <is>
          <t>Sort + two pointers</t>
        </is>
      </c>
      <c r="G56" s="4" t="inlineStr">
        <is>
          <t>Arrays &amp; Strings</t>
        </is>
      </c>
      <c r="H56" s="4" t="inlineStr">
        <is>
          <t>array, two-pointers, binary-search, sorting</t>
        </is>
      </c>
      <c r="I56" s="4" t="inlineStr">
        <is>
          <t>Ac</t>
        </is>
      </c>
      <c r="J56" s="11" t="n">
        <v>45253.32488425926</v>
      </c>
      <c r="K56" s="11" t="n">
        <v>45253.32488425926</v>
      </c>
      <c r="L56" s="11" t="n">
        <v>45253.3334375</v>
      </c>
      <c r="M56" s="4" t="n">
        <v>3</v>
      </c>
      <c r="N56" s="4" t="n">
        <v>2</v>
      </c>
      <c r="O56" s="4" t="n">
        <v>0</v>
      </c>
      <c r="P56" s="4">
        <f>IF(AND(N56&gt;0,O56=0),"Yes","No")</f>
        <v/>
      </c>
      <c r="Q56" s="4" t="n">
        <v>0</v>
      </c>
      <c r="R56" s="4" t="n">
        <v>0</v>
      </c>
      <c r="S56" s="4" t="n">
        <v>0</v>
      </c>
      <c r="T56" s="4" t="inlineStr">
        <is>
          <t>Python3</t>
        </is>
      </c>
      <c r="U56" s="4" t="n">
        <v>13.1</v>
      </c>
      <c r="V56" s="9" t="inlineStr">
        <is>
          <t>Submission 1104557842</t>
        </is>
      </c>
      <c r="W56" s="9" t="inlineStr">
        <is>
          <t>Open code</t>
        </is>
      </c>
      <c r="X56" s="4" t="n">
        <v>0</v>
      </c>
      <c r="Y56" s="4" t="inlineStr">
        <is>
          <t>2023-11</t>
        </is>
      </c>
      <c r="Z56" s="14" t="n"/>
    </row>
    <row r="57">
      <c r="A57" s="4" t="n">
        <v>56</v>
      </c>
      <c r="B57" s="4" t="n">
        <v>1762</v>
      </c>
      <c r="C57" s="9" t="inlineStr">
        <is>
          <t>Buildings With an Ocean View</t>
        </is>
      </c>
      <c r="D57" s="12" t="inlineStr">
        <is>
          <t>Medium</t>
        </is>
      </c>
      <c r="E57" s="4" t="inlineStr">
        <is>
          <t>Monotonic Stack / Deque</t>
        </is>
      </c>
      <c r="F57" s="4" t="inlineStr">
        <is>
          <t>Right-to-left max</t>
        </is>
      </c>
      <c r="G57" s="4" t="inlineStr">
        <is>
          <t>Stacks &amp; Queues</t>
        </is>
      </c>
      <c r="H57" s="4" t="inlineStr">
        <is>
          <t>array, stack, monotonic-stack</t>
        </is>
      </c>
      <c r="I57" s="4" t="inlineStr">
        <is>
          <t>Ac</t>
        </is>
      </c>
      <c r="J57" s="11" t="n">
        <v>45253.84315972222</v>
      </c>
      <c r="K57" s="11" t="n">
        <v>45253.84315972222</v>
      </c>
      <c r="L57" s="11" t="n">
        <v>45264.45473379629</v>
      </c>
      <c r="M57" s="4" t="n">
        <v>4</v>
      </c>
      <c r="N57" s="4" t="n">
        <v>3</v>
      </c>
      <c r="O57" s="4" t="n">
        <v>0</v>
      </c>
      <c r="P57" s="4">
        <f>IF(AND(N57&gt;0,O57=0),"Yes","No")</f>
        <v/>
      </c>
      <c r="Q57" s="4" t="n">
        <v>0</v>
      </c>
      <c r="R57" s="4" t="n">
        <v>0</v>
      </c>
      <c r="S57" s="4" t="n">
        <v>0</v>
      </c>
      <c r="T57" s="4" t="inlineStr">
        <is>
          <t>Python3</t>
        </is>
      </c>
      <c r="U57" s="4" t="n">
        <v>5</v>
      </c>
      <c r="V57" s="9" t="inlineStr">
        <is>
          <t>Submission 1111935541</t>
        </is>
      </c>
      <c r="W57" s="9" t="inlineStr">
        <is>
          <t>Open code</t>
        </is>
      </c>
      <c r="X57" s="4" t="n">
        <v>0</v>
      </c>
      <c r="Y57" s="4" t="inlineStr">
        <is>
          <t>2023-11</t>
        </is>
      </c>
      <c r="Z57" s="14" t="n"/>
    </row>
    <row r="58">
      <c r="A58" s="4" t="n">
        <v>57</v>
      </c>
      <c r="B58" s="4" t="n">
        <v>523</v>
      </c>
      <c r="C58" s="9" t="inlineStr">
        <is>
          <t>Continuous Subarray Sum</t>
        </is>
      </c>
      <c r="D58" s="12" t="inlineStr">
        <is>
          <t>Medium</t>
        </is>
      </c>
      <c r="E58" s="4" t="inlineStr">
        <is>
          <t>Prefix Sum &amp; Difference Array</t>
        </is>
      </c>
      <c r="F58" s="4" t="inlineStr">
        <is>
          <t>Prefix mod + hash map</t>
        </is>
      </c>
      <c r="G58" s="4" t="inlineStr">
        <is>
          <t>Arrays &amp; Strings</t>
        </is>
      </c>
      <c r="H58" s="4" t="inlineStr">
        <is>
          <t>array, hash-table, math, prefix-sum, pigeonhole-principle</t>
        </is>
      </c>
      <c r="I58" s="4" t="inlineStr">
        <is>
          <t>Ac</t>
        </is>
      </c>
      <c r="J58" s="11" t="n">
        <v>45254.34297453704</v>
      </c>
      <c r="K58" s="11" t="n">
        <v>45254.34297453704</v>
      </c>
      <c r="L58" s="11" t="n">
        <v>45326.43288194444</v>
      </c>
      <c r="M58" s="4" t="n">
        <v>11</v>
      </c>
      <c r="N58" s="4" t="n">
        <v>3</v>
      </c>
      <c r="O58" s="4" t="n">
        <v>0</v>
      </c>
      <c r="P58" s="4">
        <f>IF(AND(N58&gt;0,O58=0),"Yes","No")</f>
        <v/>
      </c>
      <c r="Q58" s="4" t="n">
        <v>0</v>
      </c>
      <c r="R58" s="4" t="n">
        <v>0</v>
      </c>
      <c r="S58" s="4" t="n">
        <v>0</v>
      </c>
      <c r="T58" s="4" t="inlineStr">
        <is>
          <t>Python3</t>
        </is>
      </c>
      <c r="U58" s="4" t="n">
        <v>5.2</v>
      </c>
      <c r="V58" s="9" t="inlineStr">
        <is>
          <t>Submission 1158721195</t>
        </is>
      </c>
      <c r="W58" s="9" t="inlineStr">
        <is>
          <t>Open code</t>
        </is>
      </c>
      <c r="X58" s="4" t="n">
        <v>0</v>
      </c>
      <c r="Y58" s="4" t="inlineStr">
        <is>
          <t>2023-11</t>
        </is>
      </c>
      <c r="Z58" s="14" t="n"/>
    </row>
    <row r="59">
      <c r="A59" s="4" t="n">
        <v>58</v>
      </c>
      <c r="B59" s="4" t="n">
        <v>348</v>
      </c>
      <c r="C59" s="9" t="inlineStr">
        <is>
          <t>Design Tic-Tac-Toe</t>
        </is>
      </c>
      <c r="D59" s="12" t="inlineStr">
        <is>
          <t>Medium</t>
        </is>
      </c>
      <c r="E59" s="4" t="inlineStr">
        <is>
          <t>Design</t>
        </is>
      </c>
      <c r="F59" s="4" t="inlineStr">
        <is>
          <t>Row/column counters</t>
        </is>
      </c>
      <c r="G59" s="4" t="inlineStr">
        <is>
          <t>Design</t>
        </is>
      </c>
      <c r="H59" s="4" t="inlineStr">
        <is>
          <t>array, hash-table, design, matrix, simulation</t>
        </is>
      </c>
      <c r="I59" s="4" t="inlineStr">
        <is>
          <t>Ac</t>
        </is>
      </c>
      <c r="J59" s="11" t="n">
        <v>45254.83711805556</v>
      </c>
      <c r="K59" s="11" t="n">
        <v>45254.83741898148</v>
      </c>
      <c r="L59" s="11" t="n">
        <v>45285.12721064815</v>
      </c>
      <c r="M59" s="4" t="n">
        <v>7</v>
      </c>
      <c r="N59" s="4" t="n">
        <v>4</v>
      </c>
      <c r="O59" s="4" t="n">
        <v>1</v>
      </c>
      <c r="P59" s="4">
        <f>IF(AND(N59&gt;0,O59=0),"Yes","No")</f>
        <v/>
      </c>
      <c r="Q59" s="4" t="n">
        <v>0</v>
      </c>
      <c r="R59" s="4" t="n">
        <v>0</v>
      </c>
      <c r="S59" s="4" t="n">
        <v>1</v>
      </c>
      <c r="T59" s="4" t="inlineStr">
        <is>
          <t>Python, Python3</t>
        </is>
      </c>
      <c r="U59" s="4" t="n">
        <v>96.59999999999999</v>
      </c>
      <c r="V59" s="9" t="inlineStr">
        <is>
          <t>Submission 1127706827</t>
        </is>
      </c>
      <c r="W59" s="9" t="inlineStr">
        <is>
          <t>Open code</t>
        </is>
      </c>
      <c r="X59" s="4" t="n">
        <v>0</v>
      </c>
      <c r="Y59" s="4" t="inlineStr">
        <is>
          <t>2023-11</t>
        </is>
      </c>
      <c r="Z59" s="14" t="n"/>
    </row>
    <row r="60">
      <c r="A60" s="4" t="n">
        <v>59</v>
      </c>
      <c r="B60" s="4" t="n">
        <v>398</v>
      </c>
      <c r="C60" s="9" t="inlineStr">
        <is>
          <t>Random Pick Index</t>
        </is>
      </c>
      <c r="D60" s="12" t="inlineStr">
        <is>
          <t>Medium</t>
        </is>
      </c>
      <c r="E60" s="4" t="inlineStr">
        <is>
          <t>Math &amp; Bit Manipulation</t>
        </is>
      </c>
      <c r="F60" s="4" t="inlineStr">
        <is>
          <t>Reservoir sampling</t>
        </is>
      </c>
      <c r="G60" s="4" t="inlineStr">
        <is>
          <t>Arrays &amp; Strings</t>
        </is>
      </c>
      <c r="H60" s="4" t="inlineStr">
        <is>
          <t>hash-table, math, reservoir-sampling, randomized</t>
        </is>
      </c>
      <c r="I60" s="4" t="inlineStr">
        <is>
          <t>Notac</t>
        </is>
      </c>
      <c r="J60" s="11" t="n">
        <v>45255.19913194444</v>
      </c>
      <c r="K60" s="11" t="n"/>
      <c r="L60" s="11" t="n">
        <v>45293.05766203703</v>
      </c>
      <c r="M60" s="4" t="n">
        <v>6</v>
      </c>
      <c r="N60" s="4" t="n">
        <v>0</v>
      </c>
      <c r="O60" s="4" t="n">
        <v>6</v>
      </c>
      <c r="P60" s="4">
        <f>IF(AND(N60&gt;0,O60=0),"Yes","No")</f>
        <v/>
      </c>
      <c r="Q60" s="4" t="n">
        <v>0</v>
      </c>
      <c r="R60" s="4" t="n">
        <v>4</v>
      </c>
      <c r="S60" s="4" t="n">
        <v>2</v>
      </c>
      <c r="T60" s="4" t="inlineStr">
        <is>
          <t>Python3</t>
        </is>
      </c>
      <c r="U60" s="4" t="n"/>
      <c r="V60" s="4" t="n"/>
      <c r="W60" s="9" t="inlineStr">
        <is>
          <t>Open code</t>
        </is>
      </c>
      <c r="X60" s="4" t="n">
        <v>0</v>
      </c>
      <c r="Y60" s="4" t="inlineStr"/>
      <c r="Z60" s="14" t="n"/>
    </row>
    <row r="61">
      <c r="A61" s="4" t="n">
        <v>60</v>
      </c>
      <c r="B61" s="4" t="n">
        <v>317</v>
      </c>
      <c r="C61" s="9" t="inlineStr">
        <is>
          <t>Shortest Distance from All Buildings</t>
        </is>
      </c>
      <c r="D61" s="13" t="inlineStr">
        <is>
          <t>Hard</t>
        </is>
      </c>
      <c r="E61" s="4" t="inlineStr">
        <is>
          <t>Graph: Grid BFS/DFS</t>
        </is>
      </c>
      <c r="F61" s="4" t="inlineStr">
        <is>
          <t>BFS from each building</t>
        </is>
      </c>
      <c r="G61" s="4" t="inlineStr">
        <is>
          <t>Graphs</t>
        </is>
      </c>
      <c r="H61" s="4" t="inlineStr">
        <is>
          <t>array, breadth-first-search, matrix</t>
        </is>
      </c>
      <c r="I61" s="4" t="inlineStr">
        <is>
          <t>Ac</t>
        </is>
      </c>
      <c r="J61" s="11" t="n">
        <v>45256.90945601852</v>
      </c>
      <c r="K61" s="11" t="n">
        <v>45256.955625</v>
      </c>
      <c r="L61" s="11" t="n">
        <v>45263.19768518519</v>
      </c>
      <c r="M61" s="4" t="n">
        <v>11</v>
      </c>
      <c r="N61" s="4" t="n">
        <v>5</v>
      </c>
      <c r="O61" s="4" t="n">
        <v>2</v>
      </c>
      <c r="P61" s="4">
        <f>IF(AND(N61&gt;0,O61=0),"Yes","No")</f>
        <v/>
      </c>
      <c r="Q61" s="4" t="n">
        <v>0</v>
      </c>
      <c r="R61" s="4" t="n">
        <v>1</v>
      </c>
      <c r="S61" s="4" t="n">
        <v>1</v>
      </c>
      <c r="T61" s="4" t="inlineStr">
        <is>
          <t>Python3</t>
        </is>
      </c>
      <c r="U61" s="4" t="n">
        <v>28.1</v>
      </c>
      <c r="V61" s="9" t="inlineStr">
        <is>
          <t>Submission 1111111437</t>
        </is>
      </c>
      <c r="W61" s="9" t="inlineStr">
        <is>
          <t>Open code</t>
        </is>
      </c>
      <c r="X61" s="4" t="n">
        <v>0</v>
      </c>
      <c r="Y61" s="4" t="inlineStr">
        <is>
          <t>2023-11</t>
        </is>
      </c>
      <c r="Z61" s="14" t="n"/>
    </row>
    <row r="62">
      <c r="A62" s="4" t="n">
        <v>61</v>
      </c>
      <c r="B62" s="4" t="n">
        <v>498</v>
      </c>
      <c r="C62" s="9" t="inlineStr">
        <is>
          <t>Diagonal Traverse</t>
        </is>
      </c>
      <c r="D62" s="12" t="inlineStr">
        <is>
          <t>Medium</t>
        </is>
      </c>
      <c r="E62" s="4" t="inlineStr">
        <is>
          <t>Strings &amp; Simulation</t>
        </is>
      </c>
      <c r="F62" s="4" t="inlineStr">
        <is>
          <t>Matrix simulation</t>
        </is>
      </c>
      <c r="G62" s="4" t="inlineStr">
        <is>
          <t>Arrays &amp; Strings</t>
        </is>
      </c>
      <c r="H62" s="4" t="inlineStr">
        <is>
          <t>array, matrix, simulation</t>
        </is>
      </c>
      <c r="I62" s="4" t="inlineStr">
        <is>
          <t>Ac</t>
        </is>
      </c>
      <c r="J62" s="11" t="n">
        <v>45256.96372685185</v>
      </c>
      <c r="K62" s="11" t="n">
        <v>45256.96372685185</v>
      </c>
      <c r="L62" s="11" t="n">
        <v>45265.10082175926</v>
      </c>
      <c r="M62" s="4" t="n">
        <v>3</v>
      </c>
      <c r="N62" s="4" t="n">
        <v>3</v>
      </c>
      <c r="O62" s="4" t="n">
        <v>0</v>
      </c>
      <c r="P62" s="4">
        <f>IF(AND(N62&gt;0,O62=0),"Yes","No")</f>
        <v/>
      </c>
      <c r="Q62" s="4" t="n">
        <v>0</v>
      </c>
      <c r="R62" s="4" t="n">
        <v>0</v>
      </c>
      <c r="S62" s="4" t="n">
        <v>0</v>
      </c>
      <c r="T62" s="4" t="inlineStr">
        <is>
          <t>Python3</t>
        </is>
      </c>
      <c r="U62" s="4" t="n">
        <v>8.4</v>
      </c>
      <c r="V62" s="9" t="inlineStr">
        <is>
          <t>Submission 1112438365</t>
        </is>
      </c>
      <c r="W62" s="9" t="inlineStr">
        <is>
          <t>Open code</t>
        </is>
      </c>
      <c r="X62" s="4" t="n">
        <v>0</v>
      </c>
      <c r="Y62" s="4" t="inlineStr">
        <is>
          <t>2023-11</t>
        </is>
      </c>
      <c r="Z62" s="14" t="n"/>
    </row>
    <row r="63">
      <c r="A63" s="4" t="n">
        <v>62</v>
      </c>
      <c r="B63" s="4" t="n">
        <v>953</v>
      </c>
      <c r="C63" s="9" t="inlineStr">
        <is>
          <t>Verifying an Alien Dictionary</t>
        </is>
      </c>
      <c r="D63" s="10" t="inlineStr">
        <is>
          <t>Easy</t>
        </is>
      </c>
      <c r="E63" s="4" t="inlineStr">
        <is>
          <t>Arrays, Hashing &amp; Sorting</t>
        </is>
      </c>
      <c r="F63" s="4" t="inlineStr">
        <is>
          <t>Rank map compare</t>
        </is>
      </c>
      <c r="G63" s="4" t="inlineStr">
        <is>
          <t>Arrays &amp; Strings</t>
        </is>
      </c>
      <c r="H63" s="4" t="inlineStr">
        <is>
          <t>array, hash-table, string</t>
        </is>
      </c>
      <c r="I63" s="4" t="inlineStr">
        <is>
          <t>Ac</t>
        </is>
      </c>
      <c r="J63" s="11" t="n">
        <v>45257.42947916667</v>
      </c>
      <c r="K63" s="11" t="n">
        <v>45257.43729166667</v>
      </c>
      <c r="L63" s="11" t="n">
        <v>45317.0894675926</v>
      </c>
      <c r="M63" s="4" t="n">
        <v>11</v>
      </c>
      <c r="N63" s="4" t="n">
        <v>2</v>
      </c>
      <c r="O63" s="4" t="n">
        <v>9</v>
      </c>
      <c r="P63" s="4">
        <f>IF(AND(N63&gt;0,O63=0),"Yes","No")</f>
        <v/>
      </c>
      <c r="Q63" s="4" t="n">
        <v>9</v>
      </c>
      <c r="R63" s="4" t="n">
        <v>0</v>
      </c>
      <c r="S63" s="4" t="n">
        <v>0</v>
      </c>
      <c r="T63" s="4" t="inlineStr">
        <is>
          <t>Python3</t>
        </is>
      </c>
      <c r="U63" s="4" t="n">
        <v>1.2</v>
      </c>
      <c r="V63" s="9" t="inlineStr">
        <is>
          <t>Submission 1156830185</t>
        </is>
      </c>
      <c r="W63" s="9" t="inlineStr">
        <is>
          <t>Open code</t>
        </is>
      </c>
      <c r="X63" s="4" t="n">
        <v>0</v>
      </c>
      <c r="Y63" s="4" t="inlineStr">
        <is>
          <t>2023-11</t>
        </is>
      </c>
      <c r="Z63" s="14" t="n"/>
    </row>
    <row r="64">
      <c r="A64" s="4" t="n">
        <v>63</v>
      </c>
      <c r="B64" s="4" t="n">
        <v>1891</v>
      </c>
      <c r="C64" s="9" t="inlineStr">
        <is>
          <t>Cutting Ribbons</t>
        </is>
      </c>
      <c r="D64" s="12" t="inlineStr">
        <is>
          <t>Medium</t>
        </is>
      </c>
      <c r="E64" s="4" t="inlineStr">
        <is>
          <t>Binary Search on Answer</t>
        </is>
      </c>
      <c r="F64" s="4" t="inlineStr">
        <is>
          <t>Maximise length</t>
        </is>
      </c>
      <c r="G64" s="4" t="inlineStr">
        <is>
          <t>Searching</t>
        </is>
      </c>
      <c r="H64" s="4" t="inlineStr">
        <is>
          <t>array, binary-search</t>
        </is>
      </c>
      <c r="I64" s="4" t="inlineStr">
        <is>
          <t>Ac</t>
        </is>
      </c>
      <c r="J64" s="11" t="n">
        <v>45257.89290509259</v>
      </c>
      <c r="K64" s="11" t="n">
        <v>45257.90355324074</v>
      </c>
      <c r="L64" s="11" t="n">
        <v>45332.96224537037</v>
      </c>
      <c r="M64" s="4" t="n">
        <v>9</v>
      </c>
      <c r="N64" s="4" t="n">
        <v>1</v>
      </c>
      <c r="O64" s="4" t="n">
        <v>6</v>
      </c>
      <c r="P64" s="4">
        <f>IF(AND(N64&gt;0,O64=0),"Yes","No")</f>
        <v/>
      </c>
      <c r="Q64" s="4" t="n">
        <v>6</v>
      </c>
      <c r="R64" s="4" t="n">
        <v>0</v>
      </c>
      <c r="S64" s="4" t="n">
        <v>0</v>
      </c>
      <c r="T64" s="4" t="inlineStr">
        <is>
          <t>Python3</t>
        </is>
      </c>
      <c r="U64" s="4" t="n">
        <v>5.3</v>
      </c>
      <c r="V64" s="9" t="inlineStr">
        <is>
          <t>Submission 1107532903</t>
        </is>
      </c>
      <c r="W64" s="9" t="inlineStr">
        <is>
          <t>Open code</t>
        </is>
      </c>
      <c r="X64" s="4" t="n">
        <v>0</v>
      </c>
      <c r="Y64" s="4" t="inlineStr">
        <is>
          <t>2023-11</t>
        </is>
      </c>
      <c r="Z64" s="14" t="n"/>
    </row>
    <row r="65">
      <c r="A65" s="4" t="n">
        <v>64</v>
      </c>
      <c r="B65" s="4" t="n">
        <v>1541</v>
      </c>
      <c r="C65" s="9" t="inlineStr">
        <is>
          <t>Minimum Insertions to Balance a Parentheses String</t>
        </is>
      </c>
      <c r="D65" s="12" t="inlineStr">
        <is>
          <t>Medium</t>
        </is>
      </c>
      <c r="E65" s="4" t="inlineStr">
        <is>
          <t>Greedy</t>
        </is>
      </c>
      <c r="F65" s="4" t="inlineStr">
        <is>
          <t>Balance counter</t>
        </is>
      </c>
      <c r="G65" s="4" t="inlineStr">
        <is>
          <t>Greedy</t>
        </is>
      </c>
      <c r="H65" s="4" t="inlineStr">
        <is>
          <t>string, stack, greedy, bracket-sequences</t>
        </is>
      </c>
      <c r="I65" s="4" t="inlineStr">
        <is>
          <t>Ac</t>
        </is>
      </c>
      <c r="J65" s="11" t="n">
        <v>45258.27959490741</v>
      </c>
      <c r="K65" s="11" t="n">
        <v>45258.27959490741</v>
      </c>
      <c r="L65" s="11" t="n">
        <v>45258.27959490741</v>
      </c>
      <c r="M65" s="4" t="n">
        <v>1</v>
      </c>
      <c r="N65" s="4" t="n">
        <v>1</v>
      </c>
      <c r="O65" s="4" t="n">
        <v>0</v>
      </c>
      <c r="P65" s="4">
        <f>IF(AND(N65&gt;0,O65=0),"Yes","No")</f>
        <v/>
      </c>
      <c r="Q65" s="4" t="n">
        <v>0</v>
      </c>
      <c r="R65" s="4" t="n">
        <v>0</v>
      </c>
      <c r="S65" s="4" t="n">
        <v>0</v>
      </c>
      <c r="T65" s="4" t="inlineStr">
        <is>
          <t>Python3</t>
        </is>
      </c>
      <c r="U65" s="4" t="n">
        <v>5.1</v>
      </c>
      <c r="V65" s="9" t="inlineStr">
        <is>
          <t>Submission 1107805104</t>
        </is>
      </c>
      <c r="W65" s="9" t="inlineStr">
        <is>
          <t>Open code</t>
        </is>
      </c>
      <c r="X65" s="4" t="n">
        <v>0</v>
      </c>
      <c r="Y65" s="4" t="inlineStr">
        <is>
          <t>2023-11</t>
        </is>
      </c>
      <c r="Z65" s="14" t="n"/>
    </row>
    <row r="66">
      <c r="A66" s="4" t="n">
        <v>65</v>
      </c>
      <c r="B66" s="4" t="n">
        <v>1216</v>
      </c>
      <c r="C66" s="9" t="inlineStr">
        <is>
          <t>Valid Palindrome III</t>
        </is>
      </c>
      <c r="D66" s="13" t="inlineStr">
        <is>
          <t>Hard</t>
        </is>
      </c>
      <c r="E66" s="4" t="inlineStr">
        <is>
          <t>DP: Strings (LCS, Edit, Matching)</t>
        </is>
      </c>
      <c r="F66" s="4" t="inlineStr">
        <is>
          <t>Via longest palindromic subsequence</t>
        </is>
      </c>
      <c r="G66" s="4" t="inlineStr">
        <is>
          <t>Dynamic Programming</t>
        </is>
      </c>
      <c r="H66" s="4" t="inlineStr">
        <is>
          <t>string, dynamic-programming</t>
        </is>
      </c>
      <c r="I66" s="4" t="inlineStr">
        <is>
          <t>Ac</t>
        </is>
      </c>
      <c r="J66" s="11" t="n">
        <v>45258.31006944444</v>
      </c>
      <c r="K66" s="11" t="n">
        <v>45258.34438657408</v>
      </c>
      <c r="L66" s="11" t="n">
        <v>45296.49954861111</v>
      </c>
      <c r="M66" s="4" t="n">
        <v>11</v>
      </c>
      <c r="N66" s="4" t="n">
        <v>2</v>
      </c>
      <c r="O66" s="4" t="n">
        <v>7</v>
      </c>
      <c r="P66" s="4">
        <f>IF(AND(N66&gt;0,O66=0),"Yes","No")</f>
        <v/>
      </c>
      <c r="Q66" s="4" t="n">
        <v>5</v>
      </c>
      <c r="R66" s="4" t="n">
        <v>1</v>
      </c>
      <c r="S66" s="4" t="n">
        <v>1</v>
      </c>
      <c r="T66" s="4" t="inlineStr">
        <is>
          <t>Python3</t>
        </is>
      </c>
      <c r="U66" s="4" t="n">
        <v>36.3</v>
      </c>
      <c r="V66" s="9" t="inlineStr">
        <is>
          <t>Submission 1112482609</t>
        </is>
      </c>
      <c r="W66" s="9" t="inlineStr">
        <is>
          <t>Open code</t>
        </is>
      </c>
      <c r="X66" s="4" t="n">
        <v>0</v>
      </c>
      <c r="Y66" s="4" t="inlineStr">
        <is>
          <t>2023-11</t>
        </is>
      </c>
      <c r="Z66" s="14" t="n"/>
    </row>
    <row r="67">
      <c r="A67" s="4" t="n">
        <v>66</v>
      </c>
      <c r="B67" s="4" t="n">
        <v>304</v>
      </c>
      <c r="C67" s="9" t="inlineStr">
        <is>
          <t>Range Sum Query 2D - Immutable</t>
        </is>
      </c>
      <c r="D67" s="12" t="inlineStr">
        <is>
          <t>Medium</t>
        </is>
      </c>
      <c r="E67" s="4" t="inlineStr">
        <is>
          <t>Prefix Sum &amp; Difference Array</t>
        </is>
      </c>
      <c r="F67" s="4" t="inlineStr">
        <is>
          <t>2D prefix sum</t>
        </is>
      </c>
      <c r="G67" s="4" t="inlineStr">
        <is>
          <t>Arrays &amp; Strings</t>
        </is>
      </c>
      <c r="H67" s="4" t="inlineStr">
        <is>
          <t>array, design, matrix, prefix-sum</t>
        </is>
      </c>
      <c r="I67" s="4" t="inlineStr">
        <is>
          <t>Ac</t>
        </is>
      </c>
      <c r="J67" s="11" t="n">
        <v>45260.02269675926</v>
      </c>
      <c r="K67" s="11" t="n"/>
      <c r="L67" s="11" t="n">
        <v>45260.02269675926</v>
      </c>
      <c r="M67" s="4" t="n">
        <v>1</v>
      </c>
      <c r="N67" s="4" t="n">
        <v>0</v>
      </c>
      <c r="O67" s="4" t="n">
        <v>1</v>
      </c>
      <c r="P67" s="4">
        <f>IF(AND(N67&gt;0,O67=0),"Yes","No")</f>
        <v/>
      </c>
      <c r="Q67" s="4" t="n">
        <v>1</v>
      </c>
      <c r="R67" s="4" t="n">
        <v>0</v>
      </c>
      <c r="S67" s="4" t="n">
        <v>0</v>
      </c>
      <c r="T67" s="4" t="inlineStr">
        <is>
          <t>Python3</t>
        </is>
      </c>
      <c r="U67" s="4" t="n"/>
      <c r="V67" s="4" t="n"/>
      <c r="W67" s="9" t="inlineStr">
        <is>
          <t>Open code</t>
        </is>
      </c>
      <c r="X67" s="4" t="n">
        <v>0</v>
      </c>
      <c r="Y67" s="4" t="inlineStr"/>
      <c r="Z67" s="14" t="n"/>
    </row>
    <row r="68">
      <c r="A68" s="4" t="n">
        <v>67</v>
      </c>
      <c r="B68" s="4" t="n">
        <v>295</v>
      </c>
      <c r="C68" s="9" t="inlineStr">
        <is>
          <t>Find Median from Data Stream</t>
        </is>
      </c>
      <c r="D68" s="13" t="inlineStr">
        <is>
          <t>Hard</t>
        </is>
      </c>
      <c r="E68" s="4" t="inlineStr">
        <is>
          <t>Heap / Top-K</t>
        </is>
      </c>
      <c r="F68" s="4" t="inlineStr">
        <is>
          <t>Two heaps</t>
        </is>
      </c>
      <c r="G68" s="4" t="inlineStr">
        <is>
          <t>Heaps &amp; Intervals</t>
        </is>
      </c>
      <c r="H68" s="4" t="inlineStr">
        <is>
          <t>two-pointers, design, sorting, heap-priority-queue, data-stream</t>
        </is>
      </c>
      <c r="I68" s="4" t="inlineStr">
        <is>
          <t>Ac</t>
        </is>
      </c>
      <c r="J68" s="11" t="n">
        <v>45260.23692129629</v>
      </c>
      <c r="K68" s="11" t="n">
        <v>45260.23692129629</v>
      </c>
      <c r="L68" s="11" t="n">
        <v>45333.33761574074</v>
      </c>
      <c r="M68" s="4" t="n">
        <v>4</v>
      </c>
      <c r="N68" s="4" t="n">
        <v>4</v>
      </c>
      <c r="O68" s="4" t="n">
        <v>0</v>
      </c>
      <c r="P68" s="4">
        <f>IF(AND(N68&gt;0,O68=0),"Yes","No")</f>
        <v/>
      </c>
      <c r="Q68" s="4" t="n">
        <v>0</v>
      </c>
      <c r="R68" s="4" t="n">
        <v>0</v>
      </c>
      <c r="S68" s="4" t="n">
        <v>0</v>
      </c>
      <c r="T68" s="4" t="inlineStr">
        <is>
          <t>Python3</t>
        </is>
      </c>
      <c r="U68" s="4" t="n">
        <v>11.8</v>
      </c>
      <c r="V68" s="9" t="inlineStr">
        <is>
          <t>Submission 1171872574</t>
        </is>
      </c>
      <c r="W68" s="9" t="inlineStr">
        <is>
          <t>Open code</t>
        </is>
      </c>
      <c r="X68" s="4" t="n">
        <v>0</v>
      </c>
      <c r="Y68" s="4" t="inlineStr">
        <is>
          <t>2023-11</t>
        </is>
      </c>
      <c r="Z68" s="14" t="n"/>
    </row>
    <row r="69">
      <c r="A69" s="4" t="n">
        <v>68</v>
      </c>
      <c r="B69" s="4" t="n">
        <v>1186</v>
      </c>
      <c r="C69" s="9" t="inlineStr">
        <is>
          <t>Maximum Subarray Sum with One Deletion</t>
        </is>
      </c>
      <c r="D69" s="12" t="inlineStr">
        <is>
          <t>Medium</t>
        </is>
      </c>
      <c r="E69" s="4" t="inlineStr">
        <is>
          <t>DP: 1D / Linear</t>
        </is>
      </c>
      <c r="F69" s="4" t="inlineStr">
        <is>
          <t>Kadane with state</t>
        </is>
      </c>
      <c r="G69" s="4" t="inlineStr">
        <is>
          <t>Dynamic Programming</t>
        </is>
      </c>
      <c r="H69" s="4" t="inlineStr">
        <is>
          <t>array, dynamic-programming</t>
        </is>
      </c>
      <c r="I69" s="4" t="inlineStr">
        <is>
          <t>Ac</t>
        </is>
      </c>
      <c r="J69" s="11" t="n">
        <v>45260.44643518519</v>
      </c>
      <c r="K69" s="11" t="n">
        <v>45260.44672453704</v>
      </c>
      <c r="L69" s="11" t="n">
        <v>45332.94878472222</v>
      </c>
      <c r="M69" s="4" t="n">
        <v>6</v>
      </c>
      <c r="N69" s="4" t="n">
        <v>4</v>
      </c>
      <c r="O69" s="4" t="n">
        <v>1</v>
      </c>
      <c r="P69" s="4">
        <f>IF(AND(N69&gt;0,O69=0),"Yes","No")</f>
        <v/>
      </c>
      <c r="Q69" s="4" t="n">
        <v>0</v>
      </c>
      <c r="R69" s="4" t="n">
        <v>0</v>
      </c>
      <c r="S69" s="4" t="n">
        <v>1</v>
      </c>
      <c r="T69" s="4" t="inlineStr">
        <is>
          <t>Python3</t>
        </is>
      </c>
      <c r="U69" s="4" t="n">
        <v>5</v>
      </c>
      <c r="V69" s="9" t="inlineStr">
        <is>
          <t>Submission 1171581598</t>
        </is>
      </c>
      <c r="W69" s="9" t="inlineStr">
        <is>
          <t>Open code</t>
        </is>
      </c>
      <c r="X69" s="4" t="n">
        <v>0</v>
      </c>
      <c r="Y69" s="4" t="inlineStr">
        <is>
          <t>2023-11</t>
        </is>
      </c>
      <c r="Z69" s="14" t="n"/>
    </row>
    <row r="70">
      <c r="A70" s="4" t="n">
        <v>69</v>
      </c>
      <c r="B70" s="4" t="n">
        <v>1570</v>
      </c>
      <c r="C70" s="9" t="inlineStr">
        <is>
          <t>Dot Product of Two Sparse Vectors</t>
        </is>
      </c>
      <c r="D70" s="12" t="inlineStr">
        <is>
          <t>Medium</t>
        </is>
      </c>
      <c r="E70" s="4" t="inlineStr">
        <is>
          <t>Design</t>
        </is>
      </c>
      <c r="F70" s="4" t="inlineStr">
        <is>
          <t>Sparse map</t>
        </is>
      </c>
      <c r="G70" s="4" t="inlineStr">
        <is>
          <t>Design</t>
        </is>
      </c>
      <c r="H70" s="4" t="inlineStr">
        <is>
          <t>array, hash-table, two-pointers, design, linear-algebra</t>
        </is>
      </c>
      <c r="I70" s="4" t="inlineStr">
        <is>
          <t>Ac</t>
        </is>
      </c>
      <c r="J70" s="11" t="n">
        <v>45261.14637731481</v>
      </c>
      <c r="K70" s="11" t="n">
        <v>45261.14918981482</v>
      </c>
      <c r="L70" s="11" t="n">
        <v>45261.14918981482</v>
      </c>
      <c r="M70" s="4" t="n">
        <v>2</v>
      </c>
      <c r="N70" s="4" t="n">
        <v>1</v>
      </c>
      <c r="O70" s="4" t="n">
        <v>1</v>
      </c>
      <c r="P70" s="4">
        <f>IF(AND(N70&gt;0,O70=0),"Yes","No")</f>
        <v/>
      </c>
      <c r="Q70" s="4" t="n">
        <v>0</v>
      </c>
      <c r="R70" s="4" t="n">
        <v>0</v>
      </c>
      <c r="S70" s="4" t="n">
        <v>1</v>
      </c>
      <c r="T70" s="4" t="inlineStr">
        <is>
          <t>Python3</t>
        </is>
      </c>
      <c r="U70" s="4" t="n">
        <v>5.1</v>
      </c>
      <c r="V70" s="9" t="inlineStr">
        <is>
          <t>Submission 1109825198</t>
        </is>
      </c>
      <c r="W70" s="9" t="inlineStr">
        <is>
          <t>Open code</t>
        </is>
      </c>
      <c r="X70" s="4" t="n">
        <v>0</v>
      </c>
      <c r="Y70" s="4" t="inlineStr">
        <is>
          <t>2023-12</t>
        </is>
      </c>
      <c r="Z70" s="14" t="n"/>
    </row>
    <row r="71">
      <c r="A71" s="4" t="n">
        <v>70</v>
      </c>
      <c r="B71" s="4" t="n">
        <v>249</v>
      </c>
      <c r="C71" s="9" t="inlineStr">
        <is>
          <t>Group Shifted Strings</t>
        </is>
      </c>
      <c r="D71" s="12" t="inlineStr">
        <is>
          <t>Medium</t>
        </is>
      </c>
      <c r="E71" s="4" t="inlineStr">
        <is>
          <t>Arrays, Hashing &amp; Sorting</t>
        </is>
      </c>
      <c r="F71" s="4" t="inlineStr">
        <is>
          <t>Canonical key</t>
        </is>
      </c>
      <c r="G71" s="4" t="inlineStr">
        <is>
          <t>Arrays &amp; Strings</t>
        </is>
      </c>
      <c r="H71" s="4" t="inlineStr">
        <is>
          <t>array, hash-table, string</t>
        </is>
      </c>
      <c r="I71" s="4" t="inlineStr">
        <is>
          <t>Ac</t>
        </is>
      </c>
      <c r="J71" s="11" t="n">
        <v>45261.40141203703</v>
      </c>
      <c r="K71" s="11" t="n">
        <v>45261.40141203703</v>
      </c>
      <c r="L71" s="11" t="n">
        <v>45264.87502314815</v>
      </c>
      <c r="M71" s="4" t="n">
        <v>2</v>
      </c>
      <c r="N71" s="4" t="n">
        <v>2</v>
      </c>
      <c r="O71" s="4" t="n">
        <v>0</v>
      </c>
      <c r="P71" s="4">
        <f>IF(AND(N71&gt;0,O71=0),"Yes","No")</f>
        <v/>
      </c>
      <c r="Q71" s="4" t="n">
        <v>0</v>
      </c>
      <c r="R71" s="4" t="n">
        <v>0</v>
      </c>
      <c r="S71" s="4" t="n">
        <v>0</v>
      </c>
      <c r="T71" s="4" t="inlineStr">
        <is>
          <t>Python3</t>
        </is>
      </c>
      <c r="U71" s="4" t="n">
        <v>4.6</v>
      </c>
      <c r="V71" s="9" t="inlineStr">
        <is>
          <t>Submission 1112242328</t>
        </is>
      </c>
      <c r="W71" s="9" t="inlineStr">
        <is>
          <t>Open code</t>
        </is>
      </c>
      <c r="X71" s="4" t="n">
        <v>0</v>
      </c>
      <c r="Y71" s="4" t="inlineStr">
        <is>
          <t>2023-12</t>
        </is>
      </c>
      <c r="Z71" s="14" t="n"/>
    </row>
    <row r="72">
      <c r="A72" s="4" t="n">
        <v>71</v>
      </c>
      <c r="B72" s="4" t="n">
        <v>825</v>
      </c>
      <c r="C72" s="9" t="inlineStr">
        <is>
          <t>Friends Of Appropriate Ages</t>
        </is>
      </c>
      <c r="D72" s="12" t="inlineStr">
        <is>
          <t>Medium</t>
        </is>
      </c>
      <c r="E72" s="4" t="inlineStr">
        <is>
          <t>Arrays, Hashing &amp; Sorting</t>
        </is>
      </c>
      <c r="F72" s="4" t="inlineStr">
        <is>
          <t>Count buckets</t>
        </is>
      </c>
      <c r="G72" s="4" t="inlineStr">
        <is>
          <t>Arrays &amp; Strings</t>
        </is>
      </c>
      <c r="H72" s="4" t="inlineStr">
        <is>
          <t>array, two-pointers, binary-search, sorting</t>
        </is>
      </c>
      <c r="I72" s="4" t="inlineStr">
        <is>
          <t>Ac</t>
        </is>
      </c>
      <c r="J72" s="11" t="n">
        <v>45264.01598379629</v>
      </c>
      <c r="K72" s="11" t="n">
        <v>45264.01598379629</v>
      </c>
      <c r="L72" s="11" t="n">
        <v>45316.9678587963</v>
      </c>
      <c r="M72" s="4" t="n">
        <v>2</v>
      </c>
      <c r="N72" s="4" t="n">
        <v>2</v>
      </c>
      <c r="O72" s="4" t="n">
        <v>0</v>
      </c>
      <c r="P72" s="4">
        <f>IF(AND(N72&gt;0,O72=0),"Yes","No")</f>
        <v/>
      </c>
      <c r="Q72" s="4" t="n">
        <v>0</v>
      </c>
      <c r="R72" s="4" t="n">
        <v>0</v>
      </c>
      <c r="S72" s="4" t="n">
        <v>0</v>
      </c>
      <c r="T72" s="4" t="inlineStr">
        <is>
          <t>Python3</t>
        </is>
      </c>
      <c r="U72" s="4" t="n">
        <v>6.2</v>
      </c>
      <c r="V72" s="9" t="inlineStr">
        <is>
          <t>Submission 1156696705</t>
        </is>
      </c>
      <c r="W72" s="9" t="inlineStr">
        <is>
          <t>Open code</t>
        </is>
      </c>
      <c r="X72" s="4" t="n">
        <v>0</v>
      </c>
      <c r="Y72" s="4" t="inlineStr">
        <is>
          <t>2023-12</t>
        </is>
      </c>
      <c r="Z72" s="14" t="n"/>
    </row>
    <row r="73">
      <c r="A73" s="4" t="n">
        <v>72</v>
      </c>
      <c r="B73" s="4" t="n">
        <v>791</v>
      </c>
      <c r="C73" s="9" t="inlineStr">
        <is>
          <t>Custom Sort String</t>
        </is>
      </c>
      <c r="D73" s="12" t="inlineStr">
        <is>
          <t>Medium</t>
        </is>
      </c>
      <c r="E73" s="4" t="inlineStr">
        <is>
          <t>Arrays, Hashing &amp; Sorting</t>
        </is>
      </c>
      <c r="F73" s="4" t="inlineStr">
        <is>
          <t>Counting sort</t>
        </is>
      </c>
      <c r="G73" s="4" t="inlineStr">
        <is>
          <t>Arrays &amp; Strings</t>
        </is>
      </c>
      <c r="H73" s="4" t="inlineStr">
        <is>
          <t>hash-table, string, sorting</t>
        </is>
      </c>
      <c r="I73" s="4" t="inlineStr">
        <is>
          <t>Ac</t>
        </is>
      </c>
      <c r="J73" s="11" t="n">
        <v>45264.49502314815</v>
      </c>
      <c r="K73" s="11" t="n">
        <v>45264.49502314815</v>
      </c>
      <c r="L73" s="11" t="n">
        <v>45325.95527777778</v>
      </c>
      <c r="M73" s="4" t="n">
        <v>5</v>
      </c>
      <c r="N73" s="4" t="n">
        <v>5</v>
      </c>
      <c r="O73" s="4" t="n">
        <v>0</v>
      </c>
      <c r="P73" s="4">
        <f>IF(AND(N73&gt;0,O73=0),"Yes","No")</f>
        <v/>
      </c>
      <c r="Q73" s="4" t="n">
        <v>0</v>
      </c>
      <c r="R73" s="4" t="n">
        <v>0</v>
      </c>
      <c r="S73" s="4" t="n">
        <v>0</v>
      </c>
      <c r="T73" s="4" t="inlineStr">
        <is>
          <t>Python3</t>
        </is>
      </c>
      <c r="U73" s="4" t="n">
        <v>0.8</v>
      </c>
      <c r="V73" s="9" t="inlineStr">
        <is>
          <t>Submission 1165073106</t>
        </is>
      </c>
      <c r="W73" s="9" t="inlineStr">
        <is>
          <t>Open code</t>
        </is>
      </c>
      <c r="X73" s="4" t="n">
        <v>0</v>
      </c>
      <c r="Y73" s="4" t="inlineStr">
        <is>
          <t>2023-12</t>
        </is>
      </c>
      <c r="Z73" s="14" t="n"/>
    </row>
    <row r="74">
      <c r="A74" s="4" t="n">
        <v>73</v>
      </c>
      <c r="B74" s="4" t="n">
        <v>691</v>
      </c>
      <c r="C74" s="9" t="inlineStr">
        <is>
          <t>Stickers to Spell Word</t>
        </is>
      </c>
      <c r="D74" s="13" t="inlineStr">
        <is>
          <t>Hard</t>
        </is>
      </c>
      <c r="E74" s="4" t="inlineStr">
        <is>
          <t>DP: Bitmask</t>
        </is>
      </c>
      <c r="F74" s="4" t="inlineStr">
        <is>
          <t>Memo over remaining letters</t>
        </is>
      </c>
      <c r="G74" s="4" t="inlineStr">
        <is>
          <t>Dynamic Programming</t>
        </is>
      </c>
      <c r="H74" s="4" t="inlineStr">
        <is>
          <t>array, hash-table, string, dynamic-programming, backtracking, bit-manipulation, memoization, bitmask</t>
        </is>
      </c>
      <c r="I74" s="4" t="inlineStr">
        <is>
          <t>Ac</t>
        </is>
      </c>
      <c r="J74" s="11" t="n">
        <v>45264.53336805556</v>
      </c>
      <c r="K74" s="11" t="n">
        <v>45264.53913194445</v>
      </c>
      <c r="L74" s="11" t="n">
        <v>45325.11079861111</v>
      </c>
      <c r="M74" s="4" t="n">
        <v>29</v>
      </c>
      <c r="N74" s="4" t="n">
        <v>14</v>
      </c>
      <c r="O74" s="4" t="n">
        <v>4</v>
      </c>
      <c r="P74" s="4">
        <f>IF(AND(N74&gt;0,O74=0),"Yes","No")</f>
        <v/>
      </c>
      <c r="Q74" s="4" t="n">
        <v>4</v>
      </c>
      <c r="R74" s="4" t="n">
        <v>0</v>
      </c>
      <c r="S74" s="4" t="n">
        <v>0</v>
      </c>
      <c r="T74" s="4" t="inlineStr">
        <is>
          <t>Python3</t>
        </is>
      </c>
      <c r="U74" s="4" t="n">
        <v>46.1</v>
      </c>
      <c r="V74" s="9" t="inlineStr">
        <is>
          <t>Submission 1164265403</t>
        </is>
      </c>
      <c r="W74" s="9" t="inlineStr">
        <is>
          <t>Open code</t>
        </is>
      </c>
      <c r="X74" s="4" t="n">
        <v>0</v>
      </c>
      <c r="Y74" s="4" t="inlineStr">
        <is>
          <t>2023-12</t>
        </is>
      </c>
      <c r="Z74" s="14" t="n"/>
    </row>
    <row r="75">
      <c r="A75" s="4" t="n">
        <v>74</v>
      </c>
      <c r="B75" s="4" t="n">
        <v>282</v>
      </c>
      <c r="C75" s="9" t="inlineStr">
        <is>
          <t>Expression Add Operators</t>
        </is>
      </c>
      <c r="D75" s="13" t="inlineStr">
        <is>
          <t>Hard</t>
        </is>
      </c>
      <c r="E75" s="4" t="inlineStr">
        <is>
          <t>Backtracking</t>
        </is>
      </c>
      <c r="F75" s="4" t="inlineStr">
        <is>
          <t>Operator insertion</t>
        </is>
      </c>
      <c r="G75" s="4" t="inlineStr">
        <is>
          <t>Recursion &amp; Backtracking</t>
        </is>
      </c>
      <c r="H75" s="4" t="inlineStr">
        <is>
          <t>math, string, backtracking</t>
        </is>
      </c>
      <c r="I75" s="4" t="inlineStr">
        <is>
          <t>Ac</t>
        </is>
      </c>
      <c r="J75" s="11" t="n">
        <v>45265.1850462963</v>
      </c>
      <c r="K75" s="11" t="n">
        <v>45265.1850462963</v>
      </c>
      <c r="L75" s="11" t="n">
        <v>45289.97336805556</v>
      </c>
      <c r="M75" s="4" t="n">
        <v>5</v>
      </c>
      <c r="N75" s="4" t="n">
        <v>4</v>
      </c>
      <c r="O75" s="4" t="n">
        <v>0</v>
      </c>
      <c r="P75" s="4">
        <f>IF(AND(N75&gt;0,O75=0),"Yes","No")</f>
        <v/>
      </c>
      <c r="Q75" s="4" t="n">
        <v>0</v>
      </c>
      <c r="R75" s="4" t="n">
        <v>0</v>
      </c>
      <c r="S75" s="4" t="n">
        <v>0</v>
      </c>
      <c r="T75" s="4" t="inlineStr">
        <is>
          <t>Python3</t>
        </is>
      </c>
      <c r="U75" s="4" t="n">
        <v>39.1</v>
      </c>
      <c r="V75" s="9" t="inlineStr">
        <is>
          <t>Submission 1131582212</t>
        </is>
      </c>
      <c r="W75" s="9" t="inlineStr">
        <is>
          <t>Open code</t>
        </is>
      </c>
      <c r="X75" s="4" t="n">
        <v>0</v>
      </c>
      <c r="Y75" s="4" t="inlineStr">
        <is>
          <t>2023-12</t>
        </is>
      </c>
      <c r="Z75" s="14" t="n"/>
    </row>
    <row r="76">
      <c r="A76" s="4" t="n">
        <v>75</v>
      </c>
      <c r="B76" s="4" t="n">
        <v>38</v>
      </c>
      <c r="C76" s="9" t="inlineStr">
        <is>
          <t>Count and Say</t>
        </is>
      </c>
      <c r="D76" s="12" t="inlineStr">
        <is>
          <t>Medium</t>
        </is>
      </c>
      <c r="E76" s="4" t="inlineStr">
        <is>
          <t>Strings &amp; Simulation</t>
        </is>
      </c>
      <c r="F76" s="4" t="inlineStr">
        <is>
          <t>Simulation</t>
        </is>
      </c>
      <c r="G76" s="4" t="inlineStr">
        <is>
          <t>Arrays &amp; Strings</t>
        </is>
      </c>
      <c r="H76" s="4" t="inlineStr">
        <is>
          <t>string</t>
        </is>
      </c>
      <c r="I76" s="4" t="inlineStr">
        <is>
          <t>Ac</t>
        </is>
      </c>
      <c r="J76" s="11" t="n">
        <v>45271.17001157408</v>
      </c>
      <c r="K76" s="11" t="n">
        <v>45271.17028935185</v>
      </c>
      <c r="L76" s="11" t="n">
        <v>45293.14982638889</v>
      </c>
      <c r="M76" s="4" t="n">
        <v>3</v>
      </c>
      <c r="N76" s="4" t="n">
        <v>2</v>
      </c>
      <c r="O76" s="4" t="n">
        <v>1</v>
      </c>
      <c r="P76" s="4">
        <f>IF(AND(N76&gt;0,O76=0),"Yes","No")</f>
        <v/>
      </c>
      <c r="Q76" s="4" t="n">
        <v>0</v>
      </c>
      <c r="R76" s="4" t="n">
        <v>0</v>
      </c>
      <c r="S76" s="4" t="n">
        <v>1</v>
      </c>
      <c r="T76" s="4" t="inlineStr">
        <is>
          <t>Python3</t>
        </is>
      </c>
      <c r="U76" s="4" t="n">
        <v>18.8</v>
      </c>
      <c r="V76" s="9" t="inlineStr">
        <is>
          <t>Submission 1134094340</t>
        </is>
      </c>
      <c r="W76" s="9" t="inlineStr">
        <is>
          <t>Open code</t>
        </is>
      </c>
      <c r="X76" s="4" t="n">
        <v>0</v>
      </c>
      <c r="Y76" s="4" t="inlineStr">
        <is>
          <t>2023-12</t>
        </is>
      </c>
      <c r="Z76" s="14" t="n"/>
    </row>
    <row r="77">
      <c r="A77" s="4" t="n">
        <v>76</v>
      </c>
      <c r="B77" s="4" t="n">
        <v>1424</v>
      </c>
      <c r="C77" s="9" t="inlineStr">
        <is>
          <t>Diagonal Traverse II</t>
        </is>
      </c>
      <c r="D77" s="12" t="inlineStr">
        <is>
          <t>Medium</t>
        </is>
      </c>
      <c r="E77" s="4" t="inlineStr">
        <is>
          <t>Arrays, Hashing &amp; Sorting</t>
        </is>
      </c>
      <c r="F77" s="4" t="inlineStr">
        <is>
          <t>Group by i+j</t>
        </is>
      </c>
      <c r="G77" s="4" t="inlineStr">
        <is>
          <t>Arrays &amp; Strings</t>
        </is>
      </c>
      <c r="H77" s="4" t="inlineStr">
        <is>
          <t>array, sorting, heap-priority-queue</t>
        </is>
      </c>
      <c r="I77" s="4" t="inlineStr">
        <is>
          <t>Ac</t>
        </is>
      </c>
      <c r="J77" s="11" t="n">
        <v>45271.22221064815</v>
      </c>
      <c r="K77" s="11" t="n">
        <v>45271.22221064815</v>
      </c>
      <c r="L77" s="11" t="n">
        <v>45318.38810185185</v>
      </c>
      <c r="M77" s="4" t="n">
        <v>2</v>
      </c>
      <c r="N77" s="4" t="n">
        <v>2</v>
      </c>
      <c r="O77" s="4" t="n">
        <v>0</v>
      </c>
      <c r="P77" s="4">
        <f>IF(AND(N77&gt;0,O77=0),"Yes","No")</f>
        <v/>
      </c>
      <c r="Q77" s="4" t="n">
        <v>0</v>
      </c>
      <c r="R77" s="4" t="n">
        <v>0</v>
      </c>
      <c r="S77" s="4" t="n">
        <v>0</v>
      </c>
      <c r="T77" s="4" t="inlineStr">
        <is>
          <t>Python3</t>
        </is>
      </c>
      <c r="U77" s="4" t="n">
        <v>5.3</v>
      </c>
      <c r="V77" s="9" t="inlineStr">
        <is>
          <t>Submission 1157919798</t>
        </is>
      </c>
      <c r="W77" s="9" t="inlineStr">
        <is>
          <t>Open code</t>
        </is>
      </c>
      <c r="X77" s="4" t="n">
        <v>0</v>
      </c>
      <c r="Y77" s="4" t="inlineStr">
        <is>
          <t>2023-12</t>
        </is>
      </c>
      <c r="Z77" s="14" t="n"/>
    </row>
    <row r="78">
      <c r="A78" s="4" t="n">
        <v>77</v>
      </c>
      <c r="B78" s="4" t="n">
        <v>1522</v>
      </c>
      <c r="C78" s="9" t="inlineStr">
        <is>
          <t>Diameter of N-Ary Tree</t>
        </is>
      </c>
      <c r="D78" s="12" t="inlineStr">
        <is>
          <t>Medium</t>
        </is>
      </c>
      <c r="E78" s="4" t="inlineStr">
        <is>
          <t>DP: On Trees</t>
        </is>
      </c>
      <c r="F78" s="4" t="inlineStr">
        <is>
          <t>Top-2 heights</t>
        </is>
      </c>
      <c r="G78" s="4" t="inlineStr">
        <is>
          <t>Dynamic Programming</t>
        </is>
      </c>
      <c r="H78" s="4" t="inlineStr">
        <is>
          <t>tree, depth-first-search, dp-on-trees</t>
        </is>
      </c>
      <c r="I78" s="4" t="inlineStr">
        <is>
          <t>Ac</t>
        </is>
      </c>
      <c r="J78" s="11" t="n">
        <v>45271.88506944444</v>
      </c>
      <c r="K78" s="11" t="n">
        <v>45271.88506944444</v>
      </c>
      <c r="L78" s="11" t="n">
        <v>45271.88506944444</v>
      </c>
      <c r="M78" s="4" t="n">
        <v>1</v>
      </c>
      <c r="N78" s="4" t="n">
        <v>1</v>
      </c>
      <c r="O78" s="4" t="n">
        <v>0</v>
      </c>
      <c r="P78" s="4">
        <f>IF(AND(N78&gt;0,O78=0),"Yes","No")</f>
        <v/>
      </c>
      <c r="Q78" s="4" t="n">
        <v>0</v>
      </c>
      <c r="R78" s="4" t="n">
        <v>0</v>
      </c>
      <c r="S78" s="4" t="n">
        <v>0</v>
      </c>
      <c r="T78" s="4" t="inlineStr">
        <is>
          <t>Python3</t>
        </is>
      </c>
      <c r="U78" s="4" t="n">
        <v>92.2</v>
      </c>
      <c r="V78" s="9" t="inlineStr">
        <is>
          <t>Submission 1117330803</t>
        </is>
      </c>
      <c r="W78" s="9" t="inlineStr">
        <is>
          <t>Open code</t>
        </is>
      </c>
      <c r="X78" s="4" t="n">
        <v>0</v>
      </c>
      <c r="Y78" s="4" t="inlineStr">
        <is>
          <t>2023-12</t>
        </is>
      </c>
      <c r="Z78" s="14" t="n"/>
    </row>
    <row r="79">
      <c r="A79" s="4" t="n">
        <v>78</v>
      </c>
      <c r="B79" s="4" t="n">
        <v>1060</v>
      </c>
      <c r="C79" s="9" t="inlineStr">
        <is>
          <t>Missing Element in Sorted Array</t>
        </is>
      </c>
      <c r="D79" s="12" t="inlineStr">
        <is>
          <t>Medium</t>
        </is>
      </c>
      <c r="E79" s="4" t="inlineStr">
        <is>
          <t>Binary Search</t>
        </is>
      </c>
      <c r="F79" s="4" t="inlineStr">
        <is>
          <t>Missing-count search</t>
        </is>
      </c>
      <c r="G79" s="4" t="inlineStr">
        <is>
          <t>Searching</t>
        </is>
      </c>
      <c r="H79" s="4" t="inlineStr">
        <is>
          <t>array, binary-search</t>
        </is>
      </c>
      <c r="I79" s="4" t="inlineStr">
        <is>
          <t>Ac</t>
        </is>
      </c>
      <c r="J79" s="11" t="n">
        <v>45272.04393518518</v>
      </c>
      <c r="K79" s="11" t="n">
        <v>45272.04415509259</v>
      </c>
      <c r="L79" s="11" t="n">
        <v>45315.38758101852</v>
      </c>
      <c r="M79" s="4" t="n">
        <v>4</v>
      </c>
      <c r="N79" s="4" t="n">
        <v>3</v>
      </c>
      <c r="O79" s="4" t="n">
        <v>1</v>
      </c>
      <c r="P79" s="4">
        <f>IF(AND(N79&gt;0,O79=0),"Yes","No")</f>
        <v/>
      </c>
      <c r="Q79" s="4" t="n">
        <v>1</v>
      </c>
      <c r="R79" s="4" t="n">
        <v>0</v>
      </c>
      <c r="S79" s="4" t="n">
        <v>0</v>
      </c>
      <c r="T79" s="4" t="inlineStr">
        <is>
          <t>Python3</t>
        </is>
      </c>
      <c r="U79" s="4" t="n">
        <v>5.8</v>
      </c>
      <c r="V79" s="9" t="inlineStr">
        <is>
          <t>Submission 1155179452</t>
        </is>
      </c>
      <c r="W79" s="9" t="inlineStr">
        <is>
          <t>Open code</t>
        </is>
      </c>
      <c r="X79" s="4" t="n">
        <v>0</v>
      </c>
      <c r="Y79" s="4" t="inlineStr">
        <is>
          <t>2023-12</t>
        </is>
      </c>
      <c r="Z79" s="14" t="n"/>
    </row>
    <row r="80">
      <c r="A80" s="4" t="n">
        <v>79</v>
      </c>
      <c r="B80" s="4" t="n">
        <v>1209</v>
      </c>
      <c r="C80" s="9" t="inlineStr">
        <is>
          <t>Remove All Adjacent Duplicates in String II</t>
        </is>
      </c>
      <c r="D80" s="12" t="inlineStr">
        <is>
          <t>Medium</t>
        </is>
      </c>
      <c r="E80" s="4" t="inlineStr">
        <is>
          <t>Stack</t>
        </is>
      </c>
      <c r="F80" s="4" t="inlineStr">
        <is>
          <t>Count stack</t>
        </is>
      </c>
      <c r="G80" s="4" t="inlineStr">
        <is>
          <t>Stacks &amp; Queues</t>
        </is>
      </c>
      <c r="H80" s="4" t="inlineStr">
        <is>
          <t>string, stack</t>
        </is>
      </c>
      <c r="I80" s="4" t="inlineStr">
        <is>
          <t>Ac</t>
        </is>
      </c>
      <c r="J80" s="11" t="n">
        <v>45272.14898148148</v>
      </c>
      <c r="K80" s="11" t="n">
        <v>45272.14898148148</v>
      </c>
      <c r="L80" s="11" t="n">
        <v>45272.14898148148</v>
      </c>
      <c r="M80" s="4" t="n">
        <v>1</v>
      </c>
      <c r="N80" s="4" t="n">
        <v>1</v>
      </c>
      <c r="O80" s="4" t="n">
        <v>0</v>
      </c>
      <c r="P80" s="4">
        <f>IF(AND(N80&gt;0,O80=0),"Yes","No")</f>
        <v/>
      </c>
      <c r="Q80" s="4" t="n">
        <v>0</v>
      </c>
      <c r="R80" s="4" t="n">
        <v>0</v>
      </c>
      <c r="S80" s="4" t="n">
        <v>0</v>
      </c>
      <c r="T80" s="4" t="inlineStr">
        <is>
          <t>Python3</t>
        </is>
      </c>
      <c r="U80" s="4" t="n">
        <v>0</v>
      </c>
      <c r="V80" s="9" t="inlineStr">
        <is>
          <t>Submission 1117569269</t>
        </is>
      </c>
      <c r="W80" s="9" t="inlineStr">
        <is>
          <t>Open code</t>
        </is>
      </c>
      <c r="X80" s="4" t="n">
        <v>0</v>
      </c>
      <c r="Y80" s="4" t="inlineStr">
        <is>
          <t>2023-12</t>
        </is>
      </c>
      <c r="Z80" s="14" t="n"/>
    </row>
    <row r="81">
      <c r="A81" s="4" t="n">
        <v>80</v>
      </c>
      <c r="B81" s="4" t="n">
        <v>543</v>
      </c>
      <c r="C81" s="9" t="inlineStr">
        <is>
          <t>Diameter of Binary Tree</t>
        </is>
      </c>
      <c r="D81" s="10" t="inlineStr">
        <is>
          <t>Easy</t>
        </is>
      </c>
      <c r="E81" s="4" t="inlineStr">
        <is>
          <t>DP: On Trees</t>
        </is>
      </c>
      <c r="F81" s="4" t="inlineStr">
        <is>
          <t>Height + diameter</t>
        </is>
      </c>
      <c r="G81" s="4" t="inlineStr">
        <is>
          <t>Dynamic Programming</t>
        </is>
      </c>
      <c r="H81" s="4" t="inlineStr">
        <is>
          <t>tree, depth-first-search, binary-tree, dp-on-trees</t>
        </is>
      </c>
      <c r="I81" s="4" t="inlineStr">
        <is>
          <t>Ac</t>
        </is>
      </c>
      <c r="J81" s="11" t="n">
        <v>45281.23299768518</v>
      </c>
      <c r="K81" s="11" t="n">
        <v>45281.23299768518</v>
      </c>
      <c r="L81" s="11" t="n">
        <v>45326.04966435185</v>
      </c>
      <c r="M81" s="4" t="n">
        <v>3</v>
      </c>
      <c r="N81" s="4" t="n">
        <v>3</v>
      </c>
      <c r="O81" s="4" t="n">
        <v>0</v>
      </c>
      <c r="P81" s="4">
        <f>IF(AND(N81&gt;0,O81=0),"Yes","No")</f>
        <v/>
      </c>
      <c r="Q81" s="4" t="n">
        <v>0</v>
      </c>
      <c r="R81" s="4" t="n">
        <v>0</v>
      </c>
      <c r="S81" s="4" t="n">
        <v>0</v>
      </c>
      <c r="T81" s="4" t="inlineStr">
        <is>
          <t>Python3</t>
        </is>
      </c>
      <c r="U81" s="4" t="n">
        <v>5.1</v>
      </c>
      <c r="V81" s="9" t="inlineStr">
        <is>
          <t>Submission 1165187633</t>
        </is>
      </c>
      <c r="W81" s="9" t="inlineStr">
        <is>
          <t>Open code</t>
        </is>
      </c>
      <c r="X81" s="4" t="n">
        <v>0</v>
      </c>
      <c r="Y81" s="4" t="inlineStr">
        <is>
          <t>2023-12</t>
        </is>
      </c>
      <c r="Z81" s="14" t="n"/>
    </row>
    <row r="82">
      <c r="A82" s="4" t="n">
        <v>81</v>
      </c>
      <c r="B82" s="4" t="n">
        <v>173</v>
      </c>
      <c r="C82" s="9" t="inlineStr">
        <is>
          <t>Binary Search Tree Iterator</t>
        </is>
      </c>
      <c r="D82" s="12" t="inlineStr">
        <is>
          <t>Medium</t>
        </is>
      </c>
      <c r="E82" s="4" t="inlineStr">
        <is>
          <t>Binary Search Tree</t>
        </is>
      </c>
      <c r="F82" s="4" t="inlineStr">
        <is>
          <t>Controlled inorder stack</t>
        </is>
      </c>
      <c r="G82" s="4" t="inlineStr">
        <is>
          <t>Trees</t>
        </is>
      </c>
      <c r="H82" s="4" t="inlineStr">
        <is>
          <t>stack, tree, design, binary-search-tree, binary-tree, iterator</t>
        </is>
      </c>
      <c r="I82" s="4" t="inlineStr">
        <is>
          <t>Ac</t>
        </is>
      </c>
      <c r="J82" s="11" t="n">
        <v>45281.93094907407</v>
      </c>
      <c r="K82" s="11" t="n">
        <v>45281.93094907407</v>
      </c>
      <c r="L82" s="11" t="n">
        <v>45857.61243055556</v>
      </c>
      <c r="M82" s="4" t="n">
        <v>2</v>
      </c>
      <c r="N82" s="4" t="n">
        <v>2</v>
      </c>
      <c r="O82" s="4" t="n">
        <v>0</v>
      </c>
      <c r="P82" s="4">
        <f>IF(AND(N82&gt;0,O82=0),"Yes","No")</f>
        <v/>
      </c>
      <c r="Q82" s="4" t="n">
        <v>0</v>
      </c>
      <c r="R82" s="4" t="n">
        <v>0</v>
      </c>
      <c r="S82" s="4" t="n">
        <v>0</v>
      </c>
      <c r="T82" s="4" t="inlineStr">
        <is>
          <t>C++, Python3</t>
        </is>
      </c>
      <c r="U82" s="4" t="n">
        <v>59.7</v>
      </c>
      <c r="V82" s="9" t="inlineStr">
        <is>
          <t>Submission 1703293806</t>
        </is>
      </c>
      <c r="W82" s="9" t="inlineStr">
        <is>
          <t>Open code</t>
        </is>
      </c>
      <c r="X82" s="4" t="n">
        <v>0</v>
      </c>
      <c r="Y82" s="4" t="inlineStr">
        <is>
          <t>2023-12</t>
        </is>
      </c>
      <c r="Z82" s="14" t="n"/>
    </row>
    <row r="83">
      <c r="A83" s="4" t="n">
        <v>82</v>
      </c>
      <c r="B83" s="4" t="n">
        <v>489</v>
      </c>
      <c r="C83" s="9" t="inlineStr">
        <is>
          <t>Robot Room Cleaner</t>
        </is>
      </c>
      <c r="D83" s="13" t="inlineStr">
        <is>
          <t>Hard</t>
        </is>
      </c>
      <c r="E83" s="4" t="inlineStr">
        <is>
          <t>Backtracking</t>
        </is>
      </c>
      <c r="F83" s="4" t="inlineStr">
        <is>
          <t>Interactive DFS</t>
        </is>
      </c>
      <c r="G83" s="4" t="inlineStr">
        <is>
          <t>Recursion &amp; Backtracking</t>
        </is>
      </c>
      <c r="H83" s="4" t="inlineStr">
        <is>
          <t>backtracking, interactive</t>
        </is>
      </c>
      <c r="I83" s="4" t="inlineStr">
        <is>
          <t>Ac</t>
        </is>
      </c>
      <c r="J83" s="11" t="n">
        <v>45286.00288194444</v>
      </c>
      <c r="K83" s="11" t="n">
        <v>45286.00288194444</v>
      </c>
      <c r="L83" s="11" t="n">
        <v>45286.00288194444</v>
      </c>
      <c r="M83" s="4" t="n">
        <v>1</v>
      </c>
      <c r="N83" s="4" t="n">
        <v>1</v>
      </c>
      <c r="O83" s="4" t="n">
        <v>0</v>
      </c>
      <c r="P83" s="4">
        <f>IF(AND(N83&gt;0,O83=0),"Yes","No")</f>
        <v/>
      </c>
      <c r="Q83" s="4" t="n">
        <v>0</v>
      </c>
      <c r="R83" s="4" t="n">
        <v>0</v>
      </c>
      <c r="S83" s="4" t="n">
        <v>0</v>
      </c>
      <c r="T83" s="4" t="inlineStr">
        <is>
          <t>Python3</t>
        </is>
      </c>
      <c r="U83" s="4" t="n">
        <v>81.59999999999999</v>
      </c>
      <c r="V83" s="9" t="inlineStr">
        <is>
          <t>Submission 1128338242</t>
        </is>
      </c>
      <c r="W83" s="9" t="inlineStr">
        <is>
          <t>Open code</t>
        </is>
      </c>
      <c r="X83" s="4" t="n">
        <v>0</v>
      </c>
      <c r="Y83" s="4" t="inlineStr">
        <is>
          <t>2023-12</t>
        </is>
      </c>
      <c r="Z83" s="14" t="n"/>
    </row>
    <row r="84">
      <c r="A84" s="4" t="n">
        <v>83</v>
      </c>
      <c r="B84" s="4" t="n">
        <v>996</v>
      </c>
      <c r="C84" s="9" t="inlineStr">
        <is>
          <t>Number of Squareful Arrays</t>
        </is>
      </c>
      <c r="D84" s="13" t="inlineStr">
        <is>
          <t>Hard</t>
        </is>
      </c>
      <c r="E84" s="4" t="inlineStr">
        <is>
          <t>Backtracking</t>
        </is>
      </c>
      <c r="F84" s="4" t="inlineStr">
        <is>
          <t>Permutations with pruning</t>
        </is>
      </c>
      <c r="G84" s="4" t="inlineStr">
        <is>
          <t>Recursion &amp; Backtracking</t>
        </is>
      </c>
      <c r="H84" s="4" t="inlineStr">
        <is>
          <t>array, hash-table, math, dynamic-programming, backtracking, bit-manipulation, bitmask</t>
        </is>
      </c>
      <c r="I84" s="4" t="inlineStr">
        <is>
          <t>Ac</t>
        </is>
      </c>
      <c r="J84" s="11" t="n">
        <v>45290.11505787037</v>
      </c>
      <c r="K84" s="11" t="n">
        <v>45290.11505787037</v>
      </c>
      <c r="L84" s="11" t="n">
        <v>45332.90770833333</v>
      </c>
      <c r="M84" s="4" t="n">
        <v>7</v>
      </c>
      <c r="N84" s="4" t="n">
        <v>4</v>
      </c>
      <c r="O84" s="4" t="n">
        <v>0</v>
      </c>
      <c r="P84" s="4">
        <f>IF(AND(N84&gt;0,O84=0),"Yes","No")</f>
        <v/>
      </c>
      <c r="Q84" s="4" t="n">
        <v>0</v>
      </c>
      <c r="R84" s="4" t="n">
        <v>0</v>
      </c>
      <c r="S84" s="4" t="n">
        <v>0</v>
      </c>
      <c r="T84" s="4" t="inlineStr">
        <is>
          <t>Python3</t>
        </is>
      </c>
      <c r="U84" s="4" t="n">
        <v>10.9</v>
      </c>
      <c r="V84" s="9" t="inlineStr">
        <is>
          <t>Submission 1171534805</t>
        </is>
      </c>
      <c r="W84" s="9" t="inlineStr">
        <is>
          <t>Open code</t>
        </is>
      </c>
      <c r="X84" s="4" t="n">
        <v>0</v>
      </c>
      <c r="Y84" s="4" t="inlineStr">
        <is>
          <t>2023-12</t>
        </is>
      </c>
      <c r="Z84" s="14" t="n"/>
    </row>
    <row r="85">
      <c r="A85" s="4" t="n">
        <v>84</v>
      </c>
      <c r="B85" s="4" t="n">
        <v>224</v>
      </c>
      <c r="C85" s="9" t="inlineStr">
        <is>
          <t>Basic Calculator</t>
        </is>
      </c>
      <c r="D85" s="13" t="inlineStr">
        <is>
          <t>Hard</t>
        </is>
      </c>
      <c r="E85" s="4" t="inlineStr">
        <is>
          <t>Stack</t>
        </is>
      </c>
      <c r="F85" s="4" t="inlineStr">
        <is>
          <t>Expression parsing with sign stack</t>
        </is>
      </c>
      <c r="G85" s="4" t="inlineStr">
        <is>
          <t>Stacks &amp; Queues</t>
        </is>
      </c>
      <c r="H85" s="4" t="inlineStr">
        <is>
          <t>math, string, stack, recursion</t>
        </is>
      </c>
      <c r="I85" s="4" t="inlineStr">
        <is>
          <t>Ac</t>
        </is>
      </c>
      <c r="J85" s="11" t="n">
        <v>45290.1531712963</v>
      </c>
      <c r="K85" s="11" t="n">
        <v>45290.1531712963</v>
      </c>
      <c r="L85" s="11" t="n">
        <v>45341.65746527778</v>
      </c>
      <c r="M85" s="4" t="n">
        <v>9</v>
      </c>
      <c r="N85" s="4" t="n">
        <v>6</v>
      </c>
      <c r="O85" s="4" t="n">
        <v>0</v>
      </c>
      <c r="P85" s="4">
        <f>IF(AND(N85&gt;0,O85=0),"Yes","No")</f>
        <v/>
      </c>
      <c r="Q85" s="4" t="n">
        <v>0</v>
      </c>
      <c r="R85" s="4" t="n">
        <v>0</v>
      </c>
      <c r="S85" s="4" t="n">
        <v>0</v>
      </c>
      <c r="T85" s="4" t="inlineStr">
        <is>
          <t>C++, Python3</t>
        </is>
      </c>
      <c r="U85" s="4" t="n">
        <v>38.1</v>
      </c>
      <c r="V85" s="9" t="inlineStr">
        <is>
          <t>Submission 1179746617</t>
        </is>
      </c>
      <c r="W85" s="9" t="inlineStr">
        <is>
          <t>Open code</t>
        </is>
      </c>
      <c r="X85" s="4" t="n">
        <v>0</v>
      </c>
      <c r="Y85" s="4" t="inlineStr">
        <is>
          <t>2023-12</t>
        </is>
      </c>
      <c r="Z85" s="14" t="n"/>
    </row>
    <row r="86">
      <c r="A86" s="4" t="n">
        <v>85</v>
      </c>
      <c r="B86" s="4" t="n">
        <v>778</v>
      </c>
      <c r="C86" s="9" t="inlineStr">
        <is>
          <t>Swim in Rising Water</t>
        </is>
      </c>
      <c r="D86" s="13" t="inlineStr">
        <is>
          <t>Hard</t>
        </is>
      </c>
      <c r="E86" s="4" t="inlineStr">
        <is>
          <t>Graph: Shortest Path</t>
        </is>
      </c>
      <c r="F86" s="4" t="inlineStr">
        <is>
          <t>Minimax Dijkstra</t>
        </is>
      </c>
      <c r="G86" s="4" t="inlineStr">
        <is>
          <t>Graphs</t>
        </is>
      </c>
      <c r="H86" s="4" t="inlineStr">
        <is>
          <t>array, binary-search, depth-first-search, breadth-first-search, union-find, minimax-algorithm, heap-priority-queue, matrix, dijkstra</t>
        </is>
      </c>
      <c r="I86" s="4" t="inlineStr">
        <is>
          <t>Ac</t>
        </is>
      </c>
      <c r="J86" s="11" t="n">
        <v>45291.32302083333</v>
      </c>
      <c r="K86" s="11" t="n">
        <v>45291.34326388889</v>
      </c>
      <c r="L86" s="11" t="n">
        <v>45318.39193287037</v>
      </c>
      <c r="M86" s="4" t="n">
        <v>6</v>
      </c>
      <c r="N86" s="4" t="n">
        <v>2</v>
      </c>
      <c r="O86" s="4" t="n">
        <v>3</v>
      </c>
      <c r="P86" s="4">
        <f>IF(AND(N86&gt;0,O86=0),"Yes","No")</f>
        <v/>
      </c>
      <c r="Q86" s="4" t="n">
        <v>1</v>
      </c>
      <c r="R86" s="4" t="n">
        <v>2</v>
      </c>
      <c r="S86" s="4" t="n">
        <v>0</v>
      </c>
      <c r="T86" s="4" t="inlineStr">
        <is>
          <t>Python3</t>
        </is>
      </c>
      <c r="U86" s="4" t="n">
        <v>5</v>
      </c>
      <c r="V86" s="9" t="inlineStr">
        <is>
          <t>Submission 1157922288</t>
        </is>
      </c>
      <c r="W86" s="9" t="inlineStr">
        <is>
          <t>Open code</t>
        </is>
      </c>
      <c r="X86" s="4" t="n">
        <v>0</v>
      </c>
      <c r="Y86" s="4" t="inlineStr">
        <is>
          <t>2023-12</t>
        </is>
      </c>
      <c r="Z86" s="14" t="n"/>
    </row>
    <row r="87">
      <c r="A87" s="4" t="n">
        <v>86</v>
      </c>
      <c r="B87" s="4" t="n">
        <v>1748</v>
      </c>
      <c r="C87" s="9" t="inlineStr">
        <is>
          <t>Sum of Unique Elements</t>
        </is>
      </c>
      <c r="D87" s="10" t="inlineStr">
        <is>
          <t>Easy</t>
        </is>
      </c>
      <c r="E87" s="4" t="inlineStr">
        <is>
          <t>Arrays, Hashing &amp; Sorting</t>
        </is>
      </c>
      <c r="F87" s="4" t="inlineStr">
        <is>
          <t>Counting</t>
        </is>
      </c>
      <c r="G87" s="4" t="inlineStr">
        <is>
          <t>Arrays &amp; Strings</t>
        </is>
      </c>
      <c r="H87" s="4" t="inlineStr">
        <is>
          <t>array, hash-table, counting</t>
        </is>
      </c>
      <c r="I87" s="4" t="inlineStr">
        <is>
          <t>Ac</t>
        </is>
      </c>
      <c r="J87" s="11" t="n">
        <v>45291.32858796296</v>
      </c>
      <c r="K87" s="11" t="n">
        <v>45291.32858796296</v>
      </c>
      <c r="L87" s="11" t="n">
        <v>45291.32858796296</v>
      </c>
      <c r="M87" s="4" t="n">
        <v>1</v>
      </c>
      <c r="N87" s="4" t="n">
        <v>1</v>
      </c>
      <c r="O87" s="4" t="n">
        <v>0</v>
      </c>
      <c r="P87" s="4">
        <f>IF(AND(N87&gt;0,O87=0),"Yes","No")</f>
        <v/>
      </c>
      <c r="Q87" s="4" t="n">
        <v>0</v>
      </c>
      <c r="R87" s="4" t="n">
        <v>0</v>
      </c>
      <c r="S87" s="4" t="n">
        <v>0</v>
      </c>
      <c r="T87" s="4" t="inlineStr">
        <is>
          <t>Python3</t>
        </is>
      </c>
      <c r="U87" s="4" t="n">
        <v>0.6</v>
      </c>
      <c r="V87" s="9" t="inlineStr">
        <is>
          <t>Submission 1132621107</t>
        </is>
      </c>
      <c r="W87" s="9" t="inlineStr">
        <is>
          <t>Open code</t>
        </is>
      </c>
      <c r="X87" s="4" t="n">
        <v>0</v>
      </c>
      <c r="Y87" s="4" t="inlineStr">
        <is>
          <t>2023-12</t>
        </is>
      </c>
      <c r="Z87" s="14" t="n"/>
    </row>
    <row r="88">
      <c r="A88" s="4" t="n">
        <v>87</v>
      </c>
      <c r="B88" s="4" t="n">
        <v>814</v>
      </c>
      <c r="C88" s="9" t="inlineStr">
        <is>
          <t>Binary Tree Pruning</t>
        </is>
      </c>
      <c r="D88" s="12" t="inlineStr">
        <is>
          <t>Medium</t>
        </is>
      </c>
      <c r="E88" s="4" t="inlineStr">
        <is>
          <t>Binary Tree (DFS &amp; Recursion)</t>
        </is>
      </c>
      <c r="F88" s="4" t="inlineStr">
        <is>
          <t>Postorder prune</t>
        </is>
      </c>
      <c r="G88" s="4" t="inlineStr">
        <is>
          <t>Trees</t>
        </is>
      </c>
      <c r="H88" s="4" t="inlineStr">
        <is>
          <t>tree, depth-first-search, binary-tree</t>
        </is>
      </c>
      <c r="I88" s="4" t="inlineStr">
        <is>
          <t>Ac</t>
        </is>
      </c>
      <c r="J88" s="11" t="n">
        <v>45291.32864583333</v>
      </c>
      <c r="K88" s="11" t="n">
        <v>45291.33475694444</v>
      </c>
      <c r="L88" s="11" t="n">
        <v>45291.33475694444</v>
      </c>
      <c r="M88" s="4" t="n">
        <v>11</v>
      </c>
      <c r="N88" s="4" t="n">
        <v>1</v>
      </c>
      <c r="O88" s="4" t="n">
        <v>10</v>
      </c>
      <c r="P88" s="4">
        <f>IF(AND(N88&gt;0,O88=0),"Yes","No")</f>
        <v/>
      </c>
      <c r="Q88" s="4" t="n">
        <v>5</v>
      </c>
      <c r="R88" s="4" t="n">
        <v>0</v>
      </c>
      <c r="S88" s="4" t="n">
        <v>5</v>
      </c>
      <c r="T88" s="4" t="inlineStr">
        <is>
          <t>Python3</t>
        </is>
      </c>
      <c r="U88" s="4" t="n">
        <v>0.8</v>
      </c>
      <c r="V88" s="9" t="inlineStr">
        <is>
          <t>Submission 1132625993</t>
        </is>
      </c>
      <c r="W88" s="9" t="inlineStr">
        <is>
          <t>Open code</t>
        </is>
      </c>
      <c r="X88" s="4" t="n">
        <v>0</v>
      </c>
      <c r="Y88" s="4" t="inlineStr">
        <is>
          <t>2023-12</t>
        </is>
      </c>
      <c r="Z88" s="14" t="n"/>
    </row>
    <row r="89">
      <c r="A89" s="4" t="n">
        <v>88</v>
      </c>
      <c r="B89" s="4" t="n">
        <v>211</v>
      </c>
      <c r="C89" s="9" t="inlineStr">
        <is>
          <t>Design Add and Search Words Data Structure</t>
        </is>
      </c>
      <c r="D89" s="12" t="inlineStr">
        <is>
          <t>Medium</t>
        </is>
      </c>
      <c r="E89" s="4" t="inlineStr">
        <is>
          <t>Trie</t>
        </is>
      </c>
      <c r="F89" s="4" t="inlineStr">
        <is>
          <t>Wildcard DFS</t>
        </is>
      </c>
      <c r="G89" s="4" t="inlineStr">
        <is>
          <t>Trees</t>
        </is>
      </c>
      <c r="H89" s="4" t="inlineStr">
        <is>
          <t>string, depth-first-search, design, trie</t>
        </is>
      </c>
      <c r="I89" s="4" t="inlineStr">
        <is>
          <t>Ac</t>
        </is>
      </c>
      <c r="J89" s="11" t="n">
        <v>45291.36162037037</v>
      </c>
      <c r="K89" s="11" t="n">
        <v>45291.36162037037</v>
      </c>
      <c r="L89" s="11" t="n">
        <v>45291.36162037037</v>
      </c>
      <c r="M89" s="4" t="n">
        <v>1</v>
      </c>
      <c r="N89" s="4" t="n">
        <v>1</v>
      </c>
      <c r="O89" s="4" t="n">
        <v>0</v>
      </c>
      <c r="P89" s="4">
        <f>IF(AND(N89&gt;0,O89=0),"Yes","No")</f>
        <v/>
      </c>
      <c r="Q89" s="4" t="n">
        <v>0</v>
      </c>
      <c r="R89" s="4" t="n">
        <v>0</v>
      </c>
      <c r="S89" s="4" t="n">
        <v>0</v>
      </c>
      <c r="T89" s="4" t="inlineStr">
        <is>
          <t>Python3</t>
        </is>
      </c>
      <c r="U89" s="4" t="n">
        <v>5</v>
      </c>
      <c r="V89" s="9" t="inlineStr">
        <is>
          <t>Submission 1132671929</t>
        </is>
      </c>
      <c r="W89" s="9" t="inlineStr">
        <is>
          <t>Open code</t>
        </is>
      </c>
      <c r="X89" s="4" t="n">
        <v>0</v>
      </c>
      <c r="Y89" s="4" t="inlineStr">
        <is>
          <t>2023-12</t>
        </is>
      </c>
      <c r="Z89" s="14" t="n"/>
    </row>
    <row r="90">
      <c r="A90" s="4" t="n">
        <v>89</v>
      </c>
      <c r="B90" s="4" t="n">
        <v>383</v>
      </c>
      <c r="C90" s="9" t="inlineStr">
        <is>
          <t>Ransom Note</t>
        </is>
      </c>
      <c r="D90" s="10" t="inlineStr">
        <is>
          <t>Easy</t>
        </is>
      </c>
      <c r="E90" s="4" t="inlineStr">
        <is>
          <t>Arrays, Hashing &amp; Sorting</t>
        </is>
      </c>
      <c r="F90" s="4" t="inlineStr">
        <is>
          <t>Counting</t>
        </is>
      </c>
      <c r="G90" s="4" t="inlineStr">
        <is>
          <t>Arrays &amp; Strings</t>
        </is>
      </c>
      <c r="H90" s="4" t="inlineStr">
        <is>
          <t>hash-table, string, counting</t>
        </is>
      </c>
      <c r="I90" s="4" t="inlineStr">
        <is>
          <t>Ac</t>
        </is>
      </c>
      <c r="J90" s="11" t="n">
        <v>45295.14822916667</v>
      </c>
      <c r="K90" s="11" t="n">
        <v>45295.14822916667</v>
      </c>
      <c r="L90" s="11" t="n">
        <v>45295.14822916667</v>
      </c>
      <c r="M90" s="4" t="n">
        <v>1</v>
      </c>
      <c r="N90" s="4" t="n">
        <v>1</v>
      </c>
      <c r="O90" s="4" t="n">
        <v>0</v>
      </c>
      <c r="P90" s="4">
        <f>IF(AND(N90&gt;0,O90=0),"Yes","No")</f>
        <v/>
      </c>
      <c r="Q90" s="4" t="n">
        <v>0</v>
      </c>
      <c r="R90" s="4" t="n">
        <v>0</v>
      </c>
      <c r="S90" s="4" t="n">
        <v>0</v>
      </c>
      <c r="T90" s="4" t="inlineStr">
        <is>
          <t>Python3</t>
        </is>
      </c>
      <c r="U90" s="4" t="n">
        <v>6.3</v>
      </c>
      <c r="V90" s="9" t="inlineStr">
        <is>
          <t>Submission 1136046852</t>
        </is>
      </c>
      <c r="W90" s="9" t="inlineStr">
        <is>
          <t>Open code</t>
        </is>
      </c>
      <c r="X90" s="4" t="n">
        <v>0</v>
      </c>
      <c r="Y90" s="4" t="inlineStr">
        <is>
          <t>2024-01</t>
        </is>
      </c>
      <c r="Z90" s="14" t="n"/>
    </row>
    <row r="91">
      <c r="A91" s="4" t="n">
        <v>90</v>
      </c>
      <c r="B91" s="4" t="n">
        <v>1868</v>
      </c>
      <c r="C91" s="9" t="inlineStr">
        <is>
          <t>Product of Two Run-Length Encoded Arrays</t>
        </is>
      </c>
      <c r="D91" s="12" t="inlineStr">
        <is>
          <t>Medium</t>
        </is>
      </c>
      <c r="E91" s="4" t="inlineStr">
        <is>
          <t>Two Pointers</t>
        </is>
      </c>
      <c r="F91" s="4" t="inlineStr">
        <is>
          <t>Two-pointer merge</t>
        </is>
      </c>
      <c r="G91" s="4" t="inlineStr">
        <is>
          <t>Arrays &amp; Strings</t>
        </is>
      </c>
      <c r="H91" s="4" t="inlineStr">
        <is>
          <t>array, two-pointers</t>
        </is>
      </c>
      <c r="I91" s="4" t="inlineStr">
        <is>
          <t>Ac</t>
        </is>
      </c>
      <c r="J91" s="11" t="n">
        <v>45296.97950231482</v>
      </c>
      <c r="K91" s="11" t="n">
        <v>45296.97950231482</v>
      </c>
      <c r="L91" s="11" t="n">
        <v>45296.97950231482</v>
      </c>
      <c r="M91" s="4" t="n">
        <v>1</v>
      </c>
      <c r="N91" s="4" t="n">
        <v>1</v>
      </c>
      <c r="O91" s="4" t="n">
        <v>0</v>
      </c>
      <c r="P91" s="4">
        <f>IF(AND(N91&gt;0,O91=0),"Yes","No")</f>
        <v/>
      </c>
      <c r="Q91" s="4" t="n">
        <v>0</v>
      </c>
      <c r="R91" s="4" t="n">
        <v>0</v>
      </c>
      <c r="S91" s="4" t="n">
        <v>0</v>
      </c>
      <c r="T91" s="4" t="inlineStr">
        <is>
          <t>Python3</t>
        </is>
      </c>
      <c r="U91" s="4" t="n">
        <v>5.9</v>
      </c>
      <c r="V91" s="9" t="inlineStr">
        <is>
          <t>Submission 1137834234</t>
        </is>
      </c>
      <c r="W91" s="9" t="inlineStr">
        <is>
          <t>Open code</t>
        </is>
      </c>
      <c r="X91" s="4" t="n">
        <v>0</v>
      </c>
      <c r="Y91" s="4" t="inlineStr">
        <is>
          <t>2024-01</t>
        </is>
      </c>
      <c r="Z91" s="14" t="n"/>
    </row>
    <row r="92">
      <c r="A92" s="4" t="n">
        <v>91</v>
      </c>
      <c r="B92" s="4" t="n">
        <v>1539</v>
      </c>
      <c r="C92" s="9" t="inlineStr">
        <is>
          <t>Kth Missing Positive Number</t>
        </is>
      </c>
      <c r="D92" s="10" t="inlineStr">
        <is>
          <t>Easy</t>
        </is>
      </c>
      <c r="E92" s="4" t="inlineStr">
        <is>
          <t>Binary Search</t>
        </is>
      </c>
      <c r="F92" s="4" t="inlineStr">
        <is>
          <t>Missing-count search</t>
        </is>
      </c>
      <c r="G92" s="4" t="inlineStr">
        <is>
          <t>Searching</t>
        </is>
      </c>
      <c r="H92" s="4" t="inlineStr">
        <is>
          <t>array, binary-search</t>
        </is>
      </c>
      <c r="I92" s="4" t="inlineStr">
        <is>
          <t>Ac</t>
        </is>
      </c>
      <c r="J92" s="11" t="n">
        <v>45298.05826388889</v>
      </c>
      <c r="K92" s="11" t="n">
        <v>45298.05826388889</v>
      </c>
      <c r="L92" s="11" t="n">
        <v>45846.68546296296</v>
      </c>
      <c r="M92" s="4" t="n">
        <v>8</v>
      </c>
      <c r="N92" s="4" t="n">
        <v>7</v>
      </c>
      <c r="O92" s="4" t="n">
        <v>0</v>
      </c>
      <c r="P92" s="4">
        <f>IF(AND(N92&gt;0,O92=0),"Yes","No")</f>
        <v/>
      </c>
      <c r="Q92" s="4" t="n">
        <v>0</v>
      </c>
      <c r="R92" s="4" t="n">
        <v>0</v>
      </c>
      <c r="S92" s="4" t="n">
        <v>0</v>
      </c>
      <c r="T92" s="4" t="inlineStr">
        <is>
          <t>C++, Python3</t>
        </is>
      </c>
      <c r="U92" s="4" t="n">
        <v>100</v>
      </c>
      <c r="V92" s="9" t="inlineStr">
        <is>
          <t>Submission 1690679643</t>
        </is>
      </c>
      <c r="W92" s="9" t="inlineStr">
        <is>
          <t>Open code</t>
        </is>
      </c>
      <c r="X92" s="4" t="n">
        <v>0</v>
      </c>
      <c r="Y92" s="4" t="inlineStr">
        <is>
          <t>2024-01</t>
        </is>
      </c>
      <c r="Z92" s="14" t="n"/>
    </row>
    <row r="93">
      <c r="A93" s="4" t="n">
        <v>92</v>
      </c>
      <c r="B93" s="4" t="n">
        <v>74</v>
      </c>
      <c r="C93" s="9" t="inlineStr">
        <is>
          <t>Search a 2D Matrix</t>
        </is>
      </c>
      <c r="D93" s="12" t="inlineStr">
        <is>
          <t>Medium</t>
        </is>
      </c>
      <c r="E93" s="4" t="inlineStr">
        <is>
          <t>Binary Search</t>
        </is>
      </c>
      <c r="F93" s="4" t="inlineStr">
        <is>
          <t>Flattened search</t>
        </is>
      </c>
      <c r="G93" s="4" t="inlineStr">
        <is>
          <t>Searching</t>
        </is>
      </c>
      <c r="H93" s="4" t="inlineStr">
        <is>
          <t>array, binary-search, matrix</t>
        </is>
      </c>
      <c r="I93" s="4" t="inlineStr">
        <is>
          <t>Ac</t>
        </is>
      </c>
      <c r="J93" s="11" t="n">
        <v>45298.18949074074</v>
      </c>
      <c r="K93" s="11" t="n">
        <v>45298.18949074074</v>
      </c>
      <c r="L93" s="11" t="n">
        <v>45298.18949074074</v>
      </c>
      <c r="M93" s="4" t="n">
        <v>1</v>
      </c>
      <c r="N93" s="4" t="n">
        <v>1</v>
      </c>
      <c r="O93" s="4" t="n">
        <v>0</v>
      </c>
      <c r="P93" s="4">
        <f>IF(AND(N93&gt;0,O93=0),"Yes","No")</f>
        <v/>
      </c>
      <c r="Q93" s="4" t="n">
        <v>0</v>
      </c>
      <c r="R93" s="4" t="n">
        <v>0</v>
      </c>
      <c r="S93" s="4" t="n">
        <v>0</v>
      </c>
      <c r="T93" s="4" t="inlineStr">
        <is>
          <t>Python3</t>
        </is>
      </c>
      <c r="U93" s="4" t="n">
        <v>0</v>
      </c>
      <c r="V93" s="9" t="inlineStr">
        <is>
          <t>Submission 1138953190</t>
        </is>
      </c>
      <c r="W93" s="9" t="inlineStr">
        <is>
          <t>Open code</t>
        </is>
      </c>
      <c r="X93" s="4" t="n">
        <v>0</v>
      </c>
      <c r="Y93" s="4" t="inlineStr">
        <is>
          <t>2024-01</t>
        </is>
      </c>
      <c r="Z93" s="14" t="n"/>
    </row>
    <row r="94">
      <c r="A94" s="4" t="n">
        <v>93</v>
      </c>
      <c r="B94" s="4" t="n">
        <v>273</v>
      </c>
      <c r="C94" s="9" t="inlineStr">
        <is>
          <t>Integer to English Words</t>
        </is>
      </c>
      <c r="D94" s="13" t="inlineStr">
        <is>
          <t>Hard</t>
        </is>
      </c>
      <c r="E94" s="4" t="inlineStr">
        <is>
          <t>Strings &amp; Simulation</t>
        </is>
      </c>
      <c r="F94" s="4" t="inlineStr">
        <is>
          <t>Chunked conversion</t>
        </is>
      </c>
      <c r="G94" s="4" t="inlineStr">
        <is>
          <t>Arrays &amp; Strings</t>
        </is>
      </c>
      <c r="H94" s="4" t="inlineStr">
        <is>
          <t>math, string, recursion</t>
        </is>
      </c>
      <c r="I94" s="4" t="inlineStr">
        <is>
          <t>Ac</t>
        </is>
      </c>
      <c r="J94" s="11" t="n">
        <v>45303.86851851852</v>
      </c>
      <c r="K94" s="11" t="n">
        <v>45303.87119212963</v>
      </c>
      <c r="L94" s="11" t="n">
        <v>45331.89951388889</v>
      </c>
      <c r="M94" s="4" t="n">
        <v>8</v>
      </c>
      <c r="N94" s="4" t="n">
        <v>2</v>
      </c>
      <c r="O94" s="4" t="n">
        <v>6</v>
      </c>
      <c r="P94" s="4">
        <f>IF(AND(N94&gt;0,O94=0),"Yes","No")</f>
        <v/>
      </c>
      <c r="Q94" s="4" t="n">
        <v>5</v>
      </c>
      <c r="R94" s="4" t="n">
        <v>0</v>
      </c>
      <c r="S94" s="4" t="n">
        <v>1</v>
      </c>
      <c r="T94" s="4" t="inlineStr">
        <is>
          <t>Python3</t>
        </is>
      </c>
      <c r="U94" s="4" t="n">
        <v>1.5</v>
      </c>
      <c r="V94" s="9" t="inlineStr">
        <is>
          <t>Submission 1170730755</t>
        </is>
      </c>
      <c r="W94" s="9" t="inlineStr">
        <is>
          <t>Open code</t>
        </is>
      </c>
      <c r="X94" s="4" t="n">
        <v>0</v>
      </c>
      <c r="Y94" s="4" t="inlineStr">
        <is>
          <t>2024-01</t>
        </is>
      </c>
      <c r="Z94" s="14" t="n"/>
    </row>
    <row r="95">
      <c r="A95" s="4" t="n">
        <v>94</v>
      </c>
      <c r="B95" s="4" t="n">
        <v>1358</v>
      </c>
      <c r="C95" s="9" t="inlineStr">
        <is>
          <t>Number of Substrings Containing All Three Characters</t>
        </is>
      </c>
      <c r="D95" s="12" t="inlineStr">
        <is>
          <t>Medium</t>
        </is>
      </c>
      <c r="E95" s="4" t="inlineStr">
        <is>
          <t>Sliding Window</t>
        </is>
      </c>
      <c r="F95" s="4" t="inlineStr">
        <is>
          <t>Count windows</t>
        </is>
      </c>
      <c r="G95" s="4" t="inlineStr">
        <is>
          <t>Arrays &amp; Strings</t>
        </is>
      </c>
      <c r="H95" s="4" t="inlineStr">
        <is>
          <t>hash-table, string, sliding-window</t>
        </is>
      </c>
      <c r="I95" s="4" t="inlineStr">
        <is>
          <t>Ac</t>
        </is>
      </c>
      <c r="J95" s="11" t="n">
        <v>45307.25619212963</v>
      </c>
      <c r="K95" s="11" t="n">
        <v>45307.25619212963</v>
      </c>
      <c r="L95" s="11" t="n">
        <v>45307.25619212963</v>
      </c>
      <c r="M95" s="4" t="n">
        <v>1</v>
      </c>
      <c r="N95" s="4" t="n">
        <v>1</v>
      </c>
      <c r="O95" s="4" t="n">
        <v>0</v>
      </c>
      <c r="P95" s="4">
        <f>IF(AND(N95&gt;0,O95=0),"Yes","No")</f>
        <v/>
      </c>
      <c r="Q95" s="4" t="n">
        <v>0</v>
      </c>
      <c r="R95" s="4" t="n">
        <v>0</v>
      </c>
      <c r="S95" s="4" t="n">
        <v>0</v>
      </c>
      <c r="T95" s="4" t="inlineStr">
        <is>
          <t>Python3</t>
        </is>
      </c>
      <c r="U95" s="4" t="n">
        <v>5</v>
      </c>
      <c r="V95" s="9" t="inlineStr">
        <is>
          <t>Submission 1147351380</t>
        </is>
      </c>
      <c r="W95" s="9" t="inlineStr">
        <is>
          <t>Open code</t>
        </is>
      </c>
      <c r="X95" s="4" t="n">
        <v>0</v>
      </c>
      <c r="Y95" s="4" t="inlineStr">
        <is>
          <t>2024-01</t>
        </is>
      </c>
      <c r="Z95" s="14" t="n"/>
    </row>
    <row r="96">
      <c r="A96" s="4" t="n">
        <v>95</v>
      </c>
      <c r="B96" s="4" t="n">
        <v>1944</v>
      </c>
      <c r="C96" s="9" t="inlineStr">
        <is>
          <t>Number of Visible People in a Queue</t>
        </is>
      </c>
      <c r="D96" s="13" t="inlineStr">
        <is>
          <t>Hard</t>
        </is>
      </c>
      <c r="E96" s="4" t="inlineStr">
        <is>
          <t>Monotonic Stack / Deque</t>
        </is>
      </c>
      <c r="F96" s="4" t="inlineStr">
        <is>
          <t>Monotonic stack</t>
        </is>
      </c>
      <c r="G96" s="4" t="inlineStr">
        <is>
          <t>Stacks &amp; Queues</t>
        </is>
      </c>
      <c r="H96" s="4" t="inlineStr">
        <is>
          <t>array, stack, monotonic-stack</t>
        </is>
      </c>
      <c r="I96" s="4" t="inlineStr">
        <is>
          <t>Ac</t>
        </is>
      </c>
      <c r="J96" s="11" t="n">
        <v>45314.45179398148</v>
      </c>
      <c r="K96" s="11" t="n">
        <v>45314.45179398148</v>
      </c>
      <c r="L96" s="11" t="n">
        <v>45333.01395833334</v>
      </c>
      <c r="M96" s="4" t="n">
        <v>4</v>
      </c>
      <c r="N96" s="4" t="n">
        <v>4</v>
      </c>
      <c r="O96" s="4" t="n">
        <v>0</v>
      </c>
      <c r="P96" s="4">
        <f>IF(AND(N96&gt;0,O96=0),"Yes","No")</f>
        <v/>
      </c>
      <c r="Q96" s="4" t="n">
        <v>0</v>
      </c>
      <c r="R96" s="4" t="n">
        <v>0</v>
      </c>
      <c r="S96" s="4" t="n">
        <v>0</v>
      </c>
      <c r="T96" s="4" t="inlineStr">
        <is>
          <t>Python3</t>
        </is>
      </c>
      <c r="U96" s="4" t="n">
        <v>5.1</v>
      </c>
      <c r="V96" s="9" t="inlineStr">
        <is>
          <t>Submission 1171657448</t>
        </is>
      </c>
      <c r="W96" s="9" t="inlineStr">
        <is>
          <t>Open code</t>
        </is>
      </c>
      <c r="X96" s="4" t="n">
        <v>0</v>
      </c>
      <c r="Y96" s="4" t="inlineStr">
        <is>
          <t>2024-01</t>
        </is>
      </c>
      <c r="Z96" s="14" t="n"/>
    </row>
    <row r="97">
      <c r="A97" s="4" t="n">
        <v>96</v>
      </c>
      <c r="B97" s="4" t="n">
        <v>2365</v>
      </c>
      <c r="C97" s="9" t="inlineStr">
        <is>
          <t>Task Scheduler II</t>
        </is>
      </c>
      <c r="D97" s="12" t="inlineStr">
        <is>
          <t>Medium</t>
        </is>
      </c>
      <c r="E97" s="4" t="inlineStr">
        <is>
          <t>Arrays, Hashing &amp; Sorting</t>
        </is>
      </c>
      <c r="F97" s="4" t="inlineStr">
        <is>
          <t>Last-day map</t>
        </is>
      </c>
      <c r="G97" s="4" t="inlineStr">
        <is>
          <t>Arrays &amp; Strings</t>
        </is>
      </c>
      <c r="H97" s="4" t="inlineStr">
        <is>
          <t>array, hash-table, simulation</t>
        </is>
      </c>
      <c r="I97" s="4" t="inlineStr">
        <is>
          <t>Notac</t>
        </is>
      </c>
      <c r="J97" s="11" t="n">
        <v>45317.1752662037</v>
      </c>
      <c r="K97" s="11" t="n"/>
      <c r="L97" s="11" t="n">
        <v>45317.1752662037</v>
      </c>
      <c r="M97" s="4" t="n">
        <v>1</v>
      </c>
      <c r="N97" s="4" t="n">
        <v>0</v>
      </c>
      <c r="O97" s="4" t="n">
        <v>1</v>
      </c>
      <c r="P97" s="4">
        <f>IF(AND(N97&gt;0,O97=0),"Yes","No")</f>
        <v/>
      </c>
      <c r="Q97" s="4" t="n">
        <v>0</v>
      </c>
      <c r="R97" s="4" t="n">
        <v>1</v>
      </c>
      <c r="S97" s="4" t="n">
        <v>0</v>
      </c>
      <c r="T97" s="4" t="inlineStr">
        <is>
          <t>Python3</t>
        </is>
      </c>
      <c r="U97" s="4" t="n"/>
      <c r="V97" s="4" t="n"/>
      <c r="W97" s="9" t="inlineStr">
        <is>
          <t>Open code</t>
        </is>
      </c>
      <c r="X97" s="4" t="n">
        <v>0</v>
      </c>
      <c r="Y97" s="4" t="inlineStr"/>
      <c r="Z97" s="14" t="n"/>
    </row>
    <row r="98">
      <c r="A98" s="4" t="n">
        <v>97</v>
      </c>
      <c r="B98" s="4" t="n">
        <v>163</v>
      </c>
      <c r="C98" s="9" t="inlineStr">
        <is>
          <t>Missing Ranges</t>
        </is>
      </c>
      <c r="D98" s="10" t="inlineStr">
        <is>
          <t>Easy</t>
        </is>
      </c>
      <c r="E98" s="4" t="inlineStr">
        <is>
          <t>Arrays, Hashing &amp; Sorting</t>
        </is>
      </c>
      <c r="F98" s="4" t="inlineStr">
        <is>
          <t>Gap scan</t>
        </is>
      </c>
      <c r="G98" s="4" t="inlineStr">
        <is>
          <t>Arrays &amp; Strings</t>
        </is>
      </c>
      <c r="H98" s="4" t="inlineStr">
        <is>
          <t>array</t>
        </is>
      </c>
      <c r="I98" s="4" t="inlineStr">
        <is>
          <t>Ac</t>
        </is>
      </c>
      <c r="J98" s="11" t="n">
        <v>45318.06092592593</v>
      </c>
      <c r="K98" s="11" t="n">
        <v>45318.06317129629</v>
      </c>
      <c r="L98" s="11" t="n">
        <v>45332.99047453704</v>
      </c>
      <c r="M98" s="4" t="n">
        <v>8</v>
      </c>
      <c r="N98" s="4" t="n">
        <v>5</v>
      </c>
      <c r="O98" s="4" t="n">
        <v>2</v>
      </c>
      <c r="P98" s="4">
        <f>IF(AND(N98&gt;0,O98=0),"Yes","No")</f>
        <v/>
      </c>
      <c r="Q98" s="4" t="n">
        <v>2</v>
      </c>
      <c r="R98" s="4" t="n">
        <v>0</v>
      </c>
      <c r="S98" s="4" t="n">
        <v>0</v>
      </c>
      <c r="T98" s="4" t="inlineStr">
        <is>
          <t>Python3</t>
        </is>
      </c>
      <c r="U98" s="4" t="n">
        <v>0</v>
      </c>
      <c r="V98" s="9" t="inlineStr">
        <is>
          <t>Submission 1171631028</t>
        </is>
      </c>
      <c r="W98" s="9" t="inlineStr">
        <is>
          <t>Open code</t>
        </is>
      </c>
      <c r="X98" s="4" t="n">
        <v>0</v>
      </c>
      <c r="Y98" s="4" t="inlineStr">
        <is>
          <t>2024-01</t>
        </is>
      </c>
      <c r="Z98" s="14" t="n"/>
    </row>
    <row r="99">
      <c r="A99" s="4" t="n">
        <v>98</v>
      </c>
      <c r="B99" s="4" t="n">
        <v>692</v>
      </c>
      <c r="C99" s="9" t="inlineStr">
        <is>
          <t>Top K Frequent Words</t>
        </is>
      </c>
      <c r="D99" s="12" t="inlineStr">
        <is>
          <t>Medium</t>
        </is>
      </c>
      <c r="E99" s="4" t="inlineStr">
        <is>
          <t>Heap / Top-K</t>
        </is>
      </c>
      <c r="F99" s="4" t="inlineStr">
        <is>
          <t>Top-K with heap</t>
        </is>
      </c>
      <c r="G99" s="4" t="inlineStr">
        <is>
          <t>Heaps &amp; Intervals</t>
        </is>
      </c>
      <c r="H99" s="4" t="inlineStr">
        <is>
          <t>array, hash-table, string, trie, sorting, heap-priority-queue, bucket-sort, counting</t>
        </is>
      </c>
      <c r="I99" s="4" t="inlineStr">
        <is>
          <t>Notac</t>
        </is>
      </c>
      <c r="J99" s="11" t="n">
        <v>45319.11879629629</v>
      </c>
      <c r="K99" s="11" t="n"/>
      <c r="L99" s="11" t="n">
        <v>45319.11879629629</v>
      </c>
      <c r="M99" s="4" t="n">
        <v>1</v>
      </c>
      <c r="N99" s="4" t="n">
        <v>0</v>
      </c>
      <c r="O99" s="4" t="n">
        <v>1</v>
      </c>
      <c r="P99" s="4">
        <f>IF(AND(N99&gt;0,O99=0),"Yes","No")</f>
        <v/>
      </c>
      <c r="Q99" s="4" t="n">
        <v>1</v>
      </c>
      <c r="R99" s="4" t="n">
        <v>0</v>
      </c>
      <c r="S99" s="4" t="n">
        <v>0</v>
      </c>
      <c r="T99" s="4" t="inlineStr">
        <is>
          <t>Python3</t>
        </is>
      </c>
      <c r="U99" s="4" t="n"/>
      <c r="V99" s="4" t="n"/>
      <c r="W99" s="9" t="inlineStr">
        <is>
          <t>Open code</t>
        </is>
      </c>
      <c r="X99" s="4" t="n">
        <v>0</v>
      </c>
      <c r="Y99" s="4" t="inlineStr"/>
      <c r="Z99" s="14" t="n"/>
    </row>
    <row r="100">
      <c r="A100" s="4" t="n">
        <v>99</v>
      </c>
      <c r="B100" s="4" t="n">
        <v>161</v>
      </c>
      <c r="C100" s="9" t="inlineStr">
        <is>
          <t>One Edit Distance</t>
        </is>
      </c>
      <c r="D100" s="12" t="inlineStr">
        <is>
          <t>Medium</t>
        </is>
      </c>
      <c r="E100" s="4" t="inlineStr">
        <is>
          <t>Two Pointers</t>
        </is>
      </c>
      <c r="F100" s="4" t="inlineStr">
        <is>
          <t>Single mismatch</t>
        </is>
      </c>
      <c r="G100" s="4" t="inlineStr">
        <is>
          <t>Arrays &amp; Strings</t>
        </is>
      </c>
      <c r="H100" s="4" t="inlineStr">
        <is>
          <t>two-pointers, string</t>
        </is>
      </c>
      <c r="I100" s="4" t="inlineStr">
        <is>
          <t>Ac</t>
        </is>
      </c>
      <c r="J100" s="11" t="n">
        <v>45320.2225925926</v>
      </c>
      <c r="K100" s="11" t="n">
        <v>45320.23039351852</v>
      </c>
      <c r="L100" s="11" t="n">
        <v>45320.23039351852</v>
      </c>
      <c r="M100" s="4" t="n">
        <v>4</v>
      </c>
      <c r="N100" s="4" t="n">
        <v>1</v>
      </c>
      <c r="O100" s="4" t="n">
        <v>3</v>
      </c>
      <c r="P100" s="4">
        <f>IF(AND(N100&gt;0,O100=0),"Yes","No")</f>
        <v/>
      </c>
      <c r="Q100" s="4" t="n">
        <v>1</v>
      </c>
      <c r="R100" s="4" t="n">
        <v>0</v>
      </c>
      <c r="S100" s="4" t="n">
        <v>2</v>
      </c>
      <c r="T100" s="4" t="inlineStr">
        <is>
          <t>Python3</t>
        </is>
      </c>
      <c r="U100" s="4" t="n">
        <v>5.7</v>
      </c>
      <c r="V100" s="9" t="inlineStr">
        <is>
          <t>Submission 1159609851</t>
        </is>
      </c>
      <c r="W100" s="9" t="inlineStr">
        <is>
          <t>Open code</t>
        </is>
      </c>
      <c r="X100" s="4" t="n">
        <v>0</v>
      </c>
      <c r="Y100" s="4" t="inlineStr">
        <is>
          <t>2024-01</t>
        </is>
      </c>
      <c r="Z100" s="14" t="n"/>
    </row>
    <row r="101">
      <c r="A101" s="4" t="n">
        <v>100</v>
      </c>
      <c r="B101" s="4" t="n">
        <v>536</v>
      </c>
      <c r="C101" s="9" t="inlineStr">
        <is>
          <t>Construct Binary Tree from String</t>
        </is>
      </c>
      <c r="D101" s="12" t="inlineStr">
        <is>
          <t>Medium</t>
        </is>
      </c>
      <c r="E101" s="4" t="inlineStr">
        <is>
          <t>Binary Tree (DFS &amp; Recursion)</t>
        </is>
      </c>
      <c r="F101" s="4" t="inlineStr">
        <is>
          <t>Recursive parsing</t>
        </is>
      </c>
      <c r="G101" s="4" t="inlineStr">
        <is>
          <t>Trees</t>
        </is>
      </c>
      <c r="H101" s="4" t="inlineStr">
        <is>
          <t>string, stack, tree, depth-first-search, binary-tree</t>
        </is>
      </c>
      <c r="I101" s="4" t="inlineStr">
        <is>
          <t>Ac</t>
        </is>
      </c>
      <c r="J101" s="11" t="n">
        <v>45321.17465277778</v>
      </c>
      <c r="K101" s="11" t="n">
        <v>45321.17630787037</v>
      </c>
      <c r="L101" s="11" t="n">
        <v>45321.17630787037</v>
      </c>
      <c r="M101" s="4" t="n">
        <v>2</v>
      </c>
      <c r="N101" s="4" t="n">
        <v>1</v>
      </c>
      <c r="O101" s="4" t="n">
        <v>1</v>
      </c>
      <c r="P101" s="4">
        <f>IF(AND(N101&gt;0,O101=0),"Yes","No")</f>
        <v/>
      </c>
      <c r="Q101" s="4" t="n">
        <v>0</v>
      </c>
      <c r="R101" s="4" t="n">
        <v>0</v>
      </c>
      <c r="S101" s="4" t="n">
        <v>1</v>
      </c>
      <c r="T101" s="4" t="inlineStr">
        <is>
          <t>Python3</t>
        </is>
      </c>
      <c r="U101" s="4" t="n">
        <v>6.6</v>
      </c>
      <c r="V101" s="9" t="inlineStr">
        <is>
          <t>Submission 1160501419</t>
        </is>
      </c>
      <c r="W101" s="9" t="inlineStr">
        <is>
          <t>Open code</t>
        </is>
      </c>
      <c r="X101" s="4" t="n">
        <v>0</v>
      </c>
      <c r="Y101" s="4" t="inlineStr">
        <is>
          <t>2024-01</t>
        </is>
      </c>
      <c r="Z101" s="14" t="n"/>
    </row>
    <row r="102">
      <c r="A102" s="4" t="n">
        <v>101</v>
      </c>
      <c r="B102" s="4" t="n">
        <v>689</v>
      </c>
      <c r="C102" s="9" t="inlineStr">
        <is>
          <t>Maximum Sum of 3 Non-Overlapping Subarrays</t>
        </is>
      </c>
      <c r="D102" s="13" t="inlineStr">
        <is>
          <t>Hard</t>
        </is>
      </c>
      <c r="E102" s="4" t="inlineStr">
        <is>
          <t>Prefix Sum &amp; Difference Array</t>
        </is>
      </c>
      <c r="F102" s="4" t="inlineStr">
        <is>
          <t>Prefix sum + best left/right</t>
        </is>
      </c>
      <c r="G102" s="4" t="inlineStr">
        <is>
          <t>Arrays &amp; Strings</t>
        </is>
      </c>
      <c r="H102" s="4" t="inlineStr">
        <is>
          <t>array, dynamic-programming, sliding-window, prefix-sum</t>
        </is>
      </c>
      <c r="I102" s="4" t="inlineStr">
        <is>
          <t>Notac</t>
        </is>
      </c>
      <c r="J102" s="11" t="n">
        <v>45326.49115740741</v>
      </c>
      <c r="K102" s="11" t="n"/>
      <c r="L102" s="11" t="n">
        <v>45326.49115740741</v>
      </c>
      <c r="M102" s="4" t="n">
        <v>1</v>
      </c>
      <c r="N102" s="4" t="n">
        <v>0</v>
      </c>
      <c r="O102" s="4" t="n">
        <v>1</v>
      </c>
      <c r="P102" s="4">
        <f>IF(AND(N102&gt;0,O102=0),"Yes","No")</f>
        <v/>
      </c>
      <c r="Q102" s="4" t="n">
        <v>1</v>
      </c>
      <c r="R102" s="4" t="n">
        <v>0</v>
      </c>
      <c r="S102" s="4" t="n">
        <v>0</v>
      </c>
      <c r="T102" s="4" t="inlineStr">
        <is>
          <t>Python3</t>
        </is>
      </c>
      <c r="U102" s="4" t="n"/>
      <c r="V102" s="4" t="n"/>
      <c r="W102" s="9" t="inlineStr">
        <is>
          <t>Open code</t>
        </is>
      </c>
      <c r="X102" s="4" t="n">
        <v>0</v>
      </c>
      <c r="Y102" s="4" t="inlineStr"/>
      <c r="Z102" s="14" t="n"/>
    </row>
    <row r="103">
      <c r="A103" s="4" t="n">
        <v>102</v>
      </c>
      <c r="B103" s="4" t="n">
        <v>18</v>
      </c>
      <c r="C103" s="9" t="inlineStr">
        <is>
          <t>4Sum</t>
        </is>
      </c>
      <c r="D103" s="12" t="inlineStr">
        <is>
          <t>Medium</t>
        </is>
      </c>
      <c r="E103" s="4" t="inlineStr">
        <is>
          <t>Two Pointers</t>
        </is>
      </c>
      <c r="F103" s="4" t="inlineStr">
        <is>
          <t>Sort + two pointers</t>
        </is>
      </c>
      <c r="G103" s="4" t="inlineStr">
        <is>
          <t>Arrays &amp; Strings</t>
        </is>
      </c>
      <c r="H103" s="4" t="inlineStr">
        <is>
          <t>array, two-pointers, sorting</t>
        </is>
      </c>
      <c r="I103" s="4" t="inlineStr">
        <is>
          <t>Ac</t>
        </is>
      </c>
      <c r="J103" s="11" t="n">
        <v>45328.24839120371</v>
      </c>
      <c r="K103" s="11" t="n">
        <v>45328.24900462963</v>
      </c>
      <c r="L103" s="11" t="n">
        <v>45332.17193287037</v>
      </c>
      <c r="M103" s="4" t="n">
        <v>4</v>
      </c>
      <c r="N103" s="4" t="n">
        <v>2</v>
      </c>
      <c r="O103" s="4" t="n">
        <v>1</v>
      </c>
      <c r="P103" s="4">
        <f>IF(AND(N103&gt;0,O103=0),"Yes","No")</f>
        <v/>
      </c>
      <c r="Q103" s="4" t="n">
        <v>1</v>
      </c>
      <c r="R103" s="4" t="n">
        <v>0</v>
      </c>
      <c r="S103" s="4" t="n">
        <v>0</v>
      </c>
      <c r="T103" s="4" t="inlineStr">
        <is>
          <t>Python3</t>
        </is>
      </c>
      <c r="U103" s="4" t="n">
        <v>17.7</v>
      </c>
      <c r="V103" s="9" t="inlineStr">
        <is>
          <t>Submission 1167304301</t>
        </is>
      </c>
      <c r="W103" s="9" t="inlineStr">
        <is>
          <t>Open code</t>
        </is>
      </c>
      <c r="X103" s="4" t="n">
        <v>0</v>
      </c>
      <c r="Y103" s="4" t="inlineStr">
        <is>
          <t>2024-02</t>
        </is>
      </c>
      <c r="Z103" s="14" t="n"/>
    </row>
    <row r="104">
      <c r="A104" s="4" t="n">
        <v>103</v>
      </c>
      <c r="B104" s="4" t="n">
        <v>1382</v>
      </c>
      <c r="C104" s="9" t="inlineStr">
        <is>
          <t>Balance a Binary Search Tree</t>
        </is>
      </c>
      <c r="D104" s="12" t="inlineStr">
        <is>
          <t>Medium</t>
        </is>
      </c>
      <c r="E104" s="4" t="inlineStr">
        <is>
          <t>Binary Search Tree</t>
        </is>
      </c>
      <c r="F104" s="4" t="inlineStr">
        <is>
          <t>Inorder + rebuild</t>
        </is>
      </c>
      <c r="G104" s="4" t="inlineStr">
        <is>
          <t>Trees</t>
        </is>
      </c>
      <c r="H104" s="4" t="inlineStr">
        <is>
          <t>divide-and-conquer, greedy, tree, depth-first-search, binary-search-tree, binary-tree</t>
        </is>
      </c>
      <c r="I104" s="4" t="inlineStr">
        <is>
          <t>Ac</t>
        </is>
      </c>
      <c r="J104" s="11" t="n">
        <v>45328.45270833333</v>
      </c>
      <c r="K104" s="11" t="n">
        <v>45328.45270833333</v>
      </c>
      <c r="L104" s="11" t="n">
        <v>45328.45270833333</v>
      </c>
      <c r="M104" s="4" t="n">
        <v>1</v>
      </c>
      <c r="N104" s="4" t="n">
        <v>1</v>
      </c>
      <c r="O104" s="4" t="n">
        <v>0</v>
      </c>
      <c r="P104" s="4">
        <f>IF(AND(N104&gt;0,O104=0),"Yes","No")</f>
        <v/>
      </c>
      <c r="Q104" s="4" t="n">
        <v>0</v>
      </c>
      <c r="R104" s="4" t="n">
        <v>0</v>
      </c>
      <c r="S104" s="4" t="n">
        <v>0</v>
      </c>
      <c r="T104" s="4" t="inlineStr">
        <is>
          <t>Python3</t>
        </is>
      </c>
      <c r="U104" s="4" t="n">
        <v>6.2</v>
      </c>
      <c r="V104" s="9" t="inlineStr">
        <is>
          <t>Submission 1167477754</t>
        </is>
      </c>
      <c r="W104" s="9" t="inlineStr">
        <is>
          <t>Open code</t>
        </is>
      </c>
      <c r="X104" s="4" t="n">
        <v>0</v>
      </c>
      <c r="Y104" s="4" t="inlineStr">
        <is>
          <t>2024-02</t>
        </is>
      </c>
      <c r="Z104" s="14" t="n"/>
    </row>
    <row r="105">
      <c r="A105" s="4" t="n">
        <v>104</v>
      </c>
      <c r="B105" s="4" t="n">
        <v>2265</v>
      </c>
      <c r="C105" s="9" t="inlineStr">
        <is>
          <t>Count Nodes Equal to Average of Subtree</t>
        </is>
      </c>
      <c r="D105" s="12" t="inlineStr">
        <is>
          <t>Medium</t>
        </is>
      </c>
      <c r="E105" s="4" t="inlineStr">
        <is>
          <t>Binary Tree (DFS &amp; Recursion)</t>
        </is>
      </c>
      <c r="F105" s="4" t="inlineStr">
        <is>
          <t>Postorder aggregate</t>
        </is>
      </c>
      <c r="G105" s="4" t="inlineStr">
        <is>
          <t>Trees</t>
        </is>
      </c>
      <c r="H105" s="4" t="inlineStr">
        <is>
          <t>tree, depth-first-search, binary-tree</t>
        </is>
      </c>
      <c r="I105" s="4" t="inlineStr">
        <is>
          <t>Ac</t>
        </is>
      </c>
      <c r="J105" s="11" t="n">
        <v>45328.4637962963</v>
      </c>
      <c r="K105" s="11" t="n">
        <v>45328.4637962963</v>
      </c>
      <c r="L105" s="11" t="n">
        <v>45328.4637962963</v>
      </c>
      <c r="M105" s="4" t="n">
        <v>1</v>
      </c>
      <c r="N105" s="4" t="n">
        <v>1</v>
      </c>
      <c r="O105" s="4" t="n">
        <v>0</v>
      </c>
      <c r="P105" s="4">
        <f>IF(AND(N105&gt;0,O105=0),"Yes","No")</f>
        <v/>
      </c>
      <c r="Q105" s="4" t="n">
        <v>0</v>
      </c>
      <c r="R105" s="4" t="n">
        <v>0</v>
      </c>
      <c r="S105" s="4" t="n">
        <v>0</v>
      </c>
      <c r="T105" s="4" t="inlineStr">
        <is>
          <t>Python3</t>
        </is>
      </c>
      <c r="U105" s="4" t="n">
        <v>77.5</v>
      </c>
      <c r="V105" s="9" t="inlineStr">
        <is>
          <t>Submission 1167489848</t>
        </is>
      </c>
      <c r="W105" s="9" t="inlineStr">
        <is>
          <t>Open code</t>
        </is>
      </c>
      <c r="X105" s="4" t="n">
        <v>0</v>
      </c>
      <c r="Y105" s="4" t="inlineStr">
        <is>
          <t>2024-02</t>
        </is>
      </c>
      <c r="Z105" s="14" t="n"/>
    </row>
    <row r="106">
      <c r="A106" s="4" t="n">
        <v>105</v>
      </c>
      <c r="B106" s="4" t="n">
        <v>1161</v>
      </c>
      <c r="C106" s="9" t="inlineStr">
        <is>
          <t>Maximum Level Sum of a Binary Tree</t>
        </is>
      </c>
      <c r="D106" s="12" t="inlineStr">
        <is>
          <t>Medium</t>
        </is>
      </c>
      <c r="E106" s="4" t="inlineStr">
        <is>
          <t>Binary Tree (BFS / Level Order)</t>
        </is>
      </c>
      <c r="F106" s="4" t="inlineStr">
        <is>
          <t>Level order</t>
        </is>
      </c>
      <c r="G106" s="4" t="inlineStr">
        <is>
          <t>Trees</t>
        </is>
      </c>
      <c r="H106" s="4" t="inlineStr">
        <is>
          <t>tree, depth-first-search, breadth-first-search, binary-tree</t>
        </is>
      </c>
      <c r="I106" s="4" t="inlineStr">
        <is>
          <t>Ac</t>
        </is>
      </c>
      <c r="J106" s="11" t="n">
        <v>45328.53753472222</v>
      </c>
      <c r="K106" s="11" t="n">
        <v>45328.53829861111</v>
      </c>
      <c r="L106" s="11" t="n">
        <v>45329.0712037037</v>
      </c>
      <c r="M106" s="4" t="n">
        <v>3</v>
      </c>
      <c r="N106" s="4" t="n">
        <v>2</v>
      </c>
      <c r="O106" s="4" t="n">
        <v>1</v>
      </c>
      <c r="P106" s="4">
        <f>IF(AND(N106&gt;0,O106=0),"Yes","No")</f>
        <v/>
      </c>
      <c r="Q106" s="4" t="n">
        <v>1</v>
      </c>
      <c r="R106" s="4" t="n">
        <v>0</v>
      </c>
      <c r="S106" s="4" t="n">
        <v>0</v>
      </c>
      <c r="T106" s="4" t="inlineStr">
        <is>
          <t>Python3</t>
        </is>
      </c>
      <c r="U106" s="4" t="n">
        <v>5.2</v>
      </c>
      <c r="V106" s="9" t="inlineStr">
        <is>
          <t>Submission 1168161300</t>
        </is>
      </c>
      <c r="W106" s="9" t="inlineStr">
        <is>
          <t>Open code</t>
        </is>
      </c>
      <c r="X106" s="4" t="n">
        <v>0</v>
      </c>
      <c r="Y106" s="4" t="inlineStr">
        <is>
          <t>2024-02</t>
        </is>
      </c>
      <c r="Z106" s="14" t="n"/>
    </row>
    <row r="107">
      <c r="A107" s="4" t="n">
        <v>106</v>
      </c>
      <c r="B107" s="4" t="n">
        <v>1644</v>
      </c>
      <c r="C107" s="9" t="inlineStr">
        <is>
          <t>Lowest Common Ancestor of a Binary Tree II</t>
        </is>
      </c>
      <c r="D107" s="12" t="inlineStr">
        <is>
          <t>Medium</t>
        </is>
      </c>
      <c r="E107" s="4" t="inlineStr">
        <is>
          <t>Binary Tree (DFS &amp; Recursion)</t>
        </is>
      </c>
      <c r="F107" s="4" t="inlineStr">
        <is>
          <t>LCA with existence check</t>
        </is>
      </c>
      <c r="G107" s="4" t="inlineStr">
        <is>
          <t>Trees</t>
        </is>
      </c>
      <c r="H107" s="4" t="inlineStr">
        <is>
          <t>tree, depth-first-search, binary-tree, binary-lifting, lowest-common-ancestor</t>
        </is>
      </c>
      <c r="I107" s="4" t="inlineStr">
        <is>
          <t>Ac</t>
        </is>
      </c>
      <c r="J107" s="11" t="n">
        <v>45328.54186342593</v>
      </c>
      <c r="K107" s="11" t="n">
        <v>45328.54186342593</v>
      </c>
      <c r="L107" s="11" t="n">
        <v>45332.62533564815</v>
      </c>
      <c r="M107" s="4" t="n">
        <v>3</v>
      </c>
      <c r="N107" s="4" t="n">
        <v>3</v>
      </c>
      <c r="O107" s="4" t="n">
        <v>0</v>
      </c>
      <c r="P107" s="4">
        <f>IF(AND(N107&gt;0,O107=0),"Yes","No")</f>
        <v/>
      </c>
      <c r="Q107" s="4" t="n">
        <v>0</v>
      </c>
      <c r="R107" s="4" t="n">
        <v>0</v>
      </c>
      <c r="S107" s="4" t="n">
        <v>0</v>
      </c>
      <c r="T107" s="4" t="inlineStr">
        <is>
          <t>Python3</t>
        </is>
      </c>
      <c r="U107" s="4" t="n">
        <v>86.09999999999999</v>
      </c>
      <c r="V107" s="9" t="inlineStr">
        <is>
          <t>Submission 1171287329</t>
        </is>
      </c>
      <c r="W107" s="9" t="inlineStr">
        <is>
          <t>Open code</t>
        </is>
      </c>
      <c r="X107" s="4" t="n">
        <v>0</v>
      </c>
      <c r="Y107" s="4" t="inlineStr">
        <is>
          <t>2024-02</t>
        </is>
      </c>
      <c r="Z107" s="14" t="n"/>
    </row>
    <row r="108">
      <c r="A108" s="4" t="n">
        <v>107</v>
      </c>
      <c r="B108" s="4" t="n">
        <v>111</v>
      </c>
      <c r="C108" s="9" t="inlineStr">
        <is>
          <t>Minimum Depth of Binary Tree</t>
        </is>
      </c>
      <c r="D108" s="10" t="inlineStr">
        <is>
          <t>Easy</t>
        </is>
      </c>
      <c r="E108" s="4" t="inlineStr">
        <is>
          <t>Binary Tree (BFS / Level Order)</t>
        </is>
      </c>
      <c r="F108" s="4" t="inlineStr">
        <is>
          <t>BFS to first leaf</t>
        </is>
      </c>
      <c r="G108" s="4" t="inlineStr">
        <is>
          <t>Trees</t>
        </is>
      </c>
      <c r="H108" s="4" t="inlineStr">
        <is>
          <t>tree, depth-first-search, breadth-first-search, binary-tree</t>
        </is>
      </c>
      <c r="I108" s="4" t="inlineStr">
        <is>
          <t>Ac</t>
        </is>
      </c>
      <c r="J108" s="11" t="n">
        <v>45328.55619212963</v>
      </c>
      <c r="K108" s="11" t="n">
        <v>45328.55681712963</v>
      </c>
      <c r="L108" s="11" t="n">
        <v>45328.55681712963</v>
      </c>
      <c r="M108" s="4" t="n">
        <v>3</v>
      </c>
      <c r="N108" s="4" t="n">
        <v>1</v>
      </c>
      <c r="O108" s="4" t="n">
        <v>2</v>
      </c>
      <c r="P108" s="4">
        <f>IF(AND(N108&gt;0,O108=0),"Yes","No")</f>
        <v/>
      </c>
      <c r="Q108" s="4" t="n">
        <v>0</v>
      </c>
      <c r="R108" s="4" t="n">
        <v>0</v>
      </c>
      <c r="S108" s="4" t="n">
        <v>2</v>
      </c>
      <c r="T108" s="4" t="inlineStr">
        <is>
          <t>Python3</t>
        </is>
      </c>
      <c r="U108" s="4" t="n">
        <v>5.2</v>
      </c>
      <c r="V108" s="9" t="inlineStr">
        <is>
          <t>Submission 1167590796</t>
        </is>
      </c>
      <c r="W108" s="9" t="inlineStr">
        <is>
          <t>Open code</t>
        </is>
      </c>
      <c r="X108" s="4" t="n">
        <v>0</v>
      </c>
      <c r="Y108" s="4" t="inlineStr">
        <is>
          <t>2024-02</t>
        </is>
      </c>
      <c r="Z108" s="14" t="n"/>
    </row>
    <row r="109">
      <c r="A109" s="4" t="n">
        <v>108</v>
      </c>
      <c r="B109" s="4" t="n">
        <v>865</v>
      </c>
      <c r="C109" s="9" t="inlineStr">
        <is>
          <t>Smallest Subtree with all the Deepest Nodes</t>
        </is>
      </c>
      <c r="D109" s="12" t="inlineStr">
        <is>
          <t>Medium</t>
        </is>
      </c>
      <c r="E109" s="4" t="inlineStr">
        <is>
          <t>Binary Tree (DFS &amp; Recursion)</t>
        </is>
      </c>
      <c r="F109" s="4" t="inlineStr">
        <is>
          <t>Depth + LCA</t>
        </is>
      </c>
      <c r="G109" s="4" t="inlineStr">
        <is>
          <t>Trees</t>
        </is>
      </c>
      <c r="H109" s="4" t="inlineStr">
        <is>
          <t>hash-table, tree, depth-first-search, breadth-first-search, binary-tree, binary-lifting, lowest-common-ancestor, dp-on-trees</t>
        </is>
      </c>
      <c r="I109" s="4" t="inlineStr">
        <is>
          <t>Ac</t>
        </is>
      </c>
      <c r="J109" s="11" t="n">
        <v>45328.89805555555</v>
      </c>
      <c r="K109" s="11" t="n">
        <v>45328.89805555555</v>
      </c>
      <c r="L109" s="11" t="n">
        <v>45328.89805555555</v>
      </c>
      <c r="M109" s="4" t="n">
        <v>1</v>
      </c>
      <c r="N109" s="4" t="n">
        <v>1</v>
      </c>
      <c r="O109" s="4" t="n">
        <v>0</v>
      </c>
      <c r="P109" s="4">
        <f>IF(AND(N109&gt;0,O109=0),"Yes","No")</f>
        <v/>
      </c>
      <c r="Q109" s="4" t="n">
        <v>0</v>
      </c>
      <c r="R109" s="4" t="n">
        <v>0</v>
      </c>
      <c r="S109" s="4" t="n">
        <v>0</v>
      </c>
      <c r="T109" s="4" t="inlineStr">
        <is>
          <t>Python3</t>
        </is>
      </c>
      <c r="U109" s="4" t="n">
        <v>1.5</v>
      </c>
      <c r="V109" s="9" t="inlineStr">
        <is>
          <t>Submission 1167935171</t>
        </is>
      </c>
      <c r="W109" s="9" t="inlineStr">
        <is>
          <t>Open code</t>
        </is>
      </c>
      <c r="X109" s="4" t="n">
        <v>0</v>
      </c>
      <c r="Y109" s="4" t="inlineStr">
        <is>
          <t>2024-02</t>
        </is>
      </c>
      <c r="Z109" s="14" t="n"/>
    </row>
    <row r="110">
      <c r="A110" s="4" t="n">
        <v>109</v>
      </c>
      <c r="B110" s="4" t="n">
        <v>904</v>
      </c>
      <c r="C110" s="9" t="inlineStr">
        <is>
          <t>Fruit Into Baskets</t>
        </is>
      </c>
      <c r="D110" s="12" t="inlineStr">
        <is>
          <t>Medium</t>
        </is>
      </c>
      <c r="E110" s="4" t="inlineStr">
        <is>
          <t>Sliding Window</t>
        </is>
      </c>
      <c r="F110" s="4" t="inlineStr">
        <is>
          <t>At most 2 distinct</t>
        </is>
      </c>
      <c r="G110" s="4" t="inlineStr">
        <is>
          <t>Arrays &amp; Strings</t>
        </is>
      </c>
      <c r="H110" s="4" t="inlineStr">
        <is>
          <t>array, hash-table, sliding-window</t>
        </is>
      </c>
      <c r="I110" s="4" t="inlineStr">
        <is>
          <t>Ac</t>
        </is>
      </c>
      <c r="J110" s="11" t="n">
        <v>45332.60917824074</v>
      </c>
      <c r="K110" s="11" t="n">
        <v>45332.60917824074</v>
      </c>
      <c r="L110" s="11" t="n">
        <v>45332.60917824074</v>
      </c>
      <c r="M110" s="4" t="n">
        <v>1</v>
      </c>
      <c r="N110" s="4" t="n">
        <v>1</v>
      </c>
      <c r="O110" s="4" t="n">
        <v>0</v>
      </c>
      <c r="P110" s="4">
        <f>IF(AND(N110&gt;0,O110=0),"Yes","No")</f>
        <v/>
      </c>
      <c r="Q110" s="4" t="n">
        <v>0</v>
      </c>
      <c r="R110" s="4" t="n">
        <v>0</v>
      </c>
      <c r="S110" s="4" t="n">
        <v>0</v>
      </c>
      <c r="T110" s="4" t="inlineStr">
        <is>
          <t>Python3</t>
        </is>
      </c>
      <c r="U110" s="4" t="n">
        <v>5.1</v>
      </c>
      <c r="V110" s="9" t="inlineStr">
        <is>
          <t>Submission 1171274364</t>
        </is>
      </c>
      <c r="W110" s="9" t="inlineStr">
        <is>
          <t>Open code</t>
        </is>
      </c>
      <c r="X110" s="4" t="n">
        <v>0</v>
      </c>
      <c r="Y110" s="4" t="inlineStr">
        <is>
          <t>2024-02</t>
        </is>
      </c>
      <c r="Z110" s="14" t="n"/>
    </row>
    <row r="111">
      <c r="A111" s="4" t="n">
        <v>110</v>
      </c>
      <c r="B111" s="4" t="n">
        <v>2328</v>
      </c>
      <c r="C111" s="9" t="inlineStr">
        <is>
          <t>Number of Increasing Paths in a Grid</t>
        </is>
      </c>
      <c r="D111" s="13" t="inlineStr">
        <is>
          <t>Hard</t>
        </is>
      </c>
      <c r="E111" s="4" t="inlineStr">
        <is>
          <t>DP: Grid / 2D</t>
        </is>
      </c>
      <c r="F111" s="4" t="inlineStr">
        <is>
          <t>Memoized DFS on grid</t>
        </is>
      </c>
      <c r="G111" s="4" t="inlineStr">
        <is>
          <t>Dynamic Programming</t>
        </is>
      </c>
      <c r="H111" s="4" t="inlineStr">
        <is>
          <t>array, dynamic-programming, depth-first-search, breadth-first-search, graph, topological-sort, memoization, matrix</t>
        </is>
      </c>
      <c r="I111" s="4" t="inlineStr">
        <is>
          <t>Ac</t>
        </is>
      </c>
      <c r="J111" s="11" t="n">
        <v>45332.65555555555</v>
      </c>
      <c r="K111" s="11" t="n">
        <v>45332.6577662037</v>
      </c>
      <c r="L111" s="11" t="n">
        <v>45332.6577662037</v>
      </c>
      <c r="M111" s="4" t="n">
        <v>2</v>
      </c>
      <c r="N111" s="4" t="n">
        <v>1</v>
      </c>
      <c r="O111" s="4" t="n">
        <v>1</v>
      </c>
      <c r="P111" s="4">
        <f>IF(AND(N111&gt;0,O111=0),"Yes","No")</f>
        <v/>
      </c>
      <c r="Q111" s="4" t="n">
        <v>0</v>
      </c>
      <c r="R111" s="4" t="n">
        <v>0</v>
      </c>
      <c r="S111" s="4" t="n">
        <v>1</v>
      </c>
      <c r="T111" s="4" t="inlineStr">
        <is>
          <t>Python3</t>
        </is>
      </c>
      <c r="U111" s="4" t="n">
        <v>5.1</v>
      </c>
      <c r="V111" s="9" t="inlineStr">
        <is>
          <t>Submission 1171314082</t>
        </is>
      </c>
      <c r="W111" s="9" t="inlineStr">
        <is>
          <t>Open code</t>
        </is>
      </c>
      <c r="X111" s="4" t="n">
        <v>0</v>
      </c>
      <c r="Y111" s="4" t="inlineStr">
        <is>
          <t>2024-02</t>
        </is>
      </c>
      <c r="Z111" s="14" t="n"/>
    </row>
    <row r="112">
      <c r="A112" s="4" t="n">
        <v>111</v>
      </c>
      <c r="B112" s="4" t="n">
        <v>103</v>
      </c>
      <c r="C112" s="9" t="inlineStr">
        <is>
          <t>Binary Tree Zigzag Level Order Traversal</t>
        </is>
      </c>
      <c r="D112" s="12" t="inlineStr">
        <is>
          <t>Medium</t>
        </is>
      </c>
      <c r="E112" s="4" t="inlineStr">
        <is>
          <t>Binary Tree (BFS / Level Order)</t>
        </is>
      </c>
      <c r="F112" s="4" t="inlineStr">
        <is>
          <t>Level order</t>
        </is>
      </c>
      <c r="G112" s="4" t="inlineStr">
        <is>
          <t>Trees</t>
        </is>
      </c>
      <c r="H112" s="4" t="inlineStr">
        <is>
          <t>tree, breadth-first-search, binary-tree</t>
        </is>
      </c>
      <c r="I112" s="4" t="inlineStr">
        <is>
          <t>Ac</t>
        </is>
      </c>
      <c r="J112" s="11" t="n">
        <v>45332.89041666667</v>
      </c>
      <c r="K112" s="11" t="n">
        <v>45332.89041666667</v>
      </c>
      <c r="L112" s="11" t="n">
        <v>45332.89041666667</v>
      </c>
      <c r="M112" s="4" t="n">
        <v>1</v>
      </c>
      <c r="N112" s="4" t="n">
        <v>1</v>
      </c>
      <c r="O112" s="4" t="n">
        <v>0</v>
      </c>
      <c r="P112" s="4">
        <f>IF(AND(N112&gt;0,O112=0),"Yes","No")</f>
        <v/>
      </c>
      <c r="Q112" s="4" t="n">
        <v>0</v>
      </c>
      <c r="R112" s="4" t="n">
        <v>0</v>
      </c>
      <c r="S112" s="4" t="n">
        <v>0</v>
      </c>
      <c r="T112" s="4" t="inlineStr">
        <is>
          <t>Python3</t>
        </is>
      </c>
      <c r="U112" s="4" t="n">
        <v>0.3</v>
      </c>
      <c r="V112" s="9" t="inlineStr">
        <is>
          <t>Submission 1171517062</t>
        </is>
      </c>
      <c r="W112" s="9" t="inlineStr">
        <is>
          <t>Open code</t>
        </is>
      </c>
      <c r="X112" s="4" t="n">
        <v>0</v>
      </c>
      <c r="Y112" s="4" t="inlineStr">
        <is>
          <t>2024-02</t>
        </is>
      </c>
      <c r="Z112" s="14" t="n"/>
    </row>
    <row r="113">
      <c r="A113" s="4" t="n">
        <v>112</v>
      </c>
      <c r="B113" s="4" t="n">
        <v>958</v>
      </c>
      <c r="C113" s="9" t="inlineStr">
        <is>
          <t>Check Completeness of a Binary Tree</t>
        </is>
      </c>
      <c r="D113" s="12" t="inlineStr">
        <is>
          <t>Medium</t>
        </is>
      </c>
      <c r="E113" s="4" t="inlineStr">
        <is>
          <t>Binary Tree (BFS / Level Order)</t>
        </is>
      </c>
      <c r="F113" s="4" t="inlineStr">
        <is>
          <t>Level order null check</t>
        </is>
      </c>
      <c r="G113" s="4" t="inlineStr">
        <is>
          <t>Trees</t>
        </is>
      </c>
      <c r="H113" s="4" t="inlineStr">
        <is>
          <t>tree, breadth-first-search, binary-tree</t>
        </is>
      </c>
      <c r="I113" s="4" t="inlineStr">
        <is>
          <t>Ac</t>
        </is>
      </c>
      <c r="J113" s="11" t="n">
        <v>45332.8934837963</v>
      </c>
      <c r="K113" s="11" t="n">
        <v>45332.8934837963</v>
      </c>
      <c r="L113" s="11" t="n">
        <v>45332.8934837963</v>
      </c>
      <c r="M113" s="4" t="n">
        <v>1</v>
      </c>
      <c r="N113" s="4" t="n">
        <v>1</v>
      </c>
      <c r="O113" s="4" t="n">
        <v>0</v>
      </c>
      <c r="P113" s="4">
        <f>IF(AND(N113&gt;0,O113=0),"Yes","No")</f>
        <v/>
      </c>
      <c r="Q113" s="4" t="n">
        <v>0</v>
      </c>
      <c r="R113" s="4" t="n">
        <v>0</v>
      </c>
      <c r="S113" s="4" t="n">
        <v>0</v>
      </c>
      <c r="T113" s="4" t="inlineStr">
        <is>
          <t>Python3</t>
        </is>
      </c>
      <c r="U113" s="4" t="n">
        <v>0.6</v>
      </c>
      <c r="V113" s="9" t="inlineStr">
        <is>
          <t>Submission 1171520216</t>
        </is>
      </c>
      <c r="W113" s="9" t="inlineStr">
        <is>
          <t>Open code</t>
        </is>
      </c>
      <c r="X113" s="4" t="n">
        <v>0</v>
      </c>
      <c r="Y113" s="4" t="inlineStr">
        <is>
          <t>2024-02</t>
        </is>
      </c>
      <c r="Z113" s="14" t="n"/>
    </row>
    <row r="114">
      <c r="A114" s="4" t="n">
        <v>113</v>
      </c>
      <c r="B114" s="4" t="n">
        <v>674</v>
      </c>
      <c r="C114" s="9" t="inlineStr">
        <is>
          <t>Longest Continuous Increasing Subsequence</t>
        </is>
      </c>
      <c r="D114" s="10" t="inlineStr">
        <is>
          <t>Easy</t>
        </is>
      </c>
      <c r="E114" s="4" t="inlineStr">
        <is>
          <t>Arrays, Hashing &amp; Sorting</t>
        </is>
      </c>
      <c r="F114" s="4" t="inlineStr">
        <is>
          <t>Run scan</t>
        </is>
      </c>
      <c r="G114" s="4" t="inlineStr">
        <is>
          <t>Arrays &amp; Strings</t>
        </is>
      </c>
      <c r="H114" s="4" t="inlineStr">
        <is>
          <t>array</t>
        </is>
      </c>
      <c r="I114" s="4" t="inlineStr">
        <is>
          <t>Ac</t>
        </is>
      </c>
      <c r="J114" s="11" t="n">
        <v>45332.91859953704</v>
      </c>
      <c r="K114" s="11" t="n">
        <v>45332.91859953704</v>
      </c>
      <c r="L114" s="11" t="n">
        <v>45332.91859953704</v>
      </c>
      <c r="M114" s="4" t="n">
        <v>1</v>
      </c>
      <c r="N114" s="4" t="n">
        <v>1</v>
      </c>
      <c r="O114" s="4" t="n">
        <v>0</v>
      </c>
      <c r="P114" s="4">
        <f>IF(AND(N114&gt;0,O114=0),"Yes","No")</f>
        <v/>
      </c>
      <c r="Q114" s="4" t="n">
        <v>0</v>
      </c>
      <c r="R114" s="4" t="n">
        <v>0</v>
      </c>
      <c r="S114" s="4" t="n">
        <v>0</v>
      </c>
      <c r="T114" s="4" t="inlineStr">
        <is>
          <t>Python3</t>
        </is>
      </c>
      <c r="U114" s="4" t="n">
        <v>5.1</v>
      </c>
      <c r="V114" s="9" t="inlineStr">
        <is>
          <t>Submission 1171546475</t>
        </is>
      </c>
      <c r="W114" s="9" t="inlineStr">
        <is>
          <t>Open code</t>
        </is>
      </c>
      <c r="X114" s="4" t="n">
        <v>0</v>
      </c>
      <c r="Y114" s="4" t="inlineStr">
        <is>
          <t>2024-02</t>
        </is>
      </c>
      <c r="Z114" s="14" t="n"/>
    </row>
    <row r="115">
      <c r="A115" s="4" t="n">
        <v>114</v>
      </c>
      <c r="B115" s="4" t="n">
        <v>1123</v>
      </c>
      <c r="C115" s="9" t="inlineStr">
        <is>
          <t>Lowest Common Ancestor of Deepest Leaves</t>
        </is>
      </c>
      <c r="D115" s="12" t="inlineStr">
        <is>
          <t>Medium</t>
        </is>
      </c>
      <c r="E115" s="4" t="inlineStr">
        <is>
          <t>Binary Tree (DFS &amp; Recursion)</t>
        </is>
      </c>
      <c r="F115" s="4" t="inlineStr">
        <is>
          <t>Depth + LCA</t>
        </is>
      </c>
      <c r="G115" s="4" t="inlineStr">
        <is>
          <t>Trees</t>
        </is>
      </c>
      <c r="H115" s="4" t="inlineStr">
        <is>
          <t>hash-table, tree, depth-first-search, breadth-first-search, binary-tree, binary-lifting, lowest-common-ancestor, dp-on-trees</t>
        </is>
      </c>
      <c r="I115" s="4" t="inlineStr">
        <is>
          <t>Ac</t>
        </is>
      </c>
      <c r="J115" s="11" t="n">
        <v>45332.95361111111</v>
      </c>
      <c r="K115" s="11" t="n">
        <v>45332.95361111111</v>
      </c>
      <c r="L115" s="11" t="n">
        <v>45332.95396990741</v>
      </c>
      <c r="M115" s="4" t="n">
        <v>2</v>
      </c>
      <c r="N115" s="4" t="n">
        <v>2</v>
      </c>
      <c r="O115" s="4" t="n">
        <v>0</v>
      </c>
      <c r="P115" s="4">
        <f>IF(AND(N115&gt;0,O115=0),"Yes","No")</f>
        <v/>
      </c>
      <c r="Q115" s="4" t="n">
        <v>0</v>
      </c>
      <c r="R115" s="4" t="n">
        <v>0</v>
      </c>
      <c r="S115" s="4" t="n">
        <v>0</v>
      </c>
      <c r="T115" s="4" t="inlineStr">
        <is>
          <t>Python3</t>
        </is>
      </c>
      <c r="U115" s="4" t="n">
        <v>11.9</v>
      </c>
      <c r="V115" s="9" t="inlineStr">
        <is>
          <t>Submission 1171587817</t>
        </is>
      </c>
      <c r="W115" s="9" t="inlineStr">
        <is>
          <t>Open code</t>
        </is>
      </c>
      <c r="X115" s="4" t="n">
        <v>0</v>
      </c>
      <c r="Y115" s="4" t="inlineStr">
        <is>
          <t>2024-02</t>
        </is>
      </c>
      <c r="Z115" s="14" t="n"/>
    </row>
    <row r="116">
      <c r="A116" s="4" t="n">
        <v>115</v>
      </c>
      <c r="B116" s="4" t="n">
        <v>2</v>
      </c>
      <c r="C116" s="9" t="inlineStr">
        <is>
          <t>Add Two Numbers</t>
        </is>
      </c>
      <c r="D116" s="12" t="inlineStr">
        <is>
          <t>Medium</t>
        </is>
      </c>
      <c r="E116" s="4" t="inlineStr">
        <is>
          <t>Linked List</t>
        </is>
      </c>
      <c r="F116" s="4" t="inlineStr">
        <is>
          <t>Digit addition</t>
        </is>
      </c>
      <c r="G116" s="4" t="inlineStr">
        <is>
          <t>Linked List</t>
        </is>
      </c>
      <c r="H116" s="4" t="inlineStr">
        <is>
          <t>linked-list, math, recursion</t>
        </is>
      </c>
      <c r="I116" s="4" t="inlineStr">
        <is>
          <t>Ac</t>
        </is>
      </c>
      <c r="J116" s="11" t="n">
        <v>45333.03728009259</v>
      </c>
      <c r="K116" s="11" t="n">
        <v>45333.0437962963</v>
      </c>
      <c r="L116" s="11" t="n">
        <v>45333.0437962963</v>
      </c>
      <c r="M116" s="4" t="n">
        <v>2</v>
      </c>
      <c r="N116" s="4" t="n">
        <v>1</v>
      </c>
      <c r="O116" s="4" t="n">
        <v>1</v>
      </c>
      <c r="P116" s="4">
        <f>IF(AND(N116&gt;0,O116=0),"Yes","No")</f>
        <v/>
      </c>
      <c r="Q116" s="4" t="n">
        <v>0</v>
      </c>
      <c r="R116" s="4" t="n">
        <v>0</v>
      </c>
      <c r="S116" s="4" t="n">
        <v>1</v>
      </c>
      <c r="T116" s="4" t="inlineStr">
        <is>
          <t>C++</t>
        </is>
      </c>
      <c r="U116" s="4" t="n">
        <v>6.6</v>
      </c>
      <c r="V116" s="9" t="inlineStr">
        <is>
          <t>Submission 1171685978</t>
        </is>
      </c>
      <c r="W116" s="9" t="inlineStr">
        <is>
          <t>Open code</t>
        </is>
      </c>
      <c r="X116" s="4" t="n">
        <v>0</v>
      </c>
      <c r="Y116" s="4" t="inlineStr">
        <is>
          <t>2024-02</t>
        </is>
      </c>
      <c r="Z116" s="14" t="n"/>
    </row>
    <row r="117">
      <c r="A117" s="4" t="n">
        <v>116</v>
      </c>
      <c r="B117" s="4" t="n">
        <v>1926</v>
      </c>
      <c r="C117" s="9" t="inlineStr">
        <is>
          <t>Nearest Exit from Entrance in Maze</t>
        </is>
      </c>
      <c r="D117" s="12" t="inlineStr">
        <is>
          <t>Medium</t>
        </is>
      </c>
      <c r="E117" s="4" t="inlineStr">
        <is>
          <t>Graph: Grid BFS/DFS</t>
        </is>
      </c>
      <c r="F117" s="4" t="inlineStr">
        <is>
          <t>BFS</t>
        </is>
      </c>
      <c r="G117" s="4" t="inlineStr">
        <is>
          <t>Graphs</t>
        </is>
      </c>
      <c r="H117" s="4" t="inlineStr">
        <is>
          <t>array, breadth-first-search, matrix</t>
        </is>
      </c>
      <c r="I117" s="4" t="inlineStr">
        <is>
          <t>Ac</t>
        </is>
      </c>
      <c r="J117" s="11" t="n">
        <v>45369.99138888889</v>
      </c>
      <c r="K117" s="11" t="n">
        <v>45369.99138888889</v>
      </c>
      <c r="L117" s="11" t="n">
        <v>45369.99998842592</v>
      </c>
      <c r="M117" s="4" t="n">
        <v>2</v>
      </c>
      <c r="N117" s="4" t="n">
        <v>2</v>
      </c>
      <c r="O117" s="4" t="n">
        <v>0</v>
      </c>
      <c r="P117" s="4">
        <f>IF(AND(N117&gt;0,O117=0),"Yes","No")</f>
        <v/>
      </c>
      <c r="Q117" s="4" t="n">
        <v>0</v>
      </c>
      <c r="R117" s="4" t="n">
        <v>0</v>
      </c>
      <c r="S117" s="4" t="n">
        <v>0</v>
      </c>
      <c r="T117" s="4" t="inlineStr">
        <is>
          <t>C++</t>
        </is>
      </c>
      <c r="U117" s="4" t="n">
        <v>8.699999999999999</v>
      </c>
      <c r="V117" s="9" t="inlineStr">
        <is>
          <t>Submission 1207510837</t>
        </is>
      </c>
      <c r="W117" s="9" t="inlineStr">
        <is>
          <t>Open code</t>
        </is>
      </c>
      <c r="X117" s="4" t="n">
        <v>0</v>
      </c>
      <c r="Y117" s="4" t="inlineStr">
        <is>
          <t>2024-03</t>
        </is>
      </c>
      <c r="Z117" s="14" t="n"/>
    </row>
    <row r="118">
      <c r="A118" s="4" t="n">
        <v>117</v>
      </c>
      <c r="B118" s="4" t="n">
        <v>99</v>
      </c>
      <c r="C118" s="9" t="inlineStr">
        <is>
          <t>Recover Binary Search Tree</t>
        </is>
      </c>
      <c r="D118" s="12" t="inlineStr">
        <is>
          <t>Medium</t>
        </is>
      </c>
      <c r="E118" s="4" t="inlineStr">
        <is>
          <t>Binary Search Tree</t>
        </is>
      </c>
      <c r="F118" s="4" t="inlineStr">
        <is>
          <t>Inorder swap detection</t>
        </is>
      </c>
      <c r="G118" s="4" t="inlineStr">
        <is>
          <t>Trees</t>
        </is>
      </c>
      <c r="H118" s="4" t="inlineStr">
        <is>
          <t>tree, depth-first-search, binary-search-tree, binary-tree</t>
        </is>
      </c>
      <c r="I118" s="4" t="inlineStr">
        <is>
          <t>Ac</t>
        </is>
      </c>
      <c r="J118" s="11" t="n">
        <v>46191.43072916667</v>
      </c>
      <c r="K118" s="11" t="n">
        <v>46191.43072916667</v>
      </c>
      <c r="L118" s="11" t="n">
        <v>46191.43072916667</v>
      </c>
      <c r="M118" s="4" t="n">
        <v>1</v>
      </c>
      <c r="N118" s="4" t="n">
        <v>1</v>
      </c>
      <c r="O118" s="4" t="n">
        <v>0</v>
      </c>
      <c r="P118" s="4">
        <f>IF(AND(N118&gt;0,O118=0),"Yes","No")</f>
        <v/>
      </c>
      <c r="Q118" s="4" t="n">
        <v>0</v>
      </c>
      <c r="R118" s="4" t="n">
        <v>0</v>
      </c>
      <c r="S118" s="4" t="n">
        <v>0</v>
      </c>
      <c r="T118" s="4" t="inlineStr">
        <is>
          <t>C++</t>
        </is>
      </c>
      <c r="U118" s="4" t="n">
        <v>23.9</v>
      </c>
      <c r="V118" s="9" t="inlineStr">
        <is>
          <t>Submission 2037054274</t>
        </is>
      </c>
      <c r="W118" s="9" t="inlineStr">
        <is>
          <t>Open code</t>
        </is>
      </c>
      <c r="X118" s="4" t="n">
        <v>0</v>
      </c>
      <c r="Y118" s="4" t="inlineStr">
        <is>
          <t>2026-06</t>
        </is>
      </c>
      <c r="Z118" s="14" t="n"/>
    </row>
    <row r="119">
      <c r="A119" s="4" t="n">
        <v>118</v>
      </c>
      <c r="B119" s="4" t="n">
        <v>234</v>
      </c>
      <c r="C119" s="9" t="inlineStr">
        <is>
          <t>Palindrome Linked List</t>
        </is>
      </c>
      <c r="D119" s="10" t="inlineStr">
        <is>
          <t>Easy</t>
        </is>
      </c>
      <c r="E119" s="4" t="inlineStr">
        <is>
          <t>Linked List</t>
        </is>
      </c>
      <c r="F119" s="4" t="inlineStr">
        <is>
          <t>Middle + reverse</t>
        </is>
      </c>
      <c r="G119" s="4" t="inlineStr">
        <is>
          <t>Linked List</t>
        </is>
      </c>
      <c r="H119" s="4" t="inlineStr">
        <is>
          <t>linked-list, two-pointers, stack, recursion</t>
        </is>
      </c>
      <c r="I119" s="4" t="inlineStr">
        <is>
          <t>Ac</t>
        </is>
      </c>
      <c r="J119" s="11" t="n">
        <v>46299.42820601852</v>
      </c>
      <c r="K119" s="11" t="n">
        <v>46299.42820601852</v>
      </c>
      <c r="L119" s="11" t="n">
        <v>46299.42820601852</v>
      </c>
      <c r="M119" s="4" t="n">
        <v>1</v>
      </c>
      <c r="N119" s="4" t="n">
        <v>1</v>
      </c>
      <c r="O119" s="4" t="n">
        <v>0</v>
      </c>
      <c r="P119" s="4">
        <f>IF(AND(N119&gt;0,O119=0),"Yes","No")</f>
        <v/>
      </c>
      <c r="Q119" s="4" t="n">
        <v>0</v>
      </c>
      <c r="R119" s="4" t="n">
        <v>0</v>
      </c>
      <c r="S119" s="4" t="n">
        <v>0</v>
      </c>
      <c r="T119" s="4" t="inlineStr">
        <is>
          <t>C++</t>
        </is>
      </c>
      <c r="U119" s="4" t="n">
        <v>48.9</v>
      </c>
      <c r="V119" s="9" t="inlineStr">
        <is>
          <t>Submission 2161729892</t>
        </is>
      </c>
      <c r="W119" s="9" t="inlineStr">
        <is>
          <t>Open code</t>
        </is>
      </c>
      <c r="X119" s="4" t="n">
        <v>0</v>
      </c>
      <c r="Y119" s="4" t="inlineStr">
        <is>
          <t>2026-10</t>
        </is>
      </c>
      <c r="Z119" s="14" t="n"/>
    </row>
  </sheetData>
  <conditionalFormatting sqref="O2:O119">
    <cfRule type="colorScale" priority="1">
      <colorScale>
        <cfvo type="num" val="0"/>
        <cfvo type="max"/>
        <color rgb="00FFFFFF"/>
        <color rgb="00F8696B"/>
      </colorScale>
    </cfRule>
  </conditionalFormatting>
  <hyperlinks>
    <hyperlink xmlns:r="http://schemas.openxmlformats.org/officeDocument/2006/relationships" ref="C2" r:id="rId1"/>
    <hyperlink xmlns:r="http://schemas.openxmlformats.org/officeDocument/2006/relationships" ref="V2" r:id="rId2"/>
    <hyperlink xmlns:r="http://schemas.openxmlformats.org/officeDocument/2006/relationships" ref="W2" r:id="rId3"/>
    <hyperlink xmlns:r="http://schemas.openxmlformats.org/officeDocument/2006/relationships" ref="C3" r:id="rId4"/>
    <hyperlink xmlns:r="http://schemas.openxmlformats.org/officeDocument/2006/relationships" ref="V3" r:id="rId5"/>
    <hyperlink xmlns:r="http://schemas.openxmlformats.org/officeDocument/2006/relationships" ref="W3" r:id="rId6"/>
    <hyperlink xmlns:r="http://schemas.openxmlformats.org/officeDocument/2006/relationships" ref="C4" r:id="rId7"/>
    <hyperlink xmlns:r="http://schemas.openxmlformats.org/officeDocument/2006/relationships" ref="V4" r:id="rId8"/>
    <hyperlink xmlns:r="http://schemas.openxmlformats.org/officeDocument/2006/relationships" ref="W4" r:id="rId9"/>
    <hyperlink xmlns:r="http://schemas.openxmlformats.org/officeDocument/2006/relationships" ref="C5" r:id="rId10"/>
    <hyperlink xmlns:r="http://schemas.openxmlformats.org/officeDocument/2006/relationships" ref="V5" r:id="rId11"/>
    <hyperlink xmlns:r="http://schemas.openxmlformats.org/officeDocument/2006/relationships" ref="W5" r:id="rId12"/>
    <hyperlink xmlns:r="http://schemas.openxmlformats.org/officeDocument/2006/relationships" ref="C6" r:id="rId13"/>
    <hyperlink xmlns:r="http://schemas.openxmlformats.org/officeDocument/2006/relationships" ref="V6" r:id="rId14"/>
    <hyperlink xmlns:r="http://schemas.openxmlformats.org/officeDocument/2006/relationships" ref="W6" r:id="rId15"/>
    <hyperlink xmlns:r="http://schemas.openxmlformats.org/officeDocument/2006/relationships" ref="C7" r:id="rId16"/>
    <hyperlink xmlns:r="http://schemas.openxmlformats.org/officeDocument/2006/relationships" ref="V7" r:id="rId17"/>
    <hyperlink xmlns:r="http://schemas.openxmlformats.org/officeDocument/2006/relationships" ref="W7" r:id="rId18"/>
    <hyperlink xmlns:r="http://schemas.openxmlformats.org/officeDocument/2006/relationships" ref="C8" r:id="rId19"/>
    <hyperlink xmlns:r="http://schemas.openxmlformats.org/officeDocument/2006/relationships" ref="V8" r:id="rId20"/>
    <hyperlink xmlns:r="http://schemas.openxmlformats.org/officeDocument/2006/relationships" ref="W8" r:id="rId21"/>
    <hyperlink xmlns:r="http://schemas.openxmlformats.org/officeDocument/2006/relationships" ref="C9" r:id="rId22"/>
    <hyperlink xmlns:r="http://schemas.openxmlformats.org/officeDocument/2006/relationships" ref="V9" r:id="rId23"/>
    <hyperlink xmlns:r="http://schemas.openxmlformats.org/officeDocument/2006/relationships" ref="W9" r:id="rId24"/>
    <hyperlink xmlns:r="http://schemas.openxmlformats.org/officeDocument/2006/relationships" ref="C10" r:id="rId25"/>
    <hyperlink xmlns:r="http://schemas.openxmlformats.org/officeDocument/2006/relationships" ref="V10" r:id="rId26"/>
    <hyperlink xmlns:r="http://schemas.openxmlformats.org/officeDocument/2006/relationships" ref="W10" r:id="rId27"/>
    <hyperlink xmlns:r="http://schemas.openxmlformats.org/officeDocument/2006/relationships" ref="C11" r:id="rId28"/>
    <hyperlink xmlns:r="http://schemas.openxmlformats.org/officeDocument/2006/relationships" ref="V11" r:id="rId29"/>
    <hyperlink xmlns:r="http://schemas.openxmlformats.org/officeDocument/2006/relationships" ref="W11" r:id="rId30"/>
    <hyperlink xmlns:r="http://schemas.openxmlformats.org/officeDocument/2006/relationships" ref="C12" r:id="rId31"/>
    <hyperlink xmlns:r="http://schemas.openxmlformats.org/officeDocument/2006/relationships" ref="V12" r:id="rId32"/>
    <hyperlink xmlns:r="http://schemas.openxmlformats.org/officeDocument/2006/relationships" ref="W12" r:id="rId33"/>
    <hyperlink xmlns:r="http://schemas.openxmlformats.org/officeDocument/2006/relationships" ref="C13" r:id="rId34"/>
    <hyperlink xmlns:r="http://schemas.openxmlformats.org/officeDocument/2006/relationships" ref="V13" r:id="rId35"/>
    <hyperlink xmlns:r="http://schemas.openxmlformats.org/officeDocument/2006/relationships" ref="W13" r:id="rId36"/>
    <hyperlink xmlns:r="http://schemas.openxmlformats.org/officeDocument/2006/relationships" ref="C14" r:id="rId37"/>
    <hyperlink xmlns:r="http://schemas.openxmlformats.org/officeDocument/2006/relationships" ref="V14" r:id="rId38"/>
    <hyperlink xmlns:r="http://schemas.openxmlformats.org/officeDocument/2006/relationships" ref="W14" r:id="rId39"/>
    <hyperlink xmlns:r="http://schemas.openxmlformats.org/officeDocument/2006/relationships" ref="C15" r:id="rId40"/>
    <hyperlink xmlns:r="http://schemas.openxmlformats.org/officeDocument/2006/relationships" ref="V15" r:id="rId41"/>
    <hyperlink xmlns:r="http://schemas.openxmlformats.org/officeDocument/2006/relationships" ref="W15" r:id="rId42"/>
    <hyperlink xmlns:r="http://schemas.openxmlformats.org/officeDocument/2006/relationships" ref="C16" r:id="rId43"/>
    <hyperlink xmlns:r="http://schemas.openxmlformats.org/officeDocument/2006/relationships" ref="V16" r:id="rId44"/>
    <hyperlink xmlns:r="http://schemas.openxmlformats.org/officeDocument/2006/relationships" ref="W16" r:id="rId45"/>
    <hyperlink xmlns:r="http://schemas.openxmlformats.org/officeDocument/2006/relationships" ref="C17" r:id="rId46"/>
    <hyperlink xmlns:r="http://schemas.openxmlformats.org/officeDocument/2006/relationships" ref="V17" r:id="rId47"/>
    <hyperlink xmlns:r="http://schemas.openxmlformats.org/officeDocument/2006/relationships" ref="W17" r:id="rId48"/>
    <hyperlink xmlns:r="http://schemas.openxmlformats.org/officeDocument/2006/relationships" ref="C18" r:id="rId49"/>
    <hyperlink xmlns:r="http://schemas.openxmlformats.org/officeDocument/2006/relationships" ref="V18" r:id="rId50"/>
    <hyperlink xmlns:r="http://schemas.openxmlformats.org/officeDocument/2006/relationships" ref="W18" r:id="rId51"/>
    <hyperlink xmlns:r="http://schemas.openxmlformats.org/officeDocument/2006/relationships" ref="C19" r:id="rId52"/>
    <hyperlink xmlns:r="http://schemas.openxmlformats.org/officeDocument/2006/relationships" ref="V19" r:id="rId53"/>
    <hyperlink xmlns:r="http://schemas.openxmlformats.org/officeDocument/2006/relationships" ref="W19" r:id="rId54"/>
    <hyperlink xmlns:r="http://schemas.openxmlformats.org/officeDocument/2006/relationships" ref="C20" r:id="rId55"/>
    <hyperlink xmlns:r="http://schemas.openxmlformats.org/officeDocument/2006/relationships" ref="V20" r:id="rId56"/>
    <hyperlink xmlns:r="http://schemas.openxmlformats.org/officeDocument/2006/relationships" ref="W20" r:id="rId57"/>
    <hyperlink xmlns:r="http://schemas.openxmlformats.org/officeDocument/2006/relationships" ref="C21" r:id="rId58"/>
    <hyperlink xmlns:r="http://schemas.openxmlformats.org/officeDocument/2006/relationships" ref="V21" r:id="rId59"/>
    <hyperlink xmlns:r="http://schemas.openxmlformats.org/officeDocument/2006/relationships" ref="W21" r:id="rId60"/>
    <hyperlink xmlns:r="http://schemas.openxmlformats.org/officeDocument/2006/relationships" ref="C22" r:id="rId61"/>
    <hyperlink xmlns:r="http://schemas.openxmlformats.org/officeDocument/2006/relationships" ref="V22" r:id="rId62"/>
    <hyperlink xmlns:r="http://schemas.openxmlformats.org/officeDocument/2006/relationships" ref="W22" r:id="rId63"/>
    <hyperlink xmlns:r="http://schemas.openxmlformats.org/officeDocument/2006/relationships" ref="C23" r:id="rId64"/>
    <hyperlink xmlns:r="http://schemas.openxmlformats.org/officeDocument/2006/relationships" ref="V23" r:id="rId65"/>
    <hyperlink xmlns:r="http://schemas.openxmlformats.org/officeDocument/2006/relationships" ref="W23" r:id="rId66"/>
    <hyperlink xmlns:r="http://schemas.openxmlformats.org/officeDocument/2006/relationships" ref="C24" r:id="rId67"/>
    <hyperlink xmlns:r="http://schemas.openxmlformats.org/officeDocument/2006/relationships" ref="V24" r:id="rId68"/>
    <hyperlink xmlns:r="http://schemas.openxmlformats.org/officeDocument/2006/relationships" ref="W24" r:id="rId69"/>
    <hyperlink xmlns:r="http://schemas.openxmlformats.org/officeDocument/2006/relationships" ref="C25" r:id="rId70"/>
    <hyperlink xmlns:r="http://schemas.openxmlformats.org/officeDocument/2006/relationships" ref="V25" r:id="rId71"/>
    <hyperlink xmlns:r="http://schemas.openxmlformats.org/officeDocument/2006/relationships" ref="W25" r:id="rId72"/>
    <hyperlink xmlns:r="http://schemas.openxmlformats.org/officeDocument/2006/relationships" ref="C26" r:id="rId73"/>
    <hyperlink xmlns:r="http://schemas.openxmlformats.org/officeDocument/2006/relationships" ref="V26" r:id="rId74"/>
    <hyperlink xmlns:r="http://schemas.openxmlformats.org/officeDocument/2006/relationships" ref="W26" r:id="rId75"/>
    <hyperlink xmlns:r="http://schemas.openxmlformats.org/officeDocument/2006/relationships" ref="C27" r:id="rId76"/>
    <hyperlink xmlns:r="http://schemas.openxmlformats.org/officeDocument/2006/relationships" ref="V27" r:id="rId77"/>
    <hyperlink xmlns:r="http://schemas.openxmlformats.org/officeDocument/2006/relationships" ref="W27" r:id="rId78"/>
    <hyperlink xmlns:r="http://schemas.openxmlformats.org/officeDocument/2006/relationships" ref="C28" r:id="rId79"/>
    <hyperlink xmlns:r="http://schemas.openxmlformats.org/officeDocument/2006/relationships" ref="V28" r:id="rId80"/>
    <hyperlink xmlns:r="http://schemas.openxmlformats.org/officeDocument/2006/relationships" ref="W28" r:id="rId81"/>
    <hyperlink xmlns:r="http://schemas.openxmlformats.org/officeDocument/2006/relationships" ref="C29" r:id="rId82"/>
    <hyperlink xmlns:r="http://schemas.openxmlformats.org/officeDocument/2006/relationships" ref="V29" r:id="rId83"/>
    <hyperlink xmlns:r="http://schemas.openxmlformats.org/officeDocument/2006/relationships" ref="W29" r:id="rId84"/>
    <hyperlink xmlns:r="http://schemas.openxmlformats.org/officeDocument/2006/relationships" ref="C30" r:id="rId85"/>
    <hyperlink xmlns:r="http://schemas.openxmlformats.org/officeDocument/2006/relationships" ref="V30" r:id="rId86"/>
    <hyperlink xmlns:r="http://schemas.openxmlformats.org/officeDocument/2006/relationships" ref="W30" r:id="rId87"/>
    <hyperlink xmlns:r="http://schemas.openxmlformats.org/officeDocument/2006/relationships" ref="C31" r:id="rId88"/>
    <hyperlink xmlns:r="http://schemas.openxmlformats.org/officeDocument/2006/relationships" ref="V31" r:id="rId89"/>
    <hyperlink xmlns:r="http://schemas.openxmlformats.org/officeDocument/2006/relationships" ref="W31" r:id="rId90"/>
    <hyperlink xmlns:r="http://schemas.openxmlformats.org/officeDocument/2006/relationships" ref="C32" r:id="rId91"/>
    <hyperlink xmlns:r="http://schemas.openxmlformats.org/officeDocument/2006/relationships" ref="V32" r:id="rId92"/>
    <hyperlink xmlns:r="http://schemas.openxmlformats.org/officeDocument/2006/relationships" ref="W32" r:id="rId93"/>
    <hyperlink xmlns:r="http://schemas.openxmlformats.org/officeDocument/2006/relationships" ref="C33" r:id="rId94"/>
    <hyperlink xmlns:r="http://schemas.openxmlformats.org/officeDocument/2006/relationships" ref="V33" r:id="rId95"/>
    <hyperlink xmlns:r="http://schemas.openxmlformats.org/officeDocument/2006/relationships" ref="W33" r:id="rId96"/>
    <hyperlink xmlns:r="http://schemas.openxmlformats.org/officeDocument/2006/relationships" ref="C34" r:id="rId97"/>
    <hyperlink xmlns:r="http://schemas.openxmlformats.org/officeDocument/2006/relationships" ref="V34" r:id="rId98"/>
    <hyperlink xmlns:r="http://schemas.openxmlformats.org/officeDocument/2006/relationships" ref="W34" r:id="rId99"/>
    <hyperlink xmlns:r="http://schemas.openxmlformats.org/officeDocument/2006/relationships" ref="C35" r:id="rId100"/>
    <hyperlink xmlns:r="http://schemas.openxmlformats.org/officeDocument/2006/relationships" ref="V35" r:id="rId101"/>
    <hyperlink xmlns:r="http://schemas.openxmlformats.org/officeDocument/2006/relationships" ref="W35" r:id="rId102"/>
    <hyperlink xmlns:r="http://schemas.openxmlformats.org/officeDocument/2006/relationships" ref="C36" r:id="rId103"/>
    <hyperlink xmlns:r="http://schemas.openxmlformats.org/officeDocument/2006/relationships" ref="V36" r:id="rId104"/>
    <hyperlink xmlns:r="http://schemas.openxmlformats.org/officeDocument/2006/relationships" ref="W36" r:id="rId105"/>
    <hyperlink xmlns:r="http://schemas.openxmlformats.org/officeDocument/2006/relationships" ref="C37" r:id="rId106"/>
    <hyperlink xmlns:r="http://schemas.openxmlformats.org/officeDocument/2006/relationships" ref="V37" r:id="rId107"/>
    <hyperlink xmlns:r="http://schemas.openxmlformats.org/officeDocument/2006/relationships" ref="W37" r:id="rId108"/>
    <hyperlink xmlns:r="http://schemas.openxmlformats.org/officeDocument/2006/relationships" ref="C38" r:id="rId109"/>
    <hyperlink xmlns:r="http://schemas.openxmlformats.org/officeDocument/2006/relationships" ref="V38" r:id="rId110"/>
    <hyperlink xmlns:r="http://schemas.openxmlformats.org/officeDocument/2006/relationships" ref="W38" r:id="rId111"/>
    <hyperlink xmlns:r="http://schemas.openxmlformats.org/officeDocument/2006/relationships" ref="C39" r:id="rId112"/>
    <hyperlink xmlns:r="http://schemas.openxmlformats.org/officeDocument/2006/relationships" ref="V39" r:id="rId113"/>
    <hyperlink xmlns:r="http://schemas.openxmlformats.org/officeDocument/2006/relationships" ref="W39" r:id="rId114"/>
    <hyperlink xmlns:r="http://schemas.openxmlformats.org/officeDocument/2006/relationships" ref="C40" r:id="rId115"/>
    <hyperlink xmlns:r="http://schemas.openxmlformats.org/officeDocument/2006/relationships" ref="V40" r:id="rId116"/>
    <hyperlink xmlns:r="http://schemas.openxmlformats.org/officeDocument/2006/relationships" ref="W40" r:id="rId117"/>
    <hyperlink xmlns:r="http://schemas.openxmlformats.org/officeDocument/2006/relationships" ref="C41" r:id="rId118"/>
    <hyperlink xmlns:r="http://schemas.openxmlformats.org/officeDocument/2006/relationships" ref="V41" r:id="rId119"/>
    <hyperlink xmlns:r="http://schemas.openxmlformats.org/officeDocument/2006/relationships" ref="W41" r:id="rId120"/>
    <hyperlink xmlns:r="http://schemas.openxmlformats.org/officeDocument/2006/relationships" ref="C42" r:id="rId121"/>
    <hyperlink xmlns:r="http://schemas.openxmlformats.org/officeDocument/2006/relationships" ref="W42" r:id="rId122"/>
    <hyperlink xmlns:r="http://schemas.openxmlformats.org/officeDocument/2006/relationships" ref="C43" r:id="rId123"/>
    <hyperlink xmlns:r="http://schemas.openxmlformats.org/officeDocument/2006/relationships" ref="V43" r:id="rId124"/>
    <hyperlink xmlns:r="http://schemas.openxmlformats.org/officeDocument/2006/relationships" ref="W43" r:id="rId125"/>
    <hyperlink xmlns:r="http://schemas.openxmlformats.org/officeDocument/2006/relationships" ref="C44" r:id="rId126"/>
    <hyperlink xmlns:r="http://schemas.openxmlformats.org/officeDocument/2006/relationships" ref="V44" r:id="rId127"/>
    <hyperlink xmlns:r="http://schemas.openxmlformats.org/officeDocument/2006/relationships" ref="W44" r:id="rId128"/>
    <hyperlink xmlns:r="http://schemas.openxmlformats.org/officeDocument/2006/relationships" ref="C45" r:id="rId129"/>
    <hyperlink xmlns:r="http://schemas.openxmlformats.org/officeDocument/2006/relationships" ref="V45" r:id="rId130"/>
    <hyperlink xmlns:r="http://schemas.openxmlformats.org/officeDocument/2006/relationships" ref="W45" r:id="rId131"/>
    <hyperlink xmlns:r="http://schemas.openxmlformats.org/officeDocument/2006/relationships" ref="C46" r:id="rId132"/>
    <hyperlink xmlns:r="http://schemas.openxmlformats.org/officeDocument/2006/relationships" ref="V46" r:id="rId133"/>
    <hyperlink xmlns:r="http://schemas.openxmlformats.org/officeDocument/2006/relationships" ref="W46" r:id="rId134"/>
    <hyperlink xmlns:r="http://schemas.openxmlformats.org/officeDocument/2006/relationships" ref="C47" r:id="rId135"/>
    <hyperlink xmlns:r="http://schemas.openxmlformats.org/officeDocument/2006/relationships" ref="V47" r:id="rId136"/>
    <hyperlink xmlns:r="http://schemas.openxmlformats.org/officeDocument/2006/relationships" ref="W47" r:id="rId137"/>
    <hyperlink xmlns:r="http://schemas.openxmlformats.org/officeDocument/2006/relationships" ref="C48" r:id="rId138"/>
    <hyperlink xmlns:r="http://schemas.openxmlformats.org/officeDocument/2006/relationships" ref="V48" r:id="rId139"/>
    <hyperlink xmlns:r="http://schemas.openxmlformats.org/officeDocument/2006/relationships" ref="W48" r:id="rId140"/>
    <hyperlink xmlns:r="http://schemas.openxmlformats.org/officeDocument/2006/relationships" ref="C49" r:id="rId141"/>
    <hyperlink xmlns:r="http://schemas.openxmlformats.org/officeDocument/2006/relationships" ref="V49" r:id="rId142"/>
    <hyperlink xmlns:r="http://schemas.openxmlformats.org/officeDocument/2006/relationships" ref="W49" r:id="rId143"/>
    <hyperlink xmlns:r="http://schemas.openxmlformats.org/officeDocument/2006/relationships" ref="C50" r:id="rId144"/>
    <hyperlink xmlns:r="http://schemas.openxmlformats.org/officeDocument/2006/relationships" ref="V50" r:id="rId145"/>
    <hyperlink xmlns:r="http://schemas.openxmlformats.org/officeDocument/2006/relationships" ref="W50" r:id="rId146"/>
    <hyperlink xmlns:r="http://schemas.openxmlformats.org/officeDocument/2006/relationships" ref="C51" r:id="rId147"/>
    <hyperlink xmlns:r="http://schemas.openxmlformats.org/officeDocument/2006/relationships" ref="V51" r:id="rId148"/>
    <hyperlink xmlns:r="http://schemas.openxmlformats.org/officeDocument/2006/relationships" ref="W51" r:id="rId149"/>
    <hyperlink xmlns:r="http://schemas.openxmlformats.org/officeDocument/2006/relationships" ref="C52" r:id="rId150"/>
    <hyperlink xmlns:r="http://schemas.openxmlformats.org/officeDocument/2006/relationships" ref="V52" r:id="rId151"/>
    <hyperlink xmlns:r="http://schemas.openxmlformats.org/officeDocument/2006/relationships" ref="W52" r:id="rId152"/>
    <hyperlink xmlns:r="http://schemas.openxmlformats.org/officeDocument/2006/relationships" ref="C53" r:id="rId153"/>
    <hyperlink xmlns:r="http://schemas.openxmlformats.org/officeDocument/2006/relationships" ref="V53" r:id="rId154"/>
    <hyperlink xmlns:r="http://schemas.openxmlformats.org/officeDocument/2006/relationships" ref="W53" r:id="rId155"/>
    <hyperlink xmlns:r="http://schemas.openxmlformats.org/officeDocument/2006/relationships" ref="C54" r:id="rId156"/>
    <hyperlink xmlns:r="http://schemas.openxmlformats.org/officeDocument/2006/relationships" ref="V54" r:id="rId157"/>
    <hyperlink xmlns:r="http://schemas.openxmlformats.org/officeDocument/2006/relationships" ref="W54" r:id="rId158"/>
    <hyperlink xmlns:r="http://schemas.openxmlformats.org/officeDocument/2006/relationships" ref="C55" r:id="rId159"/>
    <hyperlink xmlns:r="http://schemas.openxmlformats.org/officeDocument/2006/relationships" ref="V55" r:id="rId160"/>
    <hyperlink xmlns:r="http://schemas.openxmlformats.org/officeDocument/2006/relationships" ref="W55" r:id="rId161"/>
    <hyperlink xmlns:r="http://schemas.openxmlformats.org/officeDocument/2006/relationships" ref="C56" r:id="rId162"/>
    <hyperlink xmlns:r="http://schemas.openxmlformats.org/officeDocument/2006/relationships" ref="V56" r:id="rId163"/>
    <hyperlink xmlns:r="http://schemas.openxmlformats.org/officeDocument/2006/relationships" ref="W56" r:id="rId164"/>
    <hyperlink xmlns:r="http://schemas.openxmlformats.org/officeDocument/2006/relationships" ref="C57" r:id="rId165"/>
    <hyperlink xmlns:r="http://schemas.openxmlformats.org/officeDocument/2006/relationships" ref="V57" r:id="rId166"/>
    <hyperlink xmlns:r="http://schemas.openxmlformats.org/officeDocument/2006/relationships" ref="W57" r:id="rId167"/>
    <hyperlink xmlns:r="http://schemas.openxmlformats.org/officeDocument/2006/relationships" ref="C58" r:id="rId168"/>
    <hyperlink xmlns:r="http://schemas.openxmlformats.org/officeDocument/2006/relationships" ref="V58" r:id="rId169"/>
    <hyperlink xmlns:r="http://schemas.openxmlformats.org/officeDocument/2006/relationships" ref="W58" r:id="rId170"/>
    <hyperlink xmlns:r="http://schemas.openxmlformats.org/officeDocument/2006/relationships" ref="C59" r:id="rId171"/>
    <hyperlink xmlns:r="http://schemas.openxmlformats.org/officeDocument/2006/relationships" ref="V59" r:id="rId172"/>
    <hyperlink xmlns:r="http://schemas.openxmlformats.org/officeDocument/2006/relationships" ref="W59" r:id="rId173"/>
    <hyperlink xmlns:r="http://schemas.openxmlformats.org/officeDocument/2006/relationships" ref="C60" r:id="rId174"/>
    <hyperlink xmlns:r="http://schemas.openxmlformats.org/officeDocument/2006/relationships" ref="W60" r:id="rId175"/>
    <hyperlink xmlns:r="http://schemas.openxmlformats.org/officeDocument/2006/relationships" ref="C61" r:id="rId176"/>
    <hyperlink xmlns:r="http://schemas.openxmlformats.org/officeDocument/2006/relationships" ref="V61" r:id="rId177"/>
    <hyperlink xmlns:r="http://schemas.openxmlformats.org/officeDocument/2006/relationships" ref="W61" r:id="rId178"/>
    <hyperlink xmlns:r="http://schemas.openxmlformats.org/officeDocument/2006/relationships" ref="C62" r:id="rId179"/>
    <hyperlink xmlns:r="http://schemas.openxmlformats.org/officeDocument/2006/relationships" ref="V62" r:id="rId180"/>
    <hyperlink xmlns:r="http://schemas.openxmlformats.org/officeDocument/2006/relationships" ref="W62" r:id="rId181"/>
    <hyperlink xmlns:r="http://schemas.openxmlformats.org/officeDocument/2006/relationships" ref="C63" r:id="rId182"/>
    <hyperlink xmlns:r="http://schemas.openxmlformats.org/officeDocument/2006/relationships" ref="V63" r:id="rId183"/>
    <hyperlink xmlns:r="http://schemas.openxmlformats.org/officeDocument/2006/relationships" ref="W63" r:id="rId184"/>
    <hyperlink xmlns:r="http://schemas.openxmlformats.org/officeDocument/2006/relationships" ref="C64" r:id="rId185"/>
    <hyperlink xmlns:r="http://schemas.openxmlformats.org/officeDocument/2006/relationships" ref="V64" r:id="rId186"/>
    <hyperlink xmlns:r="http://schemas.openxmlformats.org/officeDocument/2006/relationships" ref="W64" r:id="rId187"/>
    <hyperlink xmlns:r="http://schemas.openxmlformats.org/officeDocument/2006/relationships" ref="C65" r:id="rId188"/>
    <hyperlink xmlns:r="http://schemas.openxmlformats.org/officeDocument/2006/relationships" ref="V65" r:id="rId189"/>
    <hyperlink xmlns:r="http://schemas.openxmlformats.org/officeDocument/2006/relationships" ref="W65" r:id="rId190"/>
    <hyperlink xmlns:r="http://schemas.openxmlformats.org/officeDocument/2006/relationships" ref="C66" r:id="rId191"/>
    <hyperlink xmlns:r="http://schemas.openxmlformats.org/officeDocument/2006/relationships" ref="V66" r:id="rId192"/>
    <hyperlink xmlns:r="http://schemas.openxmlformats.org/officeDocument/2006/relationships" ref="W66" r:id="rId193"/>
    <hyperlink xmlns:r="http://schemas.openxmlformats.org/officeDocument/2006/relationships" ref="C67" r:id="rId194"/>
    <hyperlink xmlns:r="http://schemas.openxmlformats.org/officeDocument/2006/relationships" ref="W67" r:id="rId195"/>
    <hyperlink xmlns:r="http://schemas.openxmlformats.org/officeDocument/2006/relationships" ref="C68" r:id="rId196"/>
    <hyperlink xmlns:r="http://schemas.openxmlformats.org/officeDocument/2006/relationships" ref="V68" r:id="rId197"/>
    <hyperlink xmlns:r="http://schemas.openxmlformats.org/officeDocument/2006/relationships" ref="W68" r:id="rId198"/>
    <hyperlink xmlns:r="http://schemas.openxmlformats.org/officeDocument/2006/relationships" ref="C69" r:id="rId199"/>
    <hyperlink xmlns:r="http://schemas.openxmlformats.org/officeDocument/2006/relationships" ref="V69" r:id="rId200"/>
    <hyperlink xmlns:r="http://schemas.openxmlformats.org/officeDocument/2006/relationships" ref="W69" r:id="rId201"/>
    <hyperlink xmlns:r="http://schemas.openxmlformats.org/officeDocument/2006/relationships" ref="C70" r:id="rId202"/>
    <hyperlink xmlns:r="http://schemas.openxmlformats.org/officeDocument/2006/relationships" ref="V70" r:id="rId203"/>
    <hyperlink xmlns:r="http://schemas.openxmlformats.org/officeDocument/2006/relationships" ref="W70" r:id="rId204"/>
    <hyperlink xmlns:r="http://schemas.openxmlformats.org/officeDocument/2006/relationships" ref="C71" r:id="rId205"/>
    <hyperlink xmlns:r="http://schemas.openxmlformats.org/officeDocument/2006/relationships" ref="V71" r:id="rId206"/>
    <hyperlink xmlns:r="http://schemas.openxmlformats.org/officeDocument/2006/relationships" ref="W71" r:id="rId207"/>
    <hyperlink xmlns:r="http://schemas.openxmlformats.org/officeDocument/2006/relationships" ref="C72" r:id="rId208"/>
    <hyperlink xmlns:r="http://schemas.openxmlformats.org/officeDocument/2006/relationships" ref="V72" r:id="rId209"/>
    <hyperlink xmlns:r="http://schemas.openxmlformats.org/officeDocument/2006/relationships" ref="W72" r:id="rId210"/>
    <hyperlink xmlns:r="http://schemas.openxmlformats.org/officeDocument/2006/relationships" ref="C73" r:id="rId211"/>
    <hyperlink xmlns:r="http://schemas.openxmlformats.org/officeDocument/2006/relationships" ref="V73" r:id="rId212"/>
    <hyperlink xmlns:r="http://schemas.openxmlformats.org/officeDocument/2006/relationships" ref="W73" r:id="rId213"/>
    <hyperlink xmlns:r="http://schemas.openxmlformats.org/officeDocument/2006/relationships" ref="C74" r:id="rId214"/>
    <hyperlink xmlns:r="http://schemas.openxmlformats.org/officeDocument/2006/relationships" ref="V74" r:id="rId215"/>
    <hyperlink xmlns:r="http://schemas.openxmlformats.org/officeDocument/2006/relationships" ref="W74" r:id="rId216"/>
    <hyperlink xmlns:r="http://schemas.openxmlformats.org/officeDocument/2006/relationships" ref="C75" r:id="rId217"/>
    <hyperlink xmlns:r="http://schemas.openxmlformats.org/officeDocument/2006/relationships" ref="V75" r:id="rId218"/>
    <hyperlink xmlns:r="http://schemas.openxmlformats.org/officeDocument/2006/relationships" ref="W75" r:id="rId219"/>
    <hyperlink xmlns:r="http://schemas.openxmlformats.org/officeDocument/2006/relationships" ref="C76" r:id="rId220"/>
    <hyperlink xmlns:r="http://schemas.openxmlformats.org/officeDocument/2006/relationships" ref="V76" r:id="rId221"/>
    <hyperlink xmlns:r="http://schemas.openxmlformats.org/officeDocument/2006/relationships" ref="W76" r:id="rId222"/>
    <hyperlink xmlns:r="http://schemas.openxmlformats.org/officeDocument/2006/relationships" ref="C77" r:id="rId223"/>
    <hyperlink xmlns:r="http://schemas.openxmlformats.org/officeDocument/2006/relationships" ref="V77" r:id="rId224"/>
    <hyperlink xmlns:r="http://schemas.openxmlformats.org/officeDocument/2006/relationships" ref="W77" r:id="rId225"/>
    <hyperlink xmlns:r="http://schemas.openxmlformats.org/officeDocument/2006/relationships" ref="C78" r:id="rId226"/>
    <hyperlink xmlns:r="http://schemas.openxmlformats.org/officeDocument/2006/relationships" ref="V78" r:id="rId227"/>
    <hyperlink xmlns:r="http://schemas.openxmlformats.org/officeDocument/2006/relationships" ref="W78" r:id="rId228"/>
    <hyperlink xmlns:r="http://schemas.openxmlformats.org/officeDocument/2006/relationships" ref="C79" r:id="rId229"/>
    <hyperlink xmlns:r="http://schemas.openxmlformats.org/officeDocument/2006/relationships" ref="V79" r:id="rId230"/>
    <hyperlink xmlns:r="http://schemas.openxmlformats.org/officeDocument/2006/relationships" ref="W79" r:id="rId231"/>
    <hyperlink xmlns:r="http://schemas.openxmlformats.org/officeDocument/2006/relationships" ref="C80" r:id="rId232"/>
    <hyperlink xmlns:r="http://schemas.openxmlformats.org/officeDocument/2006/relationships" ref="V80" r:id="rId233"/>
    <hyperlink xmlns:r="http://schemas.openxmlformats.org/officeDocument/2006/relationships" ref="W80" r:id="rId234"/>
    <hyperlink xmlns:r="http://schemas.openxmlformats.org/officeDocument/2006/relationships" ref="C81" r:id="rId235"/>
    <hyperlink xmlns:r="http://schemas.openxmlformats.org/officeDocument/2006/relationships" ref="V81" r:id="rId236"/>
    <hyperlink xmlns:r="http://schemas.openxmlformats.org/officeDocument/2006/relationships" ref="W81" r:id="rId237"/>
    <hyperlink xmlns:r="http://schemas.openxmlformats.org/officeDocument/2006/relationships" ref="C82" r:id="rId238"/>
    <hyperlink xmlns:r="http://schemas.openxmlformats.org/officeDocument/2006/relationships" ref="V82" r:id="rId239"/>
    <hyperlink xmlns:r="http://schemas.openxmlformats.org/officeDocument/2006/relationships" ref="W82" r:id="rId240"/>
    <hyperlink xmlns:r="http://schemas.openxmlformats.org/officeDocument/2006/relationships" ref="C83" r:id="rId241"/>
    <hyperlink xmlns:r="http://schemas.openxmlformats.org/officeDocument/2006/relationships" ref="V83" r:id="rId242"/>
    <hyperlink xmlns:r="http://schemas.openxmlformats.org/officeDocument/2006/relationships" ref="W83" r:id="rId243"/>
    <hyperlink xmlns:r="http://schemas.openxmlformats.org/officeDocument/2006/relationships" ref="C84" r:id="rId244"/>
    <hyperlink xmlns:r="http://schemas.openxmlformats.org/officeDocument/2006/relationships" ref="V84" r:id="rId245"/>
    <hyperlink xmlns:r="http://schemas.openxmlformats.org/officeDocument/2006/relationships" ref="W84" r:id="rId246"/>
    <hyperlink xmlns:r="http://schemas.openxmlformats.org/officeDocument/2006/relationships" ref="C85" r:id="rId247"/>
    <hyperlink xmlns:r="http://schemas.openxmlformats.org/officeDocument/2006/relationships" ref="V85" r:id="rId248"/>
    <hyperlink xmlns:r="http://schemas.openxmlformats.org/officeDocument/2006/relationships" ref="W85" r:id="rId249"/>
    <hyperlink xmlns:r="http://schemas.openxmlformats.org/officeDocument/2006/relationships" ref="C86" r:id="rId250"/>
    <hyperlink xmlns:r="http://schemas.openxmlformats.org/officeDocument/2006/relationships" ref="V86" r:id="rId251"/>
    <hyperlink xmlns:r="http://schemas.openxmlformats.org/officeDocument/2006/relationships" ref="W86" r:id="rId252"/>
    <hyperlink xmlns:r="http://schemas.openxmlformats.org/officeDocument/2006/relationships" ref="C87" r:id="rId253"/>
    <hyperlink xmlns:r="http://schemas.openxmlformats.org/officeDocument/2006/relationships" ref="V87" r:id="rId254"/>
    <hyperlink xmlns:r="http://schemas.openxmlformats.org/officeDocument/2006/relationships" ref="W87" r:id="rId255"/>
    <hyperlink xmlns:r="http://schemas.openxmlformats.org/officeDocument/2006/relationships" ref="C88" r:id="rId256"/>
    <hyperlink xmlns:r="http://schemas.openxmlformats.org/officeDocument/2006/relationships" ref="V88" r:id="rId257"/>
    <hyperlink xmlns:r="http://schemas.openxmlformats.org/officeDocument/2006/relationships" ref="W88" r:id="rId258"/>
    <hyperlink xmlns:r="http://schemas.openxmlformats.org/officeDocument/2006/relationships" ref="C89" r:id="rId259"/>
    <hyperlink xmlns:r="http://schemas.openxmlformats.org/officeDocument/2006/relationships" ref="V89" r:id="rId260"/>
    <hyperlink xmlns:r="http://schemas.openxmlformats.org/officeDocument/2006/relationships" ref="W89" r:id="rId261"/>
    <hyperlink xmlns:r="http://schemas.openxmlformats.org/officeDocument/2006/relationships" ref="C90" r:id="rId262"/>
    <hyperlink xmlns:r="http://schemas.openxmlformats.org/officeDocument/2006/relationships" ref="V90" r:id="rId263"/>
    <hyperlink xmlns:r="http://schemas.openxmlformats.org/officeDocument/2006/relationships" ref="W90" r:id="rId264"/>
    <hyperlink xmlns:r="http://schemas.openxmlformats.org/officeDocument/2006/relationships" ref="C91" r:id="rId265"/>
    <hyperlink xmlns:r="http://schemas.openxmlformats.org/officeDocument/2006/relationships" ref="V91" r:id="rId266"/>
    <hyperlink xmlns:r="http://schemas.openxmlformats.org/officeDocument/2006/relationships" ref="W91" r:id="rId267"/>
    <hyperlink xmlns:r="http://schemas.openxmlformats.org/officeDocument/2006/relationships" ref="C92" r:id="rId268"/>
    <hyperlink xmlns:r="http://schemas.openxmlformats.org/officeDocument/2006/relationships" ref="V92" r:id="rId269"/>
    <hyperlink xmlns:r="http://schemas.openxmlformats.org/officeDocument/2006/relationships" ref="W92" r:id="rId270"/>
    <hyperlink xmlns:r="http://schemas.openxmlformats.org/officeDocument/2006/relationships" ref="C93" r:id="rId271"/>
    <hyperlink xmlns:r="http://schemas.openxmlformats.org/officeDocument/2006/relationships" ref="V93" r:id="rId272"/>
    <hyperlink xmlns:r="http://schemas.openxmlformats.org/officeDocument/2006/relationships" ref="W93" r:id="rId273"/>
    <hyperlink xmlns:r="http://schemas.openxmlformats.org/officeDocument/2006/relationships" ref="C94" r:id="rId274"/>
    <hyperlink xmlns:r="http://schemas.openxmlformats.org/officeDocument/2006/relationships" ref="V94" r:id="rId275"/>
    <hyperlink xmlns:r="http://schemas.openxmlformats.org/officeDocument/2006/relationships" ref="W94" r:id="rId276"/>
    <hyperlink xmlns:r="http://schemas.openxmlformats.org/officeDocument/2006/relationships" ref="C95" r:id="rId277"/>
    <hyperlink xmlns:r="http://schemas.openxmlformats.org/officeDocument/2006/relationships" ref="V95" r:id="rId278"/>
    <hyperlink xmlns:r="http://schemas.openxmlformats.org/officeDocument/2006/relationships" ref="W95" r:id="rId279"/>
    <hyperlink xmlns:r="http://schemas.openxmlformats.org/officeDocument/2006/relationships" ref="C96" r:id="rId280"/>
    <hyperlink xmlns:r="http://schemas.openxmlformats.org/officeDocument/2006/relationships" ref="V96" r:id="rId281"/>
    <hyperlink xmlns:r="http://schemas.openxmlformats.org/officeDocument/2006/relationships" ref="W96" r:id="rId282"/>
    <hyperlink xmlns:r="http://schemas.openxmlformats.org/officeDocument/2006/relationships" ref="C97" r:id="rId283"/>
    <hyperlink xmlns:r="http://schemas.openxmlformats.org/officeDocument/2006/relationships" ref="W97" r:id="rId284"/>
    <hyperlink xmlns:r="http://schemas.openxmlformats.org/officeDocument/2006/relationships" ref="C98" r:id="rId285"/>
    <hyperlink xmlns:r="http://schemas.openxmlformats.org/officeDocument/2006/relationships" ref="V98" r:id="rId286"/>
    <hyperlink xmlns:r="http://schemas.openxmlformats.org/officeDocument/2006/relationships" ref="W98" r:id="rId287"/>
    <hyperlink xmlns:r="http://schemas.openxmlformats.org/officeDocument/2006/relationships" ref="C99" r:id="rId288"/>
    <hyperlink xmlns:r="http://schemas.openxmlformats.org/officeDocument/2006/relationships" ref="W99" r:id="rId289"/>
    <hyperlink xmlns:r="http://schemas.openxmlformats.org/officeDocument/2006/relationships" ref="C100" r:id="rId290"/>
    <hyperlink xmlns:r="http://schemas.openxmlformats.org/officeDocument/2006/relationships" ref="V100" r:id="rId291"/>
    <hyperlink xmlns:r="http://schemas.openxmlformats.org/officeDocument/2006/relationships" ref="W100" r:id="rId292"/>
    <hyperlink xmlns:r="http://schemas.openxmlformats.org/officeDocument/2006/relationships" ref="C101" r:id="rId293"/>
    <hyperlink xmlns:r="http://schemas.openxmlformats.org/officeDocument/2006/relationships" ref="V101" r:id="rId294"/>
    <hyperlink xmlns:r="http://schemas.openxmlformats.org/officeDocument/2006/relationships" ref="W101" r:id="rId295"/>
    <hyperlink xmlns:r="http://schemas.openxmlformats.org/officeDocument/2006/relationships" ref="C102" r:id="rId296"/>
    <hyperlink xmlns:r="http://schemas.openxmlformats.org/officeDocument/2006/relationships" ref="W102" r:id="rId297"/>
    <hyperlink xmlns:r="http://schemas.openxmlformats.org/officeDocument/2006/relationships" ref="C103" r:id="rId298"/>
    <hyperlink xmlns:r="http://schemas.openxmlformats.org/officeDocument/2006/relationships" ref="V103" r:id="rId299"/>
    <hyperlink xmlns:r="http://schemas.openxmlformats.org/officeDocument/2006/relationships" ref="W103" r:id="rId300"/>
    <hyperlink xmlns:r="http://schemas.openxmlformats.org/officeDocument/2006/relationships" ref="C104" r:id="rId301"/>
    <hyperlink xmlns:r="http://schemas.openxmlformats.org/officeDocument/2006/relationships" ref="V104" r:id="rId302"/>
    <hyperlink xmlns:r="http://schemas.openxmlformats.org/officeDocument/2006/relationships" ref="W104" r:id="rId303"/>
    <hyperlink xmlns:r="http://schemas.openxmlformats.org/officeDocument/2006/relationships" ref="C105" r:id="rId304"/>
    <hyperlink xmlns:r="http://schemas.openxmlformats.org/officeDocument/2006/relationships" ref="V105" r:id="rId305"/>
    <hyperlink xmlns:r="http://schemas.openxmlformats.org/officeDocument/2006/relationships" ref="W105" r:id="rId306"/>
    <hyperlink xmlns:r="http://schemas.openxmlformats.org/officeDocument/2006/relationships" ref="C106" r:id="rId307"/>
    <hyperlink xmlns:r="http://schemas.openxmlformats.org/officeDocument/2006/relationships" ref="V106" r:id="rId308"/>
    <hyperlink xmlns:r="http://schemas.openxmlformats.org/officeDocument/2006/relationships" ref="W106" r:id="rId309"/>
    <hyperlink xmlns:r="http://schemas.openxmlformats.org/officeDocument/2006/relationships" ref="C107" r:id="rId310"/>
    <hyperlink xmlns:r="http://schemas.openxmlformats.org/officeDocument/2006/relationships" ref="V107" r:id="rId311"/>
    <hyperlink xmlns:r="http://schemas.openxmlformats.org/officeDocument/2006/relationships" ref="W107" r:id="rId312"/>
    <hyperlink xmlns:r="http://schemas.openxmlformats.org/officeDocument/2006/relationships" ref="C108" r:id="rId313"/>
    <hyperlink xmlns:r="http://schemas.openxmlformats.org/officeDocument/2006/relationships" ref="V108" r:id="rId314"/>
    <hyperlink xmlns:r="http://schemas.openxmlformats.org/officeDocument/2006/relationships" ref="W108" r:id="rId315"/>
    <hyperlink xmlns:r="http://schemas.openxmlformats.org/officeDocument/2006/relationships" ref="C109" r:id="rId316"/>
    <hyperlink xmlns:r="http://schemas.openxmlformats.org/officeDocument/2006/relationships" ref="V109" r:id="rId317"/>
    <hyperlink xmlns:r="http://schemas.openxmlformats.org/officeDocument/2006/relationships" ref="W109" r:id="rId318"/>
    <hyperlink xmlns:r="http://schemas.openxmlformats.org/officeDocument/2006/relationships" ref="C110" r:id="rId319"/>
    <hyperlink xmlns:r="http://schemas.openxmlformats.org/officeDocument/2006/relationships" ref="V110" r:id="rId320"/>
    <hyperlink xmlns:r="http://schemas.openxmlformats.org/officeDocument/2006/relationships" ref="W110" r:id="rId321"/>
    <hyperlink xmlns:r="http://schemas.openxmlformats.org/officeDocument/2006/relationships" ref="C111" r:id="rId322"/>
    <hyperlink xmlns:r="http://schemas.openxmlformats.org/officeDocument/2006/relationships" ref="V111" r:id="rId323"/>
    <hyperlink xmlns:r="http://schemas.openxmlformats.org/officeDocument/2006/relationships" ref="W111" r:id="rId324"/>
    <hyperlink xmlns:r="http://schemas.openxmlformats.org/officeDocument/2006/relationships" ref="C112" r:id="rId325"/>
    <hyperlink xmlns:r="http://schemas.openxmlformats.org/officeDocument/2006/relationships" ref="V112" r:id="rId326"/>
    <hyperlink xmlns:r="http://schemas.openxmlformats.org/officeDocument/2006/relationships" ref="W112" r:id="rId327"/>
    <hyperlink xmlns:r="http://schemas.openxmlformats.org/officeDocument/2006/relationships" ref="C113" r:id="rId328"/>
    <hyperlink xmlns:r="http://schemas.openxmlformats.org/officeDocument/2006/relationships" ref="V113" r:id="rId329"/>
    <hyperlink xmlns:r="http://schemas.openxmlformats.org/officeDocument/2006/relationships" ref="W113" r:id="rId330"/>
    <hyperlink xmlns:r="http://schemas.openxmlformats.org/officeDocument/2006/relationships" ref="C114" r:id="rId331"/>
    <hyperlink xmlns:r="http://schemas.openxmlformats.org/officeDocument/2006/relationships" ref="V114" r:id="rId332"/>
    <hyperlink xmlns:r="http://schemas.openxmlformats.org/officeDocument/2006/relationships" ref="W114" r:id="rId333"/>
    <hyperlink xmlns:r="http://schemas.openxmlformats.org/officeDocument/2006/relationships" ref="C115" r:id="rId334"/>
    <hyperlink xmlns:r="http://schemas.openxmlformats.org/officeDocument/2006/relationships" ref="V115" r:id="rId335"/>
    <hyperlink xmlns:r="http://schemas.openxmlformats.org/officeDocument/2006/relationships" ref="W115" r:id="rId336"/>
    <hyperlink xmlns:r="http://schemas.openxmlformats.org/officeDocument/2006/relationships" ref="C116" r:id="rId337"/>
    <hyperlink xmlns:r="http://schemas.openxmlformats.org/officeDocument/2006/relationships" ref="V116" r:id="rId338"/>
    <hyperlink xmlns:r="http://schemas.openxmlformats.org/officeDocument/2006/relationships" ref="W116" r:id="rId339"/>
    <hyperlink xmlns:r="http://schemas.openxmlformats.org/officeDocument/2006/relationships" ref="C117" r:id="rId340"/>
    <hyperlink xmlns:r="http://schemas.openxmlformats.org/officeDocument/2006/relationships" ref="V117" r:id="rId341"/>
    <hyperlink xmlns:r="http://schemas.openxmlformats.org/officeDocument/2006/relationships" ref="W117" r:id="rId342"/>
    <hyperlink xmlns:r="http://schemas.openxmlformats.org/officeDocument/2006/relationships" ref="C118" r:id="rId343"/>
    <hyperlink xmlns:r="http://schemas.openxmlformats.org/officeDocument/2006/relationships" ref="V118" r:id="rId344"/>
    <hyperlink xmlns:r="http://schemas.openxmlformats.org/officeDocument/2006/relationships" ref="W118" r:id="rId345"/>
    <hyperlink xmlns:r="http://schemas.openxmlformats.org/officeDocument/2006/relationships" ref="C119" r:id="rId346"/>
    <hyperlink xmlns:r="http://schemas.openxmlformats.org/officeDocument/2006/relationships" ref="V119" r:id="rId347"/>
    <hyperlink xmlns:r="http://schemas.openxmlformats.org/officeDocument/2006/relationships" ref="W119" r:id="rId348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349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21"/>
  <sheetViews>
    <sheetView workbookViewId="0">
      <pane xSplit="4" ySplit="1" topLeftCell="E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9" customWidth="1" min="2" max="2"/>
    <col width="7" customWidth="1" min="3" max="3"/>
    <col width="40" customWidth="1" min="4" max="4"/>
    <col width="10" customWidth="1" min="5" max="5"/>
    <col width="30" customWidth="1" min="6" max="6"/>
    <col width="2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8" customWidth="1" min="13" max="13"/>
    <col width="10" customWidth="1" min="14" max="14"/>
  </cols>
  <sheetData>
    <row r="1" ht="32" customHeight="1">
      <c r="A1" s="8" t="inlineStr">
        <is>
          <t>Submitted (IST)</t>
        </is>
      </c>
      <c r="B1" s="8" t="inlineStr">
        <is>
          <t>Month</t>
        </is>
      </c>
      <c r="C1" s="8" t="inlineStr">
        <is>
          <t>LC #</t>
        </is>
      </c>
      <c r="D1" s="8" t="inlineStr">
        <is>
          <t>Problem</t>
        </is>
      </c>
      <c r="E1" s="8" t="inlineStr">
        <is>
          <t>Difficulty</t>
        </is>
      </c>
      <c r="F1" s="8" t="inlineStr">
        <is>
          <t>Pattern</t>
        </is>
      </c>
      <c r="G1" s="8" t="inlineStr">
        <is>
          <t>Status</t>
        </is>
      </c>
      <c r="H1" s="8" t="inlineStr">
        <is>
          <t>Language</t>
        </is>
      </c>
      <c r="I1" s="8" t="inlineStr">
        <is>
          <t>Runtime</t>
        </is>
      </c>
      <c r="J1" s="8" t="inlineStr">
        <is>
          <t>Memory</t>
        </is>
      </c>
      <c r="K1" s="8" t="inlineStr">
        <is>
          <t>Runtime beats %</t>
        </is>
      </c>
      <c r="L1" s="8" t="inlineStr">
        <is>
          <t>Tests passed</t>
        </is>
      </c>
      <c r="M1" s="8" t="inlineStr">
        <is>
          <t>Submission</t>
        </is>
      </c>
      <c r="N1" s="8" t="inlineStr">
        <is>
          <t>In your list?</t>
        </is>
      </c>
    </row>
    <row r="2">
      <c r="A2" s="11" t="n">
        <v>44991.87877314815</v>
      </c>
      <c r="B2" s="4" t="inlineStr">
        <is>
          <t>2023-03</t>
        </is>
      </c>
      <c r="C2" s="4" t="n">
        <v>1480</v>
      </c>
      <c r="D2" s="9" t="inlineStr">
        <is>
          <t>Running Sum of 1d Array</t>
        </is>
      </c>
      <c r="E2" s="4" t="inlineStr">
        <is>
          <t>Easy</t>
        </is>
      </c>
      <c r="F2" s="4" t="inlineStr">
        <is>
          <t>Prefix Sum &amp; Difference Array</t>
        </is>
      </c>
      <c r="G2" s="4" t="inlineStr">
        <is>
          <t>Accepted</t>
        </is>
      </c>
      <c r="H2" s="4" t="inlineStr">
        <is>
          <t>C++</t>
        </is>
      </c>
      <c r="I2" s="4" t="inlineStr">
        <is>
          <t>0 ms</t>
        </is>
      </c>
      <c r="J2" s="4" t="inlineStr">
        <is>
          <t>8.6 MB</t>
        </is>
      </c>
      <c r="K2" s="4" t="n">
        <v>100</v>
      </c>
      <c r="L2" s="4" t="inlineStr">
        <is>
          <t>53/53</t>
        </is>
      </c>
      <c r="M2" s="9" t="inlineStr">
        <is>
          <t>Submission 910238803</t>
        </is>
      </c>
      <c r="N2" s="4" t="inlineStr">
        <is>
          <t>No</t>
        </is>
      </c>
    </row>
    <row r="3">
      <c r="A3" s="11" t="n">
        <v>44991.88550925926</v>
      </c>
      <c r="B3" s="4" t="inlineStr">
        <is>
          <t>2023-03</t>
        </is>
      </c>
      <c r="C3" s="4" t="n">
        <v>724</v>
      </c>
      <c r="D3" s="9" t="inlineStr">
        <is>
          <t>Find Pivot Index</t>
        </is>
      </c>
      <c r="E3" s="4" t="inlineStr">
        <is>
          <t>Easy</t>
        </is>
      </c>
      <c r="F3" s="4" t="inlineStr">
        <is>
          <t>Prefix Sum &amp; Difference Array</t>
        </is>
      </c>
      <c r="G3" s="4" t="inlineStr">
        <is>
          <t>Accepted</t>
        </is>
      </c>
      <c r="H3" s="4" t="inlineStr">
        <is>
          <t>C++</t>
        </is>
      </c>
      <c r="I3" s="4" t="inlineStr">
        <is>
          <t>31 ms</t>
        </is>
      </c>
      <c r="J3" s="4" t="inlineStr">
        <is>
          <t>32.3 MB</t>
        </is>
      </c>
      <c r="K3" s="4" t="n">
        <v>9.4</v>
      </c>
      <c r="L3" s="4" t="inlineStr">
        <is>
          <t>746/746</t>
        </is>
      </c>
      <c r="M3" s="9" t="inlineStr">
        <is>
          <t>Submission 910244350</t>
        </is>
      </c>
      <c r="N3" s="4" t="inlineStr">
        <is>
          <t>No</t>
        </is>
      </c>
    </row>
    <row r="4">
      <c r="A4" s="11" t="n">
        <v>44991.9116087963</v>
      </c>
      <c r="B4" s="4" t="inlineStr">
        <is>
          <t>2023-03</t>
        </is>
      </c>
      <c r="C4" s="4" t="n">
        <v>1</v>
      </c>
      <c r="D4" s="9" t="inlineStr">
        <is>
          <t>Two Sum</t>
        </is>
      </c>
      <c r="E4" s="4" t="inlineStr">
        <is>
          <t>Easy</t>
        </is>
      </c>
      <c r="F4" s="4" t="inlineStr">
        <is>
          <t>Arrays, Hashing &amp; Sorting</t>
        </is>
      </c>
      <c r="G4" s="4" t="inlineStr">
        <is>
          <t>Accepted</t>
        </is>
      </c>
      <c r="H4" s="4" t="inlineStr">
        <is>
          <t>C++</t>
        </is>
      </c>
      <c r="I4" s="4" t="inlineStr">
        <is>
          <t>9 ms</t>
        </is>
      </c>
      <c r="J4" s="4" t="inlineStr">
        <is>
          <t>11.3 MB</t>
        </is>
      </c>
      <c r="K4" s="4" t="n">
        <v>40.6</v>
      </c>
      <c r="L4" s="4" t="inlineStr">
        <is>
          <t>57/57</t>
        </is>
      </c>
      <c r="M4" s="9" t="inlineStr">
        <is>
          <t>Submission 910266383</t>
        </is>
      </c>
      <c r="N4" s="4" t="inlineStr">
        <is>
          <t>Yes</t>
        </is>
      </c>
    </row>
    <row r="5">
      <c r="A5" s="11" t="n">
        <v>44991.91366898148</v>
      </c>
      <c r="B5" s="4" t="inlineStr">
        <is>
          <t>2023-03</t>
        </is>
      </c>
      <c r="C5" s="4" t="n">
        <v>1</v>
      </c>
      <c r="D5" s="9" t="inlineStr">
        <is>
          <t>Two Sum</t>
        </is>
      </c>
      <c r="E5" s="4" t="inlineStr">
        <is>
          <t>Easy</t>
        </is>
      </c>
      <c r="F5" s="4" t="inlineStr">
        <is>
          <t>Arrays, Hashing &amp; Sorting</t>
        </is>
      </c>
      <c r="G5" s="4" t="inlineStr">
        <is>
          <t>Accepted</t>
        </is>
      </c>
      <c r="H5" s="4" t="inlineStr">
        <is>
          <t>C++</t>
        </is>
      </c>
      <c r="I5" s="4" t="inlineStr">
        <is>
          <t>14 ms</t>
        </is>
      </c>
      <c r="J5" s="4" t="inlineStr">
        <is>
          <t>11.1 MB</t>
        </is>
      </c>
      <c r="K5" s="4" t="n">
        <v>39.3</v>
      </c>
      <c r="L5" s="4" t="inlineStr">
        <is>
          <t>57/57</t>
        </is>
      </c>
      <c r="M5" s="9" t="inlineStr">
        <is>
          <t>Submission 910268202</t>
        </is>
      </c>
      <c r="N5" s="4" t="inlineStr">
        <is>
          <t>Yes</t>
        </is>
      </c>
    </row>
    <row r="6">
      <c r="A6" s="11" t="n">
        <v>44991.93890046296</v>
      </c>
      <c r="B6" s="4" t="inlineStr">
        <is>
          <t>2023-03</t>
        </is>
      </c>
      <c r="C6" s="4" t="n">
        <v>13</v>
      </c>
      <c r="D6" s="9" t="inlineStr">
        <is>
          <t>Roman to Integer</t>
        </is>
      </c>
      <c r="E6" s="4" t="inlineStr">
        <is>
          <t>Easy</t>
        </is>
      </c>
      <c r="F6" s="4" t="inlineStr">
        <is>
          <t>Strings &amp; Simulation</t>
        </is>
      </c>
      <c r="G6" s="4" t="inlineStr">
        <is>
          <t>Accepted</t>
        </is>
      </c>
      <c r="H6" s="4" t="inlineStr">
        <is>
          <t>C++</t>
        </is>
      </c>
      <c r="I6" s="4" t="inlineStr">
        <is>
          <t>17 ms</t>
        </is>
      </c>
      <c r="J6" s="4" t="inlineStr">
        <is>
          <t>8.6 MB</t>
        </is>
      </c>
      <c r="K6" s="4" t="n">
        <v>5.1</v>
      </c>
      <c r="L6" s="4" t="inlineStr">
        <is>
          <t>3999/3999</t>
        </is>
      </c>
      <c r="M6" s="9" t="inlineStr">
        <is>
          <t>Submission 910290507</t>
        </is>
      </c>
      <c r="N6" s="4" t="inlineStr">
        <is>
          <t>Yes</t>
        </is>
      </c>
    </row>
    <row r="7">
      <c r="A7" s="11" t="n">
        <v>44991.94439814815</v>
      </c>
      <c r="B7" s="4" t="inlineStr">
        <is>
          <t>2023-03</t>
        </is>
      </c>
      <c r="C7" s="4" t="n">
        <v>14</v>
      </c>
      <c r="D7" s="9" t="inlineStr">
        <is>
          <t>Longest Common Prefix</t>
        </is>
      </c>
      <c r="E7" s="4" t="inlineStr">
        <is>
          <t>Easy</t>
        </is>
      </c>
      <c r="F7" s="4" t="inlineStr">
        <is>
          <t>Strings &amp; Simulation</t>
        </is>
      </c>
      <c r="G7" s="4" t="inlineStr">
        <is>
          <t>Wrong Answer</t>
        </is>
      </c>
      <c r="H7" s="4" t="inlineStr">
        <is>
          <t>C++</t>
        </is>
      </c>
      <c r="I7" s="4" t="inlineStr">
        <is>
          <t>N/A</t>
        </is>
      </c>
      <c r="J7" s="4" t="inlineStr">
        <is>
          <t>N/A</t>
        </is>
      </c>
      <c r="K7" s="4" t="n"/>
      <c r="L7" s="4" t="inlineStr">
        <is>
          <t>110/124</t>
        </is>
      </c>
      <c r="M7" s="9" t="inlineStr">
        <is>
          <t>Submission 910295360</t>
        </is>
      </c>
      <c r="N7" s="4" t="inlineStr">
        <is>
          <t>Yes</t>
        </is>
      </c>
    </row>
    <row r="8">
      <c r="A8" s="11" t="n">
        <v>44991.94516203704</v>
      </c>
      <c r="B8" s="4" t="inlineStr">
        <is>
          <t>2023-03</t>
        </is>
      </c>
      <c r="C8" s="4" t="n">
        <v>14</v>
      </c>
      <c r="D8" s="9" t="inlineStr">
        <is>
          <t>Longest Common Prefix</t>
        </is>
      </c>
      <c r="E8" s="4" t="inlineStr">
        <is>
          <t>Easy</t>
        </is>
      </c>
      <c r="F8" s="4" t="inlineStr">
        <is>
          <t>Strings &amp; Simulation</t>
        </is>
      </c>
      <c r="G8" s="4" t="inlineStr">
        <is>
          <t>Accepted</t>
        </is>
      </c>
      <c r="H8" s="4" t="inlineStr">
        <is>
          <t>C++</t>
        </is>
      </c>
      <c r="I8" s="4" t="inlineStr">
        <is>
          <t>0 ms</t>
        </is>
      </c>
      <c r="J8" s="4" t="inlineStr">
        <is>
          <t>9.2 MB</t>
        </is>
      </c>
      <c r="K8" s="4" t="n">
        <v>100</v>
      </c>
      <c r="L8" s="4" t="inlineStr">
        <is>
          <t>124/124</t>
        </is>
      </c>
      <c r="M8" s="9" t="inlineStr">
        <is>
          <t>Submission 910296028</t>
        </is>
      </c>
      <c r="N8" s="4" t="inlineStr">
        <is>
          <t>Yes</t>
        </is>
      </c>
    </row>
    <row r="9">
      <c r="A9" s="11" t="n">
        <v>44991.95396990741</v>
      </c>
      <c r="B9" s="4" t="inlineStr">
        <is>
          <t>2023-03</t>
        </is>
      </c>
      <c r="C9" s="4" t="n">
        <v>20</v>
      </c>
      <c r="D9" s="9" t="inlineStr">
        <is>
          <t>Valid Parentheses</t>
        </is>
      </c>
      <c r="E9" s="4" t="inlineStr">
        <is>
          <t>Easy</t>
        </is>
      </c>
      <c r="F9" s="4" t="inlineStr">
        <is>
          <t>Stack</t>
        </is>
      </c>
      <c r="G9" s="4" t="inlineStr">
        <is>
          <t>Wrong Answer</t>
        </is>
      </c>
      <c r="H9" s="4" t="inlineStr">
        <is>
          <t>C++</t>
        </is>
      </c>
      <c r="I9" s="4" t="inlineStr">
        <is>
          <t>N/A</t>
        </is>
      </c>
      <c r="J9" s="4" t="inlineStr">
        <is>
          <t>N/A</t>
        </is>
      </c>
      <c r="K9" s="4" t="n"/>
      <c r="L9" s="4" t="inlineStr">
        <is>
          <t>5/92</t>
        </is>
      </c>
      <c r="M9" s="9" t="inlineStr">
        <is>
          <t>Submission 910304068</t>
        </is>
      </c>
      <c r="N9" s="4" t="inlineStr">
        <is>
          <t>Yes</t>
        </is>
      </c>
    </row>
    <row r="10">
      <c r="A10" s="11" t="n">
        <v>44991.95449074074</v>
      </c>
      <c r="B10" s="4" t="inlineStr">
        <is>
          <t>2023-03</t>
        </is>
      </c>
      <c r="C10" s="4" t="n">
        <v>20</v>
      </c>
      <c r="D10" s="9" t="inlineStr">
        <is>
          <t>Valid Parentheses</t>
        </is>
      </c>
      <c r="E10" s="4" t="inlineStr">
        <is>
          <t>Easy</t>
        </is>
      </c>
      <c r="F10" s="4" t="inlineStr">
        <is>
          <t>Stack</t>
        </is>
      </c>
      <c r="G10" s="4" t="inlineStr">
        <is>
          <t>Runtime Error</t>
        </is>
      </c>
      <c r="H10" s="4" t="inlineStr">
        <is>
          <t>C++</t>
        </is>
      </c>
      <c r="I10" s="4" t="inlineStr">
        <is>
          <t>N/A</t>
        </is>
      </c>
      <c r="J10" s="4" t="inlineStr">
        <is>
          <t>N/A</t>
        </is>
      </c>
      <c r="K10" s="4" t="n"/>
      <c r="L10" s="4" t="inlineStr">
        <is>
          <t>6/92</t>
        </is>
      </c>
      <c r="M10" s="9" t="inlineStr">
        <is>
          <t>Submission 910304549</t>
        </is>
      </c>
      <c r="N10" s="4" t="inlineStr">
        <is>
          <t>Yes</t>
        </is>
      </c>
    </row>
    <row r="11">
      <c r="A11" s="11" t="n">
        <v>44991.95756944444</v>
      </c>
      <c r="B11" s="4" t="inlineStr">
        <is>
          <t>2023-03</t>
        </is>
      </c>
      <c r="C11" s="4" t="n">
        <v>20</v>
      </c>
      <c r="D11" s="9" t="inlineStr">
        <is>
          <t>Valid Parentheses</t>
        </is>
      </c>
      <c r="E11" s="4" t="inlineStr">
        <is>
          <t>Easy</t>
        </is>
      </c>
      <c r="F11" s="4" t="inlineStr">
        <is>
          <t>Stack</t>
        </is>
      </c>
      <c r="G11" s="4" t="inlineStr">
        <is>
          <t>Accepted</t>
        </is>
      </c>
      <c r="H11" s="4" t="inlineStr">
        <is>
          <t>C++</t>
        </is>
      </c>
      <c r="I11" s="4" t="inlineStr">
        <is>
          <t>5 ms</t>
        </is>
      </c>
      <c r="J11" s="4" t="inlineStr">
        <is>
          <t>6.1 MB</t>
        </is>
      </c>
      <c r="K11" s="4" t="n">
        <v>0.9</v>
      </c>
      <c r="L11" s="4" t="inlineStr">
        <is>
          <t>92/92</t>
        </is>
      </c>
      <c r="M11" s="9" t="inlineStr">
        <is>
          <t>Submission 910307496</t>
        </is>
      </c>
      <c r="N11" s="4" t="inlineStr">
        <is>
          <t>Yes</t>
        </is>
      </c>
    </row>
    <row r="12">
      <c r="A12" s="11" t="n">
        <v>44991.99043981481</v>
      </c>
      <c r="B12" s="4" t="inlineStr">
        <is>
          <t>2023-03</t>
        </is>
      </c>
      <c r="C12" s="4" t="n">
        <v>359</v>
      </c>
      <c r="D12" s="9" t="inlineStr">
        <is>
          <t>Logger Rate Limiter</t>
        </is>
      </c>
      <c r="E12" s="4" t="inlineStr">
        <is>
          <t>Easy</t>
        </is>
      </c>
      <c r="F12" s="4" t="inlineStr">
        <is>
          <t>Design</t>
        </is>
      </c>
      <c r="G12" s="4" t="inlineStr">
        <is>
          <t>Accepted</t>
        </is>
      </c>
      <c r="H12" s="4" t="inlineStr">
        <is>
          <t>C++</t>
        </is>
      </c>
      <c r="I12" s="4" t="inlineStr">
        <is>
          <t>92 ms</t>
        </is>
      </c>
      <c r="J12" s="4" t="inlineStr">
        <is>
          <t>36.8 MB</t>
        </is>
      </c>
      <c r="K12" s="4" t="n">
        <v>5.2</v>
      </c>
      <c r="L12" s="4" t="inlineStr">
        <is>
          <t>20/20</t>
        </is>
      </c>
      <c r="M12" s="9" t="inlineStr">
        <is>
          <t>Submission 910337699</t>
        </is>
      </c>
      <c r="N12" s="4" t="inlineStr">
        <is>
          <t>Yes</t>
        </is>
      </c>
    </row>
    <row r="13">
      <c r="A13" s="11" t="n">
        <v>44991.99550925926</v>
      </c>
      <c r="B13" s="4" t="inlineStr">
        <is>
          <t>2023-03</t>
        </is>
      </c>
      <c r="C13" s="4" t="n">
        <v>359</v>
      </c>
      <c r="D13" s="9" t="inlineStr">
        <is>
          <t>Logger Rate Limiter</t>
        </is>
      </c>
      <c r="E13" s="4" t="inlineStr">
        <is>
          <t>Easy</t>
        </is>
      </c>
      <c r="F13" s="4" t="inlineStr">
        <is>
          <t>Design</t>
        </is>
      </c>
      <c r="G13" s="4" t="inlineStr">
        <is>
          <t>Accepted</t>
        </is>
      </c>
      <c r="H13" s="4" t="inlineStr">
        <is>
          <t>C++</t>
        </is>
      </c>
      <c r="I13" s="4" t="inlineStr">
        <is>
          <t>70 ms</t>
        </is>
      </c>
      <c r="J13" s="4" t="inlineStr">
        <is>
          <t>32.6 MB</t>
        </is>
      </c>
      <c r="K13" s="4" t="n">
        <v>5.2</v>
      </c>
      <c r="L13" s="4" t="inlineStr">
        <is>
          <t>20/20</t>
        </is>
      </c>
      <c r="M13" s="9" t="inlineStr">
        <is>
          <t>Submission 910342011</t>
        </is>
      </c>
      <c r="N13" s="4" t="inlineStr">
        <is>
          <t>Yes</t>
        </is>
      </c>
    </row>
    <row r="14">
      <c r="A14" s="11" t="n">
        <v>44992.00366898148</v>
      </c>
      <c r="B14" s="4" t="inlineStr">
        <is>
          <t>2023-03</t>
        </is>
      </c>
      <c r="C14" s="4" t="n">
        <v>704</v>
      </c>
      <c r="D14" s="9" t="inlineStr">
        <is>
          <t>Binary Search</t>
        </is>
      </c>
      <c r="E14" s="4" t="inlineStr">
        <is>
          <t>Easy</t>
        </is>
      </c>
      <c r="F14" s="4" t="inlineStr">
        <is>
          <t>Binary Search</t>
        </is>
      </c>
      <c r="G14" s="4" t="inlineStr">
        <is>
          <t>Accepted</t>
        </is>
      </c>
      <c r="H14" s="4" t="inlineStr">
        <is>
          <t>C++</t>
        </is>
      </c>
      <c r="I14" s="4" t="inlineStr">
        <is>
          <t>47 ms</t>
        </is>
      </c>
      <c r="J14" s="4" t="inlineStr">
        <is>
          <t>27.6 MB</t>
        </is>
      </c>
      <c r="K14" s="4" t="n">
        <v>0.1</v>
      </c>
      <c r="L14" s="4" t="inlineStr">
        <is>
          <t>47/47</t>
        </is>
      </c>
      <c r="M14" s="9" t="inlineStr">
        <is>
          <t>Submission 910349125</t>
        </is>
      </c>
      <c r="N14" s="4" t="inlineStr">
        <is>
          <t>Yes</t>
        </is>
      </c>
    </row>
    <row r="15">
      <c r="A15" s="11" t="n">
        <v>44992.02186342593</v>
      </c>
      <c r="B15" s="4" t="inlineStr">
        <is>
          <t>2023-03</t>
        </is>
      </c>
      <c r="C15" s="4" t="n">
        <v>704</v>
      </c>
      <c r="D15" s="9" t="inlineStr">
        <is>
          <t>Binary Search</t>
        </is>
      </c>
      <c r="E15" s="4" t="inlineStr">
        <is>
          <t>Easy</t>
        </is>
      </c>
      <c r="F15" s="4" t="inlineStr">
        <is>
          <t>Binary Search</t>
        </is>
      </c>
      <c r="G15" s="4" t="inlineStr">
        <is>
          <t>Accepted</t>
        </is>
      </c>
      <c r="H15" s="4" t="inlineStr">
        <is>
          <t>C++</t>
        </is>
      </c>
      <c r="I15" s="4" t="inlineStr">
        <is>
          <t>43 ms</t>
        </is>
      </c>
      <c r="J15" s="4" t="inlineStr">
        <is>
          <t>27.4 MB</t>
        </is>
      </c>
      <c r="K15" s="4" t="n">
        <v>0.1</v>
      </c>
      <c r="L15" s="4" t="inlineStr">
        <is>
          <t>47/47</t>
        </is>
      </c>
      <c r="M15" s="9" t="inlineStr">
        <is>
          <t>Submission 910363447</t>
        </is>
      </c>
      <c r="N15" s="4" t="inlineStr">
        <is>
          <t>Yes</t>
        </is>
      </c>
    </row>
    <row r="16">
      <c r="A16" s="11" t="n">
        <v>44992.025625</v>
      </c>
      <c r="B16" s="4" t="inlineStr">
        <is>
          <t>2023-03</t>
        </is>
      </c>
      <c r="C16" s="4" t="n">
        <v>938</v>
      </c>
      <c r="D16" s="9" t="inlineStr">
        <is>
          <t>Range Sum of BST</t>
        </is>
      </c>
      <c r="E16" s="4" t="inlineStr">
        <is>
          <t>Easy</t>
        </is>
      </c>
      <c r="F16" s="4" t="inlineStr">
        <is>
          <t>Binary Search Tree</t>
        </is>
      </c>
      <c r="G16" s="4" t="inlineStr">
        <is>
          <t>Accepted</t>
        </is>
      </c>
      <c r="H16" s="4" t="inlineStr">
        <is>
          <t>C++</t>
        </is>
      </c>
      <c r="I16" s="4" t="inlineStr">
        <is>
          <t>135 ms</t>
        </is>
      </c>
      <c r="J16" s="4" t="inlineStr">
        <is>
          <t>64.6 MB</t>
        </is>
      </c>
      <c r="K16" s="4" t="n">
        <v>3</v>
      </c>
      <c r="L16" s="4" t="inlineStr">
        <is>
          <t>41/41</t>
        </is>
      </c>
      <c r="M16" s="9" t="inlineStr">
        <is>
          <t>Submission 910366212</t>
        </is>
      </c>
      <c r="N16" s="4" t="inlineStr">
        <is>
          <t>Yes</t>
        </is>
      </c>
    </row>
    <row r="17">
      <c r="A17" s="11" t="n">
        <v>44992.02630787037</v>
      </c>
      <c r="B17" s="4" t="inlineStr">
        <is>
          <t>2023-03</t>
        </is>
      </c>
      <c r="C17" s="4" t="n">
        <v>1</v>
      </c>
      <c r="D17" s="9" t="inlineStr">
        <is>
          <t>Two Sum</t>
        </is>
      </c>
      <c r="E17" s="4" t="inlineStr">
        <is>
          <t>Easy</t>
        </is>
      </c>
      <c r="F17" s="4" t="inlineStr">
        <is>
          <t>Arrays, Hashing &amp; Sorting</t>
        </is>
      </c>
      <c r="G17" s="4" t="inlineStr">
        <is>
          <t>Accepted</t>
        </is>
      </c>
      <c r="H17" s="4" t="inlineStr">
        <is>
          <t>C++</t>
        </is>
      </c>
      <c r="I17" s="4" t="inlineStr">
        <is>
          <t>18 ms</t>
        </is>
      </c>
      <c r="J17" s="4" t="inlineStr">
        <is>
          <t>11.2 MB</t>
        </is>
      </c>
      <c r="K17" s="4" t="n">
        <v>39.2</v>
      </c>
      <c r="L17" s="4" t="inlineStr">
        <is>
          <t>57/57</t>
        </is>
      </c>
      <c r="M17" s="9" t="inlineStr">
        <is>
          <t>Submission 910366686</t>
        </is>
      </c>
      <c r="N17" s="4" t="inlineStr">
        <is>
          <t>Yes</t>
        </is>
      </c>
    </row>
    <row r="18">
      <c r="A18" s="11" t="n">
        <v>44992.0265625</v>
      </c>
      <c r="B18" s="4" t="inlineStr">
        <is>
          <t>2023-03</t>
        </is>
      </c>
      <c r="C18" s="4" t="n">
        <v>13</v>
      </c>
      <c r="D18" s="9" t="inlineStr">
        <is>
          <t>Roman to Integer</t>
        </is>
      </c>
      <c r="E18" s="4" t="inlineStr">
        <is>
          <t>Easy</t>
        </is>
      </c>
      <c r="F18" s="4" t="inlineStr">
        <is>
          <t>Strings &amp; Simulation</t>
        </is>
      </c>
      <c r="G18" s="4" t="inlineStr">
        <is>
          <t>Accepted</t>
        </is>
      </c>
      <c r="H18" s="4" t="inlineStr">
        <is>
          <t>C++</t>
        </is>
      </c>
      <c r="I18" s="4" t="inlineStr">
        <is>
          <t>11 ms</t>
        </is>
      </c>
      <c r="J18" s="4" t="inlineStr">
        <is>
          <t>8.7 MB</t>
        </is>
      </c>
      <c r="K18" s="4" t="n">
        <v>26.4</v>
      </c>
      <c r="L18" s="4" t="inlineStr">
        <is>
          <t>3999/3999</t>
        </is>
      </c>
      <c r="M18" s="9" t="inlineStr">
        <is>
          <t>Submission 910366895</t>
        </is>
      </c>
      <c r="N18" s="4" t="inlineStr">
        <is>
          <t>Yes</t>
        </is>
      </c>
    </row>
    <row r="19">
      <c r="A19" s="11" t="n">
        <v>44992.02667824074</v>
      </c>
      <c r="B19" s="4" t="inlineStr">
        <is>
          <t>2023-03</t>
        </is>
      </c>
      <c r="C19" s="4" t="n">
        <v>14</v>
      </c>
      <c r="D19" s="9" t="inlineStr">
        <is>
          <t>Longest Common Prefix</t>
        </is>
      </c>
      <c r="E19" s="4" t="inlineStr">
        <is>
          <t>Easy</t>
        </is>
      </c>
      <c r="F19" s="4" t="inlineStr">
        <is>
          <t>Strings &amp; Simulation</t>
        </is>
      </c>
      <c r="G19" s="4" t="inlineStr">
        <is>
          <t>Accepted</t>
        </is>
      </c>
      <c r="H19" s="4" t="inlineStr">
        <is>
          <t>C++</t>
        </is>
      </c>
      <c r="I19" s="4" t="inlineStr">
        <is>
          <t>4 ms</t>
        </is>
      </c>
      <c r="J19" s="4" t="inlineStr">
        <is>
          <t>9.2 MB</t>
        </is>
      </c>
      <c r="K19" s="4" t="n">
        <v>5.5</v>
      </c>
      <c r="L19" s="4" t="inlineStr">
        <is>
          <t>124/124</t>
        </is>
      </c>
      <c r="M19" s="9" t="inlineStr">
        <is>
          <t>Submission 910366984</t>
        </is>
      </c>
      <c r="N19" s="4" t="inlineStr">
        <is>
          <t>Yes</t>
        </is>
      </c>
    </row>
    <row r="20">
      <c r="A20" s="11" t="n">
        <v>44992.02681712963</v>
      </c>
      <c r="B20" s="4" t="inlineStr">
        <is>
          <t>2023-03</t>
        </is>
      </c>
      <c r="C20" s="4" t="n">
        <v>20</v>
      </c>
      <c r="D20" s="9" t="inlineStr">
        <is>
          <t>Valid Parentheses</t>
        </is>
      </c>
      <c r="E20" s="4" t="inlineStr">
        <is>
          <t>Easy</t>
        </is>
      </c>
      <c r="F20" s="4" t="inlineStr">
        <is>
          <t>Stack</t>
        </is>
      </c>
      <c r="G20" s="4" t="inlineStr">
        <is>
          <t>Accepted</t>
        </is>
      </c>
      <c r="H20" s="4" t="inlineStr">
        <is>
          <t>C++</t>
        </is>
      </c>
      <c r="I20" s="4" t="inlineStr">
        <is>
          <t>4 ms</t>
        </is>
      </c>
      <c r="J20" s="4" t="inlineStr">
        <is>
          <t>6.4 MB</t>
        </is>
      </c>
      <c r="K20" s="4" t="n">
        <v>1.3</v>
      </c>
      <c r="L20" s="4" t="inlineStr">
        <is>
          <t>92/92</t>
        </is>
      </c>
      <c r="M20" s="9" t="inlineStr">
        <is>
          <t>Submission 910367099</t>
        </is>
      </c>
      <c r="N20" s="4" t="inlineStr">
        <is>
          <t>Yes</t>
        </is>
      </c>
    </row>
    <row r="21">
      <c r="A21" s="11" t="n">
        <v>44992.02703703703</v>
      </c>
      <c r="B21" s="4" t="inlineStr">
        <is>
          <t>2023-03</t>
        </is>
      </c>
      <c r="C21" s="4" t="n">
        <v>359</v>
      </c>
      <c r="D21" s="9" t="inlineStr">
        <is>
          <t>Logger Rate Limiter</t>
        </is>
      </c>
      <c r="E21" s="4" t="inlineStr">
        <is>
          <t>Easy</t>
        </is>
      </c>
      <c r="F21" s="4" t="inlineStr">
        <is>
          <t>Design</t>
        </is>
      </c>
      <c r="G21" s="4" t="inlineStr">
        <is>
          <t>Accepted</t>
        </is>
      </c>
      <c r="H21" s="4" t="inlineStr">
        <is>
          <t>C++</t>
        </is>
      </c>
      <c r="I21" s="4" t="inlineStr">
        <is>
          <t>76 ms</t>
        </is>
      </c>
      <c r="J21" s="4" t="inlineStr">
        <is>
          <t>32.6 MB</t>
        </is>
      </c>
      <c r="K21" s="4" t="n">
        <v>5.2</v>
      </c>
      <c r="L21" s="4" t="inlineStr">
        <is>
          <t>20/20</t>
        </is>
      </c>
      <c r="M21" s="9" t="inlineStr">
        <is>
          <t>Submission 910367286</t>
        </is>
      </c>
      <c r="N21" s="4" t="inlineStr">
        <is>
          <t>Yes</t>
        </is>
      </c>
    </row>
    <row r="22">
      <c r="A22" s="11" t="n">
        <v>44992.03476851852</v>
      </c>
      <c r="B22" s="4" t="inlineStr">
        <is>
          <t>2023-03</t>
        </is>
      </c>
      <c r="C22" s="4" t="n">
        <v>938</v>
      </c>
      <c r="D22" s="9" t="inlineStr">
        <is>
          <t>Range Sum of BST</t>
        </is>
      </c>
      <c r="E22" s="4" t="inlineStr">
        <is>
          <t>Easy</t>
        </is>
      </c>
      <c r="F22" s="4" t="inlineStr">
        <is>
          <t>Binary Search Tree</t>
        </is>
      </c>
      <c r="G22" s="4" t="inlineStr">
        <is>
          <t>Accepted</t>
        </is>
      </c>
      <c r="H22" s="4" t="inlineStr">
        <is>
          <t>C++</t>
        </is>
      </c>
      <c r="I22" s="4" t="inlineStr">
        <is>
          <t>152 ms</t>
        </is>
      </c>
      <c r="J22" s="4" t="inlineStr">
        <is>
          <t>64.6 MB</t>
        </is>
      </c>
      <c r="K22" s="4" t="n">
        <v>3</v>
      </c>
      <c r="L22" s="4" t="inlineStr">
        <is>
          <t>41/41</t>
        </is>
      </c>
      <c r="M22" s="9" t="inlineStr">
        <is>
          <t>Submission 910373064</t>
        </is>
      </c>
      <c r="N22" s="4" t="inlineStr">
        <is>
          <t>Yes</t>
        </is>
      </c>
    </row>
    <row r="23">
      <c r="A23" s="11" t="n">
        <v>44992.03560185185</v>
      </c>
      <c r="B23" s="4" t="inlineStr">
        <is>
          <t>2023-03</t>
        </is>
      </c>
      <c r="C23" s="4" t="n">
        <v>938</v>
      </c>
      <c r="D23" s="9" t="inlineStr">
        <is>
          <t>Range Sum of BST</t>
        </is>
      </c>
      <c r="E23" s="4" t="inlineStr">
        <is>
          <t>Easy</t>
        </is>
      </c>
      <c r="F23" s="4" t="inlineStr">
        <is>
          <t>Binary Search Tree</t>
        </is>
      </c>
      <c r="G23" s="4" t="inlineStr">
        <is>
          <t>Accepted</t>
        </is>
      </c>
      <c r="H23" s="4" t="inlineStr">
        <is>
          <t>C++</t>
        </is>
      </c>
      <c r="I23" s="4" t="inlineStr">
        <is>
          <t>128 ms</t>
        </is>
      </c>
      <c r="J23" s="4" t="inlineStr">
        <is>
          <t>64.7 MB</t>
        </is>
      </c>
      <c r="K23" s="4" t="n">
        <v>3</v>
      </c>
      <c r="L23" s="4" t="inlineStr">
        <is>
          <t>41/41</t>
        </is>
      </c>
      <c r="M23" s="9" t="inlineStr">
        <is>
          <t>Submission 910373631</t>
        </is>
      </c>
      <c r="N23" s="4" t="inlineStr">
        <is>
          <t>Yes</t>
        </is>
      </c>
    </row>
    <row r="24">
      <c r="A24" s="11" t="n">
        <v>44992.0705787037</v>
      </c>
      <c r="B24" s="4" t="inlineStr">
        <is>
          <t>2023-03</t>
        </is>
      </c>
      <c r="C24" s="4" t="n">
        <v>56</v>
      </c>
      <c r="D24" s="9" t="inlineStr">
        <is>
          <t>Merge Intervals</t>
        </is>
      </c>
      <c r="E24" s="4" t="inlineStr">
        <is>
          <t>Medium</t>
        </is>
      </c>
      <c r="F24" s="4" t="inlineStr">
        <is>
          <t>Intervals &amp; Sweep Line</t>
        </is>
      </c>
      <c r="G24" s="4" t="inlineStr">
        <is>
          <t>Accepted</t>
        </is>
      </c>
      <c r="H24" s="4" t="inlineStr">
        <is>
          <t>C++</t>
        </is>
      </c>
      <c r="I24" s="4" t="inlineStr">
        <is>
          <t>38 ms</t>
        </is>
      </c>
      <c r="J24" s="4" t="inlineStr">
        <is>
          <t>20.1 MB</t>
        </is>
      </c>
      <c r="K24" s="4" t="n">
        <v>5.1</v>
      </c>
      <c r="L24" s="4" t="inlineStr">
        <is>
          <t>170/170</t>
        </is>
      </c>
      <c r="M24" s="9" t="inlineStr">
        <is>
          <t>Submission 910396906</t>
        </is>
      </c>
      <c r="N24" s="4" t="inlineStr">
        <is>
          <t>Yes</t>
        </is>
      </c>
    </row>
    <row r="25">
      <c r="A25" s="11" t="n">
        <v>44992.07098379629</v>
      </c>
      <c r="B25" s="4" t="inlineStr">
        <is>
          <t>2023-03</t>
        </is>
      </c>
      <c r="C25" s="4" t="n">
        <v>56</v>
      </c>
      <c r="D25" s="9" t="inlineStr">
        <is>
          <t>Merge Intervals</t>
        </is>
      </c>
      <c r="E25" s="4" t="inlineStr">
        <is>
          <t>Medium</t>
        </is>
      </c>
      <c r="F25" s="4" t="inlineStr">
        <is>
          <t>Intervals &amp; Sweep Line</t>
        </is>
      </c>
      <c r="G25" s="4" t="inlineStr">
        <is>
          <t>Accepted</t>
        </is>
      </c>
      <c r="H25" s="4" t="inlineStr">
        <is>
          <t>C++</t>
        </is>
      </c>
      <c r="I25" s="4" t="inlineStr">
        <is>
          <t>43 ms</t>
        </is>
      </c>
      <c r="J25" s="4" t="inlineStr">
        <is>
          <t>20.1 MB</t>
        </is>
      </c>
      <c r="K25" s="4" t="n">
        <v>5.1</v>
      </c>
      <c r="L25" s="4" t="inlineStr">
        <is>
          <t>170/170</t>
        </is>
      </c>
      <c r="M25" s="9" t="inlineStr">
        <is>
          <t>Submission 910397138</t>
        </is>
      </c>
      <c r="N25" s="4" t="inlineStr">
        <is>
          <t>Yes</t>
        </is>
      </c>
    </row>
    <row r="26">
      <c r="A26" s="11" t="n">
        <v>44996.41097222222</v>
      </c>
      <c r="B26" s="4" t="inlineStr">
        <is>
          <t>2023-03</t>
        </is>
      </c>
      <c r="C26" s="4" t="n">
        <v>70</v>
      </c>
      <c r="D26" s="9" t="inlineStr">
        <is>
          <t>Climbing Stairs</t>
        </is>
      </c>
      <c r="E26" s="4" t="inlineStr">
        <is>
          <t>Easy</t>
        </is>
      </c>
      <c r="F26" s="4" t="inlineStr">
        <is>
          <t>DP: 1D / Linear</t>
        </is>
      </c>
      <c r="G26" s="4" t="inlineStr">
        <is>
          <t>Wrong Answer</t>
        </is>
      </c>
      <c r="H26" s="4" t="inlineStr">
        <is>
          <t>C++</t>
        </is>
      </c>
      <c r="I26" s="4" t="inlineStr">
        <is>
          <t>N/A</t>
        </is>
      </c>
      <c r="J26" s="4" t="inlineStr">
        <is>
          <t>N/A</t>
        </is>
      </c>
      <c r="K26" s="4" t="n"/>
      <c r="L26" s="4" t="inlineStr">
        <is>
          <t>43/45</t>
        </is>
      </c>
      <c r="M26" s="9" t="inlineStr">
        <is>
          <t>Submission 913013853</t>
        </is>
      </c>
      <c r="N26" s="4" t="inlineStr">
        <is>
          <t>Yes</t>
        </is>
      </c>
    </row>
    <row r="27">
      <c r="A27" s="11" t="n">
        <v>44996.41142361111</v>
      </c>
      <c r="B27" s="4" t="inlineStr">
        <is>
          <t>2023-03</t>
        </is>
      </c>
      <c r="C27" s="4" t="n">
        <v>70</v>
      </c>
      <c r="D27" s="9" t="inlineStr">
        <is>
          <t>Climbing Stairs</t>
        </is>
      </c>
      <c r="E27" s="4" t="inlineStr">
        <is>
          <t>Easy</t>
        </is>
      </c>
      <c r="F27" s="4" t="inlineStr">
        <is>
          <t>DP: 1D / Linear</t>
        </is>
      </c>
      <c r="G27" s="4" t="inlineStr">
        <is>
          <t>Accepted</t>
        </is>
      </c>
      <c r="H27" s="4" t="inlineStr">
        <is>
          <t>C++</t>
        </is>
      </c>
      <c r="I27" s="4" t="inlineStr">
        <is>
          <t>0 ms</t>
        </is>
      </c>
      <c r="J27" s="4" t="inlineStr">
        <is>
          <t>6.4 MB</t>
        </is>
      </c>
      <c r="K27" s="4" t="n">
        <v>100</v>
      </c>
      <c r="L27" s="4" t="inlineStr">
        <is>
          <t>45/45</t>
        </is>
      </c>
      <c r="M27" s="9" t="inlineStr">
        <is>
          <t>Submission 913014080</t>
        </is>
      </c>
      <c r="N27" s="4" t="inlineStr">
        <is>
          <t>Yes</t>
        </is>
      </c>
    </row>
    <row r="28">
      <c r="A28" s="11" t="n">
        <v>44996.60071759259</v>
      </c>
      <c r="B28" s="4" t="inlineStr">
        <is>
          <t>2023-03</t>
        </is>
      </c>
      <c r="C28" s="4" t="n">
        <v>1377</v>
      </c>
      <c r="D28" s="9" t="inlineStr">
        <is>
          <t>Frog Position After T Seconds</t>
        </is>
      </c>
      <c r="E28" s="4" t="inlineStr">
        <is>
          <t>Hard</t>
        </is>
      </c>
      <c r="F28" s="4" t="inlineStr">
        <is>
          <t>Graph: General BFS/DFS</t>
        </is>
      </c>
      <c r="G28" s="4" t="inlineStr">
        <is>
          <t>Accepted</t>
        </is>
      </c>
      <c r="H28" s="4" t="inlineStr">
        <is>
          <t>C++</t>
        </is>
      </c>
      <c r="I28" s="4" t="inlineStr">
        <is>
          <t>15 ms</t>
        </is>
      </c>
      <c r="J28" s="4" t="inlineStr">
        <is>
          <t>15.4 MB</t>
        </is>
      </c>
      <c r="K28" s="4" t="n">
        <v>11</v>
      </c>
      <c r="L28" s="4" t="inlineStr">
        <is>
          <t>204/204</t>
        </is>
      </c>
      <c r="M28" s="9" t="inlineStr">
        <is>
          <t>Submission 913125591</t>
        </is>
      </c>
      <c r="N28" s="4" t="inlineStr">
        <is>
          <t>Yes</t>
        </is>
      </c>
    </row>
    <row r="29">
      <c r="A29" s="11" t="n">
        <v>44996.64197916666</v>
      </c>
      <c r="B29" s="4" t="inlineStr">
        <is>
          <t>2023-03</t>
        </is>
      </c>
      <c r="C29" s="4" t="n">
        <v>1377</v>
      </c>
      <c r="D29" s="9" t="inlineStr">
        <is>
          <t>Frog Position After T Seconds</t>
        </is>
      </c>
      <c r="E29" s="4" t="inlineStr">
        <is>
          <t>Hard</t>
        </is>
      </c>
      <c r="F29" s="4" t="inlineStr">
        <is>
          <t>Graph: General BFS/DFS</t>
        </is>
      </c>
      <c r="G29" s="4" t="inlineStr">
        <is>
          <t>Accepted</t>
        </is>
      </c>
      <c r="H29" s="4" t="inlineStr">
        <is>
          <t>C++</t>
        </is>
      </c>
      <c r="I29" s="4" t="inlineStr">
        <is>
          <t>26 ms</t>
        </is>
      </c>
      <c r="J29" s="4" t="inlineStr">
        <is>
          <t>15.2 MB</t>
        </is>
      </c>
      <c r="K29" s="4" t="n">
        <v>5.1</v>
      </c>
      <c r="L29" s="4" t="inlineStr">
        <is>
          <t>204/204</t>
        </is>
      </c>
      <c r="M29" s="9" t="inlineStr">
        <is>
          <t>Submission 913148665</t>
        </is>
      </c>
      <c r="N29" s="4" t="inlineStr">
        <is>
          <t>Yes</t>
        </is>
      </c>
    </row>
    <row r="30">
      <c r="A30" s="11" t="n">
        <v>44996.71001157408</v>
      </c>
      <c r="B30" s="4" t="inlineStr">
        <is>
          <t>2023-03</t>
        </is>
      </c>
      <c r="C30" s="4" t="n">
        <v>213</v>
      </c>
      <c r="D30" s="9" t="inlineStr">
        <is>
          <t>House Robber II</t>
        </is>
      </c>
      <c r="E30" s="4" t="inlineStr">
        <is>
          <t>Medium</t>
        </is>
      </c>
      <c r="F30" s="4" t="inlineStr">
        <is>
          <t>DP: 1D / Linear</t>
        </is>
      </c>
      <c r="G30" s="4" t="inlineStr">
        <is>
          <t>Wrong Answer</t>
        </is>
      </c>
      <c r="H30" s="4" t="inlineStr">
        <is>
          <t>C++</t>
        </is>
      </c>
      <c r="I30" s="4" t="inlineStr">
        <is>
          <t>N/A</t>
        </is>
      </c>
      <c r="J30" s="4" t="inlineStr">
        <is>
          <t>N/A</t>
        </is>
      </c>
      <c r="K30" s="4" t="n"/>
      <c r="L30" s="4" t="inlineStr">
        <is>
          <t>68/75</t>
        </is>
      </c>
      <c r="M30" s="9" t="inlineStr">
        <is>
          <t>Submission 913184731</t>
        </is>
      </c>
      <c r="N30" s="4" t="inlineStr">
        <is>
          <t>Yes</t>
        </is>
      </c>
    </row>
    <row r="31">
      <c r="A31" s="11" t="n">
        <v>44996.71057870371</v>
      </c>
      <c r="B31" s="4" t="inlineStr">
        <is>
          <t>2023-03</t>
        </is>
      </c>
      <c r="C31" s="4" t="n">
        <v>213</v>
      </c>
      <c r="D31" s="9" t="inlineStr">
        <is>
          <t>House Robber II</t>
        </is>
      </c>
      <c r="E31" s="4" t="inlineStr">
        <is>
          <t>Medium</t>
        </is>
      </c>
      <c r="F31" s="4" t="inlineStr">
        <is>
          <t>DP: 1D / Linear</t>
        </is>
      </c>
      <c r="G31" s="4" t="inlineStr">
        <is>
          <t>Wrong Answer</t>
        </is>
      </c>
      <c r="H31" s="4" t="inlineStr">
        <is>
          <t>C++</t>
        </is>
      </c>
      <c r="I31" s="4" t="inlineStr">
        <is>
          <t>N/A</t>
        </is>
      </c>
      <c r="J31" s="4" t="inlineStr">
        <is>
          <t>N/A</t>
        </is>
      </c>
      <c r="K31" s="4" t="n"/>
      <c r="L31" s="4" t="inlineStr">
        <is>
          <t>73/75</t>
        </is>
      </c>
      <c r="M31" s="9" t="inlineStr">
        <is>
          <t>Submission 913185027</t>
        </is>
      </c>
      <c r="N31" s="4" t="inlineStr">
        <is>
          <t>Yes</t>
        </is>
      </c>
    </row>
    <row r="32">
      <c r="A32" s="11" t="n">
        <v>44996.71212962963</v>
      </c>
      <c r="B32" s="4" t="inlineStr">
        <is>
          <t>2023-03</t>
        </is>
      </c>
      <c r="C32" s="4" t="n">
        <v>213</v>
      </c>
      <c r="D32" s="9" t="inlineStr">
        <is>
          <t>House Robber II</t>
        </is>
      </c>
      <c r="E32" s="4" t="inlineStr">
        <is>
          <t>Medium</t>
        </is>
      </c>
      <c r="F32" s="4" t="inlineStr">
        <is>
          <t>DP: 1D / Linear</t>
        </is>
      </c>
      <c r="G32" s="4" t="inlineStr">
        <is>
          <t>Accepted</t>
        </is>
      </c>
      <c r="H32" s="4" t="inlineStr">
        <is>
          <t>C++</t>
        </is>
      </c>
      <c r="I32" s="4" t="inlineStr">
        <is>
          <t>3 ms</t>
        </is>
      </c>
      <c r="J32" s="4" t="inlineStr">
        <is>
          <t>8 MB</t>
        </is>
      </c>
      <c r="K32" s="4" t="n">
        <v>6.5</v>
      </c>
      <c r="L32" s="4" t="inlineStr">
        <is>
          <t>75/75</t>
        </is>
      </c>
      <c r="M32" s="9" t="inlineStr">
        <is>
          <t>Submission 913185817</t>
        </is>
      </c>
      <c r="N32" s="4" t="inlineStr">
        <is>
          <t>Yes</t>
        </is>
      </c>
    </row>
    <row r="33">
      <c r="A33" s="11" t="n">
        <v>44997.46768518518</v>
      </c>
      <c r="B33" s="4" t="inlineStr">
        <is>
          <t>2023-03</t>
        </is>
      </c>
      <c r="C33" s="4" t="n">
        <v>64</v>
      </c>
      <c r="D33" s="9" t="inlineStr">
        <is>
          <t>Minimum Path Sum</t>
        </is>
      </c>
      <c r="E33" s="4" t="inlineStr">
        <is>
          <t>Medium</t>
        </is>
      </c>
      <c r="F33" s="4" t="inlineStr">
        <is>
          <t>DP: Grid / 2D</t>
        </is>
      </c>
      <c r="G33" s="4" t="inlineStr">
        <is>
          <t>Wrong Answer</t>
        </is>
      </c>
      <c r="H33" s="4" t="inlineStr">
        <is>
          <t>C++</t>
        </is>
      </c>
      <c r="I33" s="4" t="inlineStr">
        <is>
          <t>N/A</t>
        </is>
      </c>
      <c r="J33" s="4" t="inlineStr">
        <is>
          <t>N/A</t>
        </is>
      </c>
      <c r="K33" s="4" t="n"/>
      <c r="L33" s="4" t="inlineStr">
        <is>
          <t>39/61</t>
        </is>
      </c>
      <c r="M33" s="9" t="inlineStr">
        <is>
          <t>Submission 913633670</t>
        </is>
      </c>
      <c r="N33" s="4" t="inlineStr">
        <is>
          <t>Yes</t>
        </is>
      </c>
    </row>
    <row r="34">
      <c r="A34" s="11" t="n">
        <v>44997.47017361111</v>
      </c>
      <c r="B34" s="4" t="inlineStr">
        <is>
          <t>2023-03</t>
        </is>
      </c>
      <c r="C34" s="4" t="n">
        <v>64</v>
      </c>
      <c r="D34" s="9" t="inlineStr">
        <is>
          <t>Minimum Path Sum</t>
        </is>
      </c>
      <c r="E34" s="4" t="inlineStr">
        <is>
          <t>Medium</t>
        </is>
      </c>
      <c r="F34" s="4" t="inlineStr">
        <is>
          <t>DP: Grid / 2D</t>
        </is>
      </c>
      <c r="G34" s="4" t="inlineStr">
        <is>
          <t>Accepted</t>
        </is>
      </c>
      <c r="H34" s="4" t="inlineStr">
        <is>
          <t>C++</t>
        </is>
      </c>
      <c r="I34" s="4" t="inlineStr">
        <is>
          <t>15 ms</t>
        </is>
      </c>
      <c r="J34" s="4" t="inlineStr">
        <is>
          <t>10.1 MB</t>
        </is>
      </c>
      <c r="K34" s="4" t="n">
        <v>5.9</v>
      </c>
      <c r="L34" s="4" t="inlineStr">
        <is>
          <t>61/61</t>
        </is>
      </c>
      <c r="M34" s="9" t="inlineStr">
        <is>
          <t>Submission 913635348</t>
        </is>
      </c>
      <c r="N34" s="4" t="inlineStr">
        <is>
          <t>Yes</t>
        </is>
      </c>
    </row>
    <row r="35">
      <c r="A35" s="11" t="n">
        <v>44997.49578703703</v>
      </c>
      <c r="B35" s="4" t="inlineStr">
        <is>
          <t>2023-03</t>
        </is>
      </c>
      <c r="C35" s="4" t="n">
        <v>741</v>
      </c>
      <c r="D35" s="9" t="inlineStr">
        <is>
          <t>Cherry Pickup</t>
        </is>
      </c>
      <c r="E35" s="4" t="inlineStr">
        <is>
          <t>Hard</t>
        </is>
      </c>
      <c r="F35" s="4" t="inlineStr">
        <is>
          <t>DP: Grid / 2D</t>
        </is>
      </c>
      <c r="G35" s="4" t="inlineStr">
        <is>
          <t>Wrong Answer</t>
        </is>
      </c>
      <c r="H35" s="4" t="inlineStr">
        <is>
          <t>Java</t>
        </is>
      </c>
      <c r="I35" s="4" t="inlineStr">
        <is>
          <t>N/A</t>
        </is>
      </c>
      <c r="J35" s="4" t="inlineStr">
        <is>
          <t>N/A</t>
        </is>
      </c>
      <c r="K35" s="4" t="n"/>
      <c r="L35" s="4" t="inlineStr">
        <is>
          <t>49/59</t>
        </is>
      </c>
      <c r="M35" s="9" t="inlineStr">
        <is>
          <t>Submission 913652420</t>
        </is>
      </c>
      <c r="N35" s="4" t="inlineStr">
        <is>
          <t>Yes</t>
        </is>
      </c>
    </row>
    <row r="36">
      <c r="A36" s="11" t="n">
        <v>44997.60410879629</v>
      </c>
      <c r="B36" s="4" t="inlineStr">
        <is>
          <t>2023-03</t>
        </is>
      </c>
      <c r="C36" s="4" t="n">
        <v>741</v>
      </c>
      <c r="D36" s="9" t="inlineStr">
        <is>
          <t>Cherry Pickup</t>
        </is>
      </c>
      <c r="E36" s="4" t="inlineStr">
        <is>
          <t>Hard</t>
        </is>
      </c>
      <c r="F36" s="4" t="inlineStr">
        <is>
          <t>DP: Grid / 2D</t>
        </is>
      </c>
      <c r="G36" s="4" t="inlineStr">
        <is>
          <t>Wrong Answer</t>
        </is>
      </c>
      <c r="H36" s="4" t="inlineStr">
        <is>
          <t>C++</t>
        </is>
      </c>
      <c r="I36" s="4" t="inlineStr">
        <is>
          <t>N/A</t>
        </is>
      </c>
      <c r="J36" s="4" t="inlineStr">
        <is>
          <t>N/A</t>
        </is>
      </c>
      <c r="K36" s="4" t="n"/>
      <c r="L36" s="4" t="inlineStr">
        <is>
          <t>48/59</t>
        </is>
      </c>
      <c r="M36" s="9" t="inlineStr">
        <is>
          <t>Submission 913718323</t>
        </is>
      </c>
      <c r="N36" s="4" t="inlineStr">
        <is>
          <t>Yes</t>
        </is>
      </c>
    </row>
    <row r="37">
      <c r="A37" s="11" t="n">
        <v>44997.60451388889</v>
      </c>
      <c r="B37" s="4" t="inlineStr">
        <is>
          <t>2023-03</t>
        </is>
      </c>
      <c r="C37" s="4" t="n">
        <v>741</v>
      </c>
      <c r="D37" s="9" t="inlineStr">
        <is>
          <t>Cherry Pickup</t>
        </is>
      </c>
      <c r="E37" s="4" t="inlineStr">
        <is>
          <t>Hard</t>
        </is>
      </c>
      <c r="F37" s="4" t="inlineStr">
        <is>
          <t>DP: Grid / 2D</t>
        </is>
      </c>
      <c r="G37" s="4" t="inlineStr">
        <is>
          <t>Accepted</t>
        </is>
      </c>
      <c r="H37" s="4" t="inlineStr">
        <is>
          <t>C++</t>
        </is>
      </c>
      <c r="I37" s="4" t="inlineStr">
        <is>
          <t>832 ms</t>
        </is>
      </c>
      <c r="J37" s="4" t="inlineStr">
        <is>
          <t>587.2 MB</t>
        </is>
      </c>
      <c r="K37" s="4" t="n">
        <v>5.1</v>
      </c>
      <c r="L37" s="4" t="inlineStr">
        <is>
          <t>59/59</t>
        </is>
      </c>
      <c r="M37" s="9" t="inlineStr">
        <is>
          <t>Submission 913718543</t>
        </is>
      </c>
      <c r="N37" s="4" t="inlineStr">
        <is>
          <t>Yes</t>
        </is>
      </c>
    </row>
    <row r="38">
      <c r="A38" s="11" t="n">
        <v>44997.65571759259</v>
      </c>
      <c r="B38" s="4" t="inlineStr">
        <is>
          <t>2023-03</t>
        </is>
      </c>
      <c r="C38" s="4" t="n">
        <v>1463</v>
      </c>
      <c r="D38" s="9" t="inlineStr">
        <is>
          <t>Cherry Pickup II</t>
        </is>
      </c>
      <c r="E38" s="4" t="inlineStr">
        <is>
          <t>Hard</t>
        </is>
      </c>
      <c r="F38" s="4" t="inlineStr">
        <is>
          <t>DP: Grid / 2D</t>
        </is>
      </c>
      <c r="G38" s="4" t="inlineStr">
        <is>
          <t>Accepted</t>
        </is>
      </c>
      <c r="H38" s="4" t="inlineStr">
        <is>
          <t>C++</t>
        </is>
      </c>
      <c r="I38" s="4" t="inlineStr">
        <is>
          <t>565 ms</t>
        </is>
      </c>
      <c r="J38" s="4" t="inlineStr">
        <is>
          <t>445.7 MB</t>
        </is>
      </c>
      <c r="K38" s="4" t="n">
        <v>5</v>
      </c>
      <c r="L38" s="4" t="inlineStr">
        <is>
          <t>59/59</t>
        </is>
      </c>
      <c r="M38" s="9" t="inlineStr">
        <is>
          <t>Submission 913747384</t>
        </is>
      </c>
      <c r="N38" s="4" t="inlineStr">
        <is>
          <t>Yes</t>
        </is>
      </c>
    </row>
    <row r="39">
      <c r="A39" s="11" t="n">
        <v>44997.70896990741</v>
      </c>
      <c r="B39" s="4" t="inlineStr">
        <is>
          <t>2023-03</t>
        </is>
      </c>
      <c r="C39" s="4" t="n">
        <v>1463</v>
      </c>
      <c r="D39" s="9" t="inlineStr">
        <is>
          <t>Cherry Pickup II</t>
        </is>
      </c>
      <c r="E39" s="4" t="inlineStr">
        <is>
          <t>Hard</t>
        </is>
      </c>
      <c r="F39" s="4" t="inlineStr">
        <is>
          <t>DP: Grid / 2D</t>
        </is>
      </c>
      <c r="G39" s="4" t="inlineStr">
        <is>
          <t>Accepted</t>
        </is>
      </c>
      <c r="H39" s="4" t="inlineStr">
        <is>
          <t>C++</t>
        </is>
      </c>
      <c r="I39" s="4" t="inlineStr">
        <is>
          <t>142 ms</t>
        </is>
      </c>
      <c r="J39" s="4" t="inlineStr">
        <is>
          <t>17.4 MB</t>
        </is>
      </c>
      <c r="K39" s="4" t="n">
        <v>5</v>
      </c>
      <c r="L39" s="4" t="inlineStr">
        <is>
          <t>59/59</t>
        </is>
      </c>
      <c r="M39" s="9" t="inlineStr">
        <is>
          <t>Submission 913776663</t>
        </is>
      </c>
      <c r="N39" s="4" t="inlineStr">
        <is>
          <t>Yes</t>
        </is>
      </c>
    </row>
    <row r="40">
      <c r="A40" s="11" t="n">
        <v>44997.71510416667</v>
      </c>
      <c r="B40" s="4" t="inlineStr">
        <is>
          <t>2023-03</t>
        </is>
      </c>
      <c r="C40" s="4" t="n">
        <v>62</v>
      </c>
      <c r="D40" s="9" t="inlineStr">
        <is>
          <t>Unique Paths</t>
        </is>
      </c>
      <c r="E40" s="4" t="inlineStr">
        <is>
          <t>Medium</t>
        </is>
      </c>
      <c r="F40" s="4" t="inlineStr">
        <is>
          <t>DP: Grid / 2D</t>
        </is>
      </c>
      <c r="G40" s="4" t="inlineStr">
        <is>
          <t>Accepted</t>
        </is>
      </c>
      <c r="H40" s="4" t="inlineStr">
        <is>
          <t>C++</t>
        </is>
      </c>
      <c r="I40" s="4" t="inlineStr">
        <is>
          <t>0 ms</t>
        </is>
      </c>
      <c r="J40" s="4" t="inlineStr">
        <is>
          <t>6.6 MB</t>
        </is>
      </c>
      <c r="K40" s="4" t="n">
        <v>100</v>
      </c>
      <c r="L40" s="4" t="inlineStr">
        <is>
          <t>63/63</t>
        </is>
      </c>
      <c r="M40" s="9" t="inlineStr">
        <is>
          <t>Submission 913779888</t>
        </is>
      </c>
      <c r="N40" s="4" t="inlineStr">
        <is>
          <t>Yes</t>
        </is>
      </c>
    </row>
    <row r="41">
      <c r="A41" s="11" t="n">
        <v>44997.72631944445</v>
      </c>
      <c r="B41" s="4" t="inlineStr">
        <is>
          <t>2023-03</t>
        </is>
      </c>
      <c r="C41" s="4" t="n">
        <v>63</v>
      </c>
      <c r="D41" s="9" t="inlineStr">
        <is>
          <t>Unique Paths II</t>
        </is>
      </c>
      <c r="E41" s="4" t="inlineStr">
        <is>
          <t>Medium</t>
        </is>
      </c>
      <c r="F41" s="4" t="inlineStr">
        <is>
          <t>DP: Grid / 2D</t>
        </is>
      </c>
      <c r="G41" s="4" t="inlineStr">
        <is>
          <t>Wrong Answer</t>
        </is>
      </c>
      <c r="H41" s="4" t="inlineStr">
        <is>
          <t>C++</t>
        </is>
      </c>
      <c r="I41" s="4" t="inlineStr">
        <is>
          <t>N/A</t>
        </is>
      </c>
      <c r="J41" s="4" t="inlineStr">
        <is>
          <t>N/A</t>
        </is>
      </c>
      <c r="K41" s="4" t="n"/>
      <c r="L41" s="4" t="inlineStr">
        <is>
          <t>37/41</t>
        </is>
      </c>
      <c r="M41" s="9" t="inlineStr">
        <is>
          <t>Submission 913786083</t>
        </is>
      </c>
      <c r="N41" s="4" t="inlineStr">
        <is>
          <t>Yes</t>
        </is>
      </c>
    </row>
    <row r="42">
      <c r="A42" s="11" t="n">
        <v>44997.72760416667</v>
      </c>
      <c r="B42" s="4" t="inlineStr">
        <is>
          <t>2023-03</t>
        </is>
      </c>
      <c r="C42" s="4" t="n">
        <v>63</v>
      </c>
      <c r="D42" s="9" t="inlineStr">
        <is>
          <t>Unique Paths II</t>
        </is>
      </c>
      <c r="E42" s="4" t="inlineStr">
        <is>
          <t>Medium</t>
        </is>
      </c>
      <c r="F42" s="4" t="inlineStr">
        <is>
          <t>DP: Grid / 2D</t>
        </is>
      </c>
      <c r="G42" s="4" t="inlineStr">
        <is>
          <t>Accepted</t>
        </is>
      </c>
      <c r="H42" s="4" t="inlineStr">
        <is>
          <t>C++</t>
        </is>
      </c>
      <c r="I42" s="4" t="inlineStr">
        <is>
          <t>0 ms</t>
        </is>
      </c>
      <c r="J42" s="4" t="inlineStr">
        <is>
          <t>8 MB</t>
        </is>
      </c>
      <c r="K42" s="4" t="n">
        <v>100</v>
      </c>
      <c r="L42" s="4" t="inlineStr">
        <is>
          <t>41/41</t>
        </is>
      </c>
      <c r="M42" s="9" t="inlineStr">
        <is>
          <t>Submission 913786813</t>
        </is>
      </c>
      <c r="N42" s="4" t="inlineStr">
        <is>
          <t>Yes</t>
        </is>
      </c>
    </row>
    <row r="43">
      <c r="A43" s="11" t="n">
        <v>44997.75106481482</v>
      </c>
      <c r="B43" s="4" t="inlineStr">
        <is>
          <t>2023-03</t>
        </is>
      </c>
      <c r="C43" s="4" t="n">
        <v>120</v>
      </c>
      <c r="D43" s="9" t="inlineStr">
        <is>
          <t>Triangle</t>
        </is>
      </c>
      <c r="E43" s="4" t="inlineStr">
        <is>
          <t>Medium</t>
        </is>
      </c>
      <c r="F43" s="4" t="inlineStr">
        <is>
          <t>DP: Grid / 2D</t>
        </is>
      </c>
      <c r="G43" s="4" t="inlineStr">
        <is>
          <t>Accepted</t>
        </is>
      </c>
      <c r="H43" s="4" t="inlineStr">
        <is>
          <t>C++</t>
        </is>
      </c>
      <c r="I43" s="4" t="inlineStr">
        <is>
          <t>0 ms</t>
        </is>
      </c>
      <c r="J43" s="4" t="inlineStr">
        <is>
          <t>19 MB</t>
        </is>
      </c>
      <c r="K43" s="4" t="n">
        <v>100</v>
      </c>
      <c r="L43" s="4" t="inlineStr">
        <is>
          <t>44/44</t>
        </is>
      </c>
      <c r="M43" s="9" t="inlineStr">
        <is>
          <t>Submission 913799505</t>
        </is>
      </c>
      <c r="N43" s="4" t="inlineStr">
        <is>
          <t>Yes</t>
        </is>
      </c>
    </row>
    <row r="44">
      <c r="A44" s="11" t="n">
        <v>44997.76344907407</v>
      </c>
      <c r="B44" s="4" t="inlineStr">
        <is>
          <t>2023-03</t>
        </is>
      </c>
      <c r="C44" s="4" t="n">
        <v>931</v>
      </c>
      <c r="D44" s="9" t="inlineStr">
        <is>
          <t>Minimum Falling Path Sum</t>
        </is>
      </c>
      <c r="E44" s="4" t="inlineStr">
        <is>
          <t>Medium</t>
        </is>
      </c>
      <c r="F44" s="4" t="inlineStr">
        <is>
          <t>DP: Grid / 2D</t>
        </is>
      </c>
      <c r="G44" s="4" t="inlineStr">
        <is>
          <t>Accepted</t>
        </is>
      </c>
      <c r="H44" s="4" t="inlineStr">
        <is>
          <t>C++</t>
        </is>
      </c>
      <c r="I44" s="4" t="inlineStr">
        <is>
          <t>16 ms</t>
        </is>
      </c>
      <c r="J44" s="4" t="inlineStr">
        <is>
          <t>10.3 MB</t>
        </is>
      </c>
      <c r="K44" s="4" t="n">
        <v>5.2</v>
      </c>
      <c r="L44" s="4" t="inlineStr">
        <is>
          <t>49/49</t>
        </is>
      </c>
      <c r="M44" s="9" t="inlineStr">
        <is>
          <t>Submission 913806269</t>
        </is>
      </c>
      <c r="N44" s="4" t="inlineStr">
        <is>
          <t>Yes</t>
        </is>
      </c>
    </row>
    <row r="45">
      <c r="A45" s="11" t="n">
        <v>44997.95392361111</v>
      </c>
      <c r="B45" s="4" t="inlineStr">
        <is>
          <t>2023-03</t>
        </is>
      </c>
      <c r="C45" s="4" t="n">
        <v>416</v>
      </c>
      <c r="D45" s="9" t="inlineStr">
        <is>
          <t>Partition Equal Subset Sum</t>
        </is>
      </c>
      <c r="E45" s="4" t="inlineStr">
        <is>
          <t>Medium</t>
        </is>
      </c>
      <c r="F45" s="4" t="inlineStr">
        <is>
          <t>DP: Knapsack / Subset</t>
        </is>
      </c>
      <c r="G45" s="4" t="inlineStr">
        <is>
          <t>Accepted</t>
        </is>
      </c>
      <c r="H45" s="4" t="inlineStr">
        <is>
          <t>C++</t>
        </is>
      </c>
      <c r="I45" s="4" t="inlineStr">
        <is>
          <t>330 ms</t>
        </is>
      </c>
      <c r="J45" s="4" t="inlineStr">
        <is>
          <t>178.1 MB</t>
        </is>
      </c>
      <c r="K45" s="4" t="n">
        <v>5</v>
      </c>
      <c r="L45" s="4" t="inlineStr">
        <is>
          <t>141/141</t>
        </is>
      </c>
      <c r="M45" s="9" t="inlineStr">
        <is>
          <t>Submission 913930133</t>
        </is>
      </c>
      <c r="N45" s="4" t="inlineStr">
        <is>
          <t>Yes</t>
        </is>
      </c>
    </row>
    <row r="46">
      <c r="A46" s="11" t="n">
        <v>44998.07711805555</v>
      </c>
      <c r="B46" s="4" t="inlineStr">
        <is>
          <t>2023-03</t>
        </is>
      </c>
      <c r="C46" s="4" t="n">
        <v>322</v>
      </c>
      <c r="D46" s="9" t="inlineStr">
        <is>
          <t>Coin Change</t>
        </is>
      </c>
      <c r="E46" s="4" t="inlineStr">
        <is>
          <t>Medium</t>
        </is>
      </c>
      <c r="F46" s="4" t="inlineStr">
        <is>
          <t>DP: Knapsack / Subset</t>
        </is>
      </c>
      <c r="G46" s="4" t="inlineStr">
        <is>
          <t>Accepted</t>
        </is>
      </c>
      <c r="H46" s="4" t="inlineStr">
        <is>
          <t>C++</t>
        </is>
      </c>
      <c r="I46" s="4" t="inlineStr">
        <is>
          <t>110 ms</t>
        </is>
      </c>
      <c r="J46" s="4" t="inlineStr">
        <is>
          <t>45.7 MB</t>
        </is>
      </c>
      <c r="K46" s="4" t="n">
        <v>5.6</v>
      </c>
      <c r="L46" s="4" t="inlineStr">
        <is>
          <t>189/189</t>
        </is>
      </c>
      <c r="M46" s="9" t="inlineStr">
        <is>
          <t>Submission 914009174</t>
        </is>
      </c>
      <c r="N46" s="4" t="inlineStr">
        <is>
          <t>Yes</t>
        </is>
      </c>
    </row>
    <row r="47">
      <c r="A47" s="11" t="n">
        <v>44998.07840277778</v>
      </c>
      <c r="B47" s="4" t="inlineStr">
        <is>
          <t>2023-03</t>
        </is>
      </c>
      <c r="C47" s="4" t="n">
        <v>322</v>
      </c>
      <c r="D47" s="9" t="inlineStr">
        <is>
          <t>Coin Change</t>
        </is>
      </c>
      <c r="E47" s="4" t="inlineStr">
        <is>
          <t>Medium</t>
        </is>
      </c>
      <c r="F47" s="4" t="inlineStr">
        <is>
          <t>DP: Knapsack / Subset</t>
        </is>
      </c>
      <c r="G47" s="4" t="inlineStr">
        <is>
          <t>Wrong Answer</t>
        </is>
      </c>
      <c r="H47" s="4" t="inlineStr">
        <is>
          <t>C++</t>
        </is>
      </c>
      <c r="I47" s="4" t="inlineStr">
        <is>
          <t>N/A</t>
        </is>
      </c>
      <c r="J47" s="4" t="inlineStr">
        <is>
          <t>N/A</t>
        </is>
      </c>
      <c r="K47" s="4" t="n"/>
      <c r="L47" s="4" t="inlineStr">
        <is>
          <t>51/189</t>
        </is>
      </c>
      <c r="M47" s="9" t="inlineStr">
        <is>
          <t>Submission 914009772</t>
        </is>
      </c>
      <c r="N47" s="4" t="inlineStr">
        <is>
          <t>Yes</t>
        </is>
      </c>
    </row>
    <row r="48">
      <c r="A48" s="11" t="n">
        <v>44998.07877314815</v>
      </c>
      <c r="B48" s="4" t="inlineStr">
        <is>
          <t>2023-03</t>
        </is>
      </c>
      <c r="C48" s="4" t="n">
        <v>322</v>
      </c>
      <c r="D48" s="9" t="inlineStr">
        <is>
          <t>Coin Change</t>
        </is>
      </c>
      <c r="E48" s="4" t="inlineStr">
        <is>
          <t>Medium</t>
        </is>
      </c>
      <c r="F48" s="4" t="inlineStr">
        <is>
          <t>DP: Knapsack / Subset</t>
        </is>
      </c>
      <c r="G48" s="4" t="inlineStr">
        <is>
          <t>Accepted</t>
        </is>
      </c>
      <c r="H48" s="4" t="inlineStr">
        <is>
          <t>C++</t>
        </is>
      </c>
      <c r="I48" s="4" t="inlineStr">
        <is>
          <t>100 ms</t>
        </is>
      </c>
      <c r="J48" s="4" t="inlineStr">
        <is>
          <t>45.7 MB</t>
        </is>
      </c>
      <c r="K48" s="4" t="n">
        <v>5.7</v>
      </c>
      <c r="L48" s="4" t="inlineStr">
        <is>
          <t>189/189</t>
        </is>
      </c>
      <c r="M48" s="9" t="inlineStr">
        <is>
          <t>Submission 914009950</t>
        </is>
      </c>
      <c r="N48" s="4" t="inlineStr">
        <is>
          <t>Yes</t>
        </is>
      </c>
    </row>
    <row r="49">
      <c r="A49" s="11" t="n">
        <v>44998.09798611111</v>
      </c>
      <c r="B49" s="4" t="inlineStr">
        <is>
          <t>2023-03</t>
        </is>
      </c>
      <c r="C49" s="4" t="n">
        <v>494</v>
      </c>
      <c r="D49" s="9" t="inlineStr">
        <is>
          <t>Target Sum</t>
        </is>
      </c>
      <c r="E49" s="4" t="inlineStr">
        <is>
          <t>Medium</t>
        </is>
      </c>
      <c r="F49" s="4" t="inlineStr">
        <is>
          <t>DP: Knapsack / Subset</t>
        </is>
      </c>
      <c r="G49" s="4" t="inlineStr">
        <is>
          <t>Accepted</t>
        </is>
      </c>
      <c r="H49" s="4" t="inlineStr">
        <is>
          <t>C++</t>
        </is>
      </c>
      <c r="I49" s="4" t="inlineStr">
        <is>
          <t>11 ms</t>
        </is>
      </c>
      <c r="J49" s="4" t="inlineStr">
        <is>
          <t>12.3 MB</t>
        </is>
      </c>
      <c r="K49" s="4" t="n">
        <v>59.2</v>
      </c>
      <c r="L49" s="4" t="inlineStr">
        <is>
          <t>140/140</t>
        </is>
      </c>
      <c r="M49" s="9" t="inlineStr">
        <is>
          <t>Submission 914018995</t>
        </is>
      </c>
      <c r="N49" s="4" t="inlineStr">
        <is>
          <t>Yes</t>
        </is>
      </c>
    </row>
    <row r="50">
      <c r="A50" s="11" t="n">
        <v>44998.49555555556</v>
      </c>
      <c r="B50" s="4" t="inlineStr">
        <is>
          <t>2023-03</t>
        </is>
      </c>
      <c r="C50" s="4" t="n">
        <v>1143</v>
      </c>
      <c r="D50" s="9" t="inlineStr">
        <is>
          <t>Longest Common Subsequence</t>
        </is>
      </c>
      <c r="E50" s="4" t="inlineStr">
        <is>
          <t>Medium</t>
        </is>
      </c>
      <c r="F50" s="4" t="inlineStr">
        <is>
          <t>DP: Strings (LCS, Edit, Matching)</t>
        </is>
      </c>
      <c r="G50" s="4" t="inlineStr">
        <is>
          <t>Time Limit Exceeded</t>
        </is>
      </c>
      <c r="H50" s="4" t="inlineStr">
        <is>
          <t>C++</t>
        </is>
      </c>
      <c r="I50" s="4" t="inlineStr">
        <is>
          <t>N/A</t>
        </is>
      </c>
      <c r="J50" s="4" t="inlineStr">
        <is>
          <t>N/A</t>
        </is>
      </c>
      <c r="K50" s="4" t="n"/>
      <c r="L50" s="4" t="inlineStr">
        <is>
          <t>46/47</t>
        </is>
      </c>
      <c r="M50" s="9" t="inlineStr">
        <is>
          <t>Submission 914209468</t>
        </is>
      </c>
      <c r="N50" s="4" t="inlineStr">
        <is>
          <t>Yes</t>
        </is>
      </c>
    </row>
    <row r="51">
      <c r="A51" s="11" t="n">
        <v>44998.49644675926</v>
      </c>
      <c r="B51" s="4" t="inlineStr">
        <is>
          <t>2023-03</t>
        </is>
      </c>
      <c r="C51" s="4" t="n">
        <v>1143</v>
      </c>
      <c r="D51" s="9" t="inlineStr">
        <is>
          <t>Longest Common Subsequence</t>
        </is>
      </c>
      <c r="E51" s="4" t="inlineStr">
        <is>
          <t>Medium</t>
        </is>
      </c>
      <c r="F51" s="4" t="inlineStr">
        <is>
          <t>DP: Strings (LCS, Edit, Matching)</t>
        </is>
      </c>
      <c r="G51" s="4" t="inlineStr">
        <is>
          <t>Time Limit Exceeded</t>
        </is>
      </c>
      <c r="H51" s="4" t="inlineStr">
        <is>
          <t>C++</t>
        </is>
      </c>
      <c r="I51" s="4" t="inlineStr">
        <is>
          <t>N/A</t>
        </is>
      </c>
      <c r="J51" s="4" t="inlineStr">
        <is>
          <t>N/A</t>
        </is>
      </c>
      <c r="K51" s="4" t="n"/>
      <c r="L51" s="4" t="inlineStr">
        <is>
          <t>42/47</t>
        </is>
      </c>
      <c r="M51" s="9" t="inlineStr">
        <is>
          <t>Submission 914210046</t>
        </is>
      </c>
      <c r="N51" s="4" t="inlineStr">
        <is>
          <t>Yes</t>
        </is>
      </c>
    </row>
    <row r="52">
      <c r="A52" s="11" t="n">
        <v>44998.4975</v>
      </c>
      <c r="B52" s="4" t="inlineStr">
        <is>
          <t>2023-03</t>
        </is>
      </c>
      <c r="C52" s="4" t="n">
        <v>1143</v>
      </c>
      <c r="D52" s="9" t="inlineStr">
        <is>
          <t>Longest Common Subsequence</t>
        </is>
      </c>
      <c r="E52" s="4" t="inlineStr">
        <is>
          <t>Medium</t>
        </is>
      </c>
      <c r="F52" s="4" t="inlineStr">
        <is>
          <t>DP: Strings (LCS, Edit, Matching)</t>
        </is>
      </c>
      <c r="G52" s="4" t="inlineStr">
        <is>
          <t>Accepted</t>
        </is>
      </c>
      <c r="H52" s="4" t="inlineStr">
        <is>
          <t>C++</t>
        </is>
      </c>
      <c r="I52" s="4" t="inlineStr">
        <is>
          <t>101 ms</t>
        </is>
      </c>
      <c r="J52" s="4" t="inlineStr">
        <is>
          <t>24.7 MB</t>
        </is>
      </c>
      <c r="K52" s="4" t="n">
        <v>5.2</v>
      </c>
      <c r="L52" s="4" t="inlineStr">
        <is>
          <t>47/47</t>
        </is>
      </c>
      <c r="M52" s="9" t="inlineStr">
        <is>
          <t>Submission 914210738</t>
        </is>
      </c>
      <c r="N52" s="4" t="inlineStr">
        <is>
          <t>Yes</t>
        </is>
      </c>
    </row>
    <row r="53">
      <c r="A53" s="11" t="n">
        <v>44998.50355324074</v>
      </c>
      <c r="B53" s="4" t="inlineStr">
        <is>
          <t>2023-03</t>
        </is>
      </c>
      <c r="C53" s="4" t="n">
        <v>1143</v>
      </c>
      <c r="D53" s="9" t="inlineStr">
        <is>
          <t>Longest Common Subsequence</t>
        </is>
      </c>
      <c r="E53" s="4" t="inlineStr">
        <is>
          <t>Medium</t>
        </is>
      </c>
      <c r="F53" s="4" t="inlineStr">
        <is>
          <t>DP: Strings (LCS, Edit, Matching)</t>
        </is>
      </c>
      <c r="G53" s="4" t="inlineStr">
        <is>
          <t>Accepted</t>
        </is>
      </c>
      <c r="H53" s="4" t="inlineStr">
        <is>
          <t>C++</t>
        </is>
      </c>
      <c r="I53" s="4" t="inlineStr">
        <is>
          <t>94 ms</t>
        </is>
      </c>
      <c r="J53" s="4" t="inlineStr">
        <is>
          <t>42.4 MB</t>
        </is>
      </c>
      <c r="K53" s="4" t="n">
        <v>5.2</v>
      </c>
      <c r="L53" s="4" t="inlineStr">
        <is>
          <t>47/47</t>
        </is>
      </c>
      <c r="M53" s="9" t="inlineStr">
        <is>
          <t>Submission 914214722</t>
        </is>
      </c>
      <c r="N53" s="4" t="inlineStr">
        <is>
          <t>Yes</t>
        </is>
      </c>
    </row>
    <row r="54">
      <c r="A54" s="11" t="n">
        <v>44998.54041666666</v>
      </c>
      <c r="B54" s="4" t="inlineStr">
        <is>
          <t>2023-03</t>
        </is>
      </c>
      <c r="C54" s="4" t="n">
        <v>1143</v>
      </c>
      <c r="D54" s="9" t="inlineStr">
        <is>
          <t>Longest Common Subsequence</t>
        </is>
      </c>
      <c r="E54" s="4" t="inlineStr">
        <is>
          <t>Medium</t>
        </is>
      </c>
      <c r="F54" s="4" t="inlineStr">
        <is>
          <t>DP: Strings (LCS, Edit, Matching)</t>
        </is>
      </c>
      <c r="G54" s="4" t="inlineStr">
        <is>
          <t>Accepted</t>
        </is>
      </c>
      <c r="H54" s="4" t="inlineStr">
        <is>
          <t>C++</t>
        </is>
      </c>
      <c r="I54" s="4" t="inlineStr">
        <is>
          <t>77 ms</t>
        </is>
      </c>
      <c r="J54" s="4" t="inlineStr">
        <is>
          <t>43.3 MB</t>
        </is>
      </c>
      <c r="K54" s="4" t="n">
        <v>5.2</v>
      </c>
      <c r="L54" s="4" t="inlineStr">
        <is>
          <t>47/47</t>
        </is>
      </c>
      <c r="M54" s="9" t="inlineStr">
        <is>
          <t>Submission 914237588</t>
        </is>
      </c>
      <c r="N54" s="4" t="inlineStr">
        <is>
          <t>Yes</t>
        </is>
      </c>
    </row>
    <row r="55">
      <c r="A55" s="11" t="n">
        <v>44998.57340277778</v>
      </c>
      <c r="B55" s="4" t="inlineStr">
        <is>
          <t>2023-03</t>
        </is>
      </c>
      <c r="C55" s="4" t="n">
        <v>516</v>
      </c>
      <c r="D55" s="9" t="inlineStr">
        <is>
          <t>Longest Palindromic Subsequence</t>
        </is>
      </c>
      <c r="E55" s="4" t="inlineStr">
        <is>
          <t>Medium</t>
        </is>
      </c>
      <c r="F55" s="4" t="inlineStr">
        <is>
          <t>DP: Strings (LCS, Edit, Matching)</t>
        </is>
      </c>
      <c r="G55" s="4" t="inlineStr">
        <is>
          <t>Accepted</t>
        </is>
      </c>
      <c r="H55" s="4" t="inlineStr">
        <is>
          <t>C++</t>
        </is>
      </c>
      <c r="I55" s="4" t="inlineStr">
        <is>
          <t>217 ms</t>
        </is>
      </c>
      <c r="J55" s="4" t="inlineStr">
        <is>
          <t>72.9 MB</t>
        </is>
      </c>
      <c r="K55" s="4" t="n">
        <v>5</v>
      </c>
      <c r="L55" s="4" t="inlineStr">
        <is>
          <t>86/86</t>
        </is>
      </c>
      <c r="M55" s="9" t="inlineStr">
        <is>
          <t>Submission 914256431</t>
        </is>
      </c>
      <c r="N55" s="4" t="inlineStr">
        <is>
          <t>Yes</t>
        </is>
      </c>
    </row>
    <row r="56">
      <c r="A56" s="11" t="n">
        <v>44998.58104166666</v>
      </c>
      <c r="B56" s="4" t="inlineStr">
        <is>
          <t>2023-03</t>
        </is>
      </c>
      <c r="C56" s="4" t="n">
        <v>1312</v>
      </c>
      <c r="D56" s="9" t="inlineStr">
        <is>
          <t>Minimum Insertion Steps to Make a String Palindrome</t>
        </is>
      </c>
      <c r="E56" s="4" t="inlineStr">
        <is>
          <t>Hard</t>
        </is>
      </c>
      <c r="F56" s="4" t="inlineStr">
        <is>
          <t>DP: Strings (LCS, Edit, Matching)</t>
        </is>
      </c>
      <c r="G56" s="4" t="inlineStr">
        <is>
          <t>Accepted</t>
        </is>
      </c>
      <c r="H56" s="4" t="inlineStr">
        <is>
          <t>C++</t>
        </is>
      </c>
      <c r="I56" s="4" t="inlineStr">
        <is>
          <t>113 ms</t>
        </is>
      </c>
      <c r="J56" s="4" t="inlineStr">
        <is>
          <t>28.5 MB</t>
        </is>
      </c>
      <c r="K56" s="4" t="n">
        <v>5.3</v>
      </c>
      <c r="L56" s="4" t="inlineStr">
        <is>
          <t>58/58</t>
        </is>
      </c>
      <c r="M56" s="9" t="inlineStr">
        <is>
          <t>Submission 914260676</t>
        </is>
      </c>
      <c r="N56" s="4" t="inlineStr">
        <is>
          <t>Yes</t>
        </is>
      </c>
    </row>
    <row r="57">
      <c r="A57" s="11" t="n">
        <v>44998.60981481482</v>
      </c>
      <c r="B57" s="4" t="inlineStr">
        <is>
          <t>2023-03</t>
        </is>
      </c>
      <c r="C57" s="4" t="n">
        <v>1092</v>
      </c>
      <c r="D57" s="9" t="inlineStr">
        <is>
          <t xml:space="preserve">Shortest Common Supersequence </t>
        </is>
      </c>
      <c r="E57" s="4" t="inlineStr">
        <is>
          <t>Hard</t>
        </is>
      </c>
      <c r="F57" s="4" t="inlineStr">
        <is>
          <t>DP: Strings (LCS, Edit, Matching)</t>
        </is>
      </c>
      <c r="G57" s="4" t="inlineStr">
        <is>
          <t>Wrong Answer</t>
        </is>
      </c>
      <c r="H57" s="4" t="inlineStr">
        <is>
          <t>C++</t>
        </is>
      </c>
      <c r="I57" s="4" t="inlineStr">
        <is>
          <t>N/A</t>
        </is>
      </c>
      <c r="J57" s="4" t="inlineStr">
        <is>
          <t>N/A</t>
        </is>
      </c>
      <c r="K57" s="4" t="n"/>
      <c r="L57" s="4" t="inlineStr">
        <is>
          <t>9/47</t>
        </is>
      </c>
      <c r="M57" s="9" t="inlineStr">
        <is>
          <t>Submission 914276409</t>
        </is>
      </c>
      <c r="N57" s="4" t="inlineStr">
        <is>
          <t>Yes</t>
        </is>
      </c>
    </row>
    <row r="58">
      <c r="A58" s="11" t="n">
        <v>44998.62006944444</v>
      </c>
      <c r="B58" s="4" t="inlineStr">
        <is>
          <t>2023-03</t>
        </is>
      </c>
      <c r="C58" s="4" t="n">
        <v>1092</v>
      </c>
      <c r="D58" s="9" t="inlineStr">
        <is>
          <t xml:space="preserve">Shortest Common Supersequence </t>
        </is>
      </c>
      <c r="E58" s="4" t="inlineStr">
        <is>
          <t>Hard</t>
        </is>
      </c>
      <c r="F58" s="4" t="inlineStr">
        <is>
          <t>DP: Strings (LCS, Edit, Matching)</t>
        </is>
      </c>
      <c r="G58" s="4" t="inlineStr">
        <is>
          <t>Accepted</t>
        </is>
      </c>
      <c r="H58" s="4" t="inlineStr">
        <is>
          <t>C++</t>
        </is>
      </c>
      <c r="I58" s="4" t="inlineStr">
        <is>
          <t>36 ms</t>
        </is>
      </c>
      <c r="J58" s="4" t="inlineStr">
        <is>
          <t>15.4 MB</t>
        </is>
      </c>
      <c r="K58" s="4" t="n">
        <v>6.3</v>
      </c>
      <c r="L58" s="4" t="inlineStr">
        <is>
          <t>47/47</t>
        </is>
      </c>
      <c r="M58" s="9" t="inlineStr">
        <is>
          <t>Submission 914282202</t>
        </is>
      </c>
      <c r="N58" s="4" t="inlineStr">
        <is>
          <t>Yes</t>
        </is>
      </c>
    </row>
    <row r="59">
      <c r="A59" s="11" t="n">
        <v>44998.66505787037</v>
      </c>
      <c r="B59" s="4" t="inlineStr">
        <is>
          <t>2023-03</t>
        </is>
      </c>
      <c r="C59" s="4" t="n">
        <v>115</v>
      </c>
      <c r="D59" s="9" t="inlineStr">
        <is>
          <t>Distinct Subsequences</t>
        </is>
      </c>
      <c r="E59" s="4" t="inlineStr">
        <is>
          <t>Hard</t>
        </is>
      </c>
      <c r="F59" s="4" t="inlineStr">
        <is>
          <t>DP: Strings (LCS, Edit, Matching)</t>
        </is>
      </c>
      <c r="G59" s="4" t="inlineStr">
        <is>
          <t>Time Limit Exceeded</t>
        </is>
      </c>
      <c r="H59" s="4" t="inlineStr">
        <is>
          <t>C++</t>
        </is>
      </c>
      <c r="I59" s="4" t="inlineStr">
        <is>
          <t>N/A</t>
        </is>
      </c>
      <c r="J59" s="4" t="inlineStr">
        <is>
          <t>N/A</t>
        </is>
      </c>
      <c r="K59" s="4" t="n"/>
      <c r="L59" s="4" t="inlineStr">
        <is>
          <t>50/65</t>
        </is>
      </c>
      <c r="M59" s="9" t="inlineStr">
        <is>
          <t>Submission 914307571</t>
        </is>
      </c>
      <c r="N59" s="4" t="inlineStr">
        <is>
          <t>Yes</t>
        </is>
      </c>
    </row>
    <row r="60">
      <c r="A60" s="11" t="n">
        <v>44998.6812037037</v>
      </c>
      <c r="B60" s="4" t="inlineStr">
        <is>
          <t>2023-03</t>
        </is>
      </c>
      <c r="C60" s="4" t="n">
        <v>115</v>
      </c>
      <c r="D60" s="9" t="inlineStr">
        <is>
          <t>Distinct Subsequences</t>
        </is>
      </c>
      <c r="E60" s="4" t="inlineStr">
        <is>
          <t>Hard</t>
        </is>
      </c>
      <c r="F60" s="4" t="inlineStr">
        <is>
          <t>DP: Strings (LCS, Edit, Matching)</t>
        </is>
      </c>
      <c r="G60" s="4" t="inlineStr">
        <is>
          <t>Runtime Error</t>
        </is>
      </c>
      <c r="H60" s="4" t="inlineStr">
        <is>
          <t>C++</t>
        </is>
      </c>
      <c r="I60" s="4" t="inlineStr">
        <is>
          <t>N/A</t>
        </is>
      </c>
      <c r="J60" s="4" t="inlineStr">
        <is>
          <t>N/A</t>
        </is>
      </c>
      <c r="K60" s="4" t="n"/>
      <c r="L60" s="4" t="inlineStr">
        <is>
          <t>60/65</t>
        </is>
      </c>
      <c r="M60" s="9" t="inlineStr">
        <is>
          <t>Submission 914316326</t>
        </is>
      </c>
      <c r="N60" s="4" t="inlineStr">
        <is>
          <t>Yes</t>
        </is>
      </c>
    </row>
    <row r="61">
      <c r="A61" s="11" t="n">
        <v>44998.6877662037</v>
      </c>
      <c r="B61" s="4" t="inlineStr">
        <is>
          <t>2023-03</t>
        </is>
      </c>
      <c r="C61" s="4" t="n">
        <v>115</v>
      </c>
      <c r="D61" s="9" t="inlineStr">
        <is>
          <t>Distinct Subsequences</t>
        </is>
      </c>
      <c r="E61" s="4" t="inlineStr">
        <is>
          <t>Hard</t>
        </is>
      </c>
      <c r="F61" s="4" t="inlineStr">
        <is>
          <t>DP: Strings (LCS, Edit, Matching)</t>
        </is>
      </c>
      <c r="G61" s="4" t="inlineStr">
        <is>
          <t>Accepted</t>
        </is>
      </c>
      <c r="H61" s="4" t="inlineStr">
        <is>
          <t>C++</t>
        </is>
      </c>
      <c r="I61" s="4" t="inlineStr">
        <is>
          <t>48 ms</t>
        </is>
      </c>
      <c r="J61" s="4" t="inlineStr">
        <is>
          <t>18.3 MB</t>
        </is>
      </c>
      <c r="K61" s="4" t="n">
        <v>7.4</v>
      </c>
      <c r="L61" s="4" t="inlineStr">
        <is>
          <t>65/65</t>
        </is>
      </c>
      <c r="M61" s="9" t="inlineStr">
        <is>
          <t>Submission 914319803</t>
        </is>
      </c>
      <c r="N61" s="4" t="inlineStr">
        <is>
          <t>Yes</t>
        </is>
      </c>
    </row>
    <row r="62">
      <c r="A62" s="11" t="n">
        <v>44998.70056712963</v>
      </c>
      <c r="B62" s="4" t="inlineStr">
        <is>
          <t>2023-03</t>
        </is>
      </c>
      <c r="C62" s="4" t="n">
        <v>115</v>
      </c>
      <c r="D62" s="9" t="inlineStr">
        <is>
          <t>Distinct Subsequences</t>
        </is>
      </c>
      <c r="E62" s="4" t="inlineStr">
        <is>
          <t>Hard</t>
        </is>
      </c>
      <c r="F62" s="4" t="inlineStr">
        <is>
          <t>DP: Strings (LCS, Edit, Matching)</t>
        </is>
      </c>
      <c r="G62" s="4" t="inlineStr">
        <is>
          <t>Accepted</t>
        </is>
      </c>
      <c r="H62" s="4" t="inlineStr">
        <is>
          <t>C++</t>
        </is>
      </c>
      <c r="I62" s="4" t="inlineStr">
        <is>
          <t>30 ms</t>
        </is>
      </c>
      <c r="J62" s="4" t="inlineStr">
        <is>
          <t>6.4 MB</t>
        </is>
      </c>
      <c r="K62" s="4" t="n">
        <v>50.1</v>
      </c>
      <c r="L62" s="4" t="inlineStr">
        <is>
          <t>65/65</t>
        </is>
      </c>
      <c r="M62" s="9" t="inlineStr">
        <is>
          <t>Submission 914326473</t>
        </is>
      </c>
      <c r="N62" s="4" t="inlineStr">
        <is>
          <t>Yes</t>
        </is>
      </c>
    </row>
    <row r="63">
      <c r="A63" s="11" t="n">
        <v>44998.71024305555</v>
      </c>
      <c r="B63" s="4" t="inlineStr">
        <is>
          <t>2023-03</t>
        </is>
      </c>
      <c r="C63" s="4" t="n">
        <v>72</v>
      </c>
      <c r="D63" s="9" t="inlineStr">
        <is>
          <t>Edit Distance</t>
        </is>
      </c>
      <c r="E63" s="4" t="inlineStr">
        <is>
          <t>Medium</t>
        </is>
      </c>
      <c r="F63" s="4" t="inlineStr">
        <is>
          <t>DP: Strings (LCS, Edit, Matching)</t>
        </is>
      </c>
      <c r="G63" s="4" t="inlineStr">
        <is>
          <t>Accepted</t>
        </is>
      </c>
      <c r="H63" s="4" t="inlineStr">
        <is>
          <t>C++</t>
        </is>
      </c>
      <c r="I63" s="4" t="inlineStr">
        <is>
          <t>20 ms</t>
        </is>
      </c>
      <c r="J63" s="4" t="inlineStr">
        <is>
          <t>9.1 MB</t>
        </is>
      </c>
      <c r="K63" s="4" t="n">
        <v>14.1</v>
      </c>
      <c r="L63" s="4" t="inlineStr">
        <is>
          <t>1146/1146</t>
        </is>
      </c>
      <c r="M63" s="9" t="inlineStr">
        <is>
          <t>Submission 914331669</t>
        </is>
      </c>
      <c r="N63" s="4" t="inlineStr">
        <is>
          <t>Yes</t>
        </is>
      </c>
    </row>
    <row r="64">
      <c r="A64" s="11" t="n">
        <v>44998.74277777778</v>
      </c>
      <c r="B64" s="4" t="inlineStr">
        <is>
          <t>2023-03</t>
        </is>
      </c>
      <c r="C64" s="4" t="n">
        <v>44</v>
      </c>
      <c r="D64" s="9" t="inlineStr">
        <is>
          <t>Wildcard Matching</t>
        </is>
      </c>
      <c r="E64" s="4" t="inlineStr">
        <is>
          <t>Hard</t>
        </is>
      </c>
      <c r="F64" s="4" t="inlineStr">
        <is>
          <t>DP: Strings (LCS, Edit, Matching)</t>
        </is>
      </c>
      <c r="G64" s="4" t="inlineStr">
        <is>
          <t>Wrong Answer</t>
        </is>
      </c>
      <c r="H64" s="4" t="inlineStr">
        <is>
          <t>C++</t>
        </is>
      </c>
      <c r="I64" s="4" t="inlineStr">
        <is>
          <t>N/A</t>
        </is>
      </c>
      <c r="J64" s="4" t="inlineStr">
        <is>
          <t>N/A</t>
        </is>
      </c>
      <c r="K64" s="4" t="n"/>
      <c r="L64" s="4" t="inlineStr">
        <is>
          <t>1479/1811</t>
        </is>
      </c>
      <c r="M64" s="9" t="inlineStr">
        <is>
          <t>Submission 914349601</t>
        </is>
      </c>
      <c r="N64" s="4" t="inlineStr">
        <is>
          <t>Yes</t>
        </is>
      </c>
    </row>
    <row r="65">
      <c r="A65" s="11" t="n">
        <v>44998.7462962963</v>
      </c>
      <c r="B65" s="4" t="inlineStr">
        <is>
          <t>2023-03</t>
        </is>
      </c>
      <c r="C65" s="4" t="n">
        <v>44</v>
      </c>
      <c r="D65" s="9" t="inlineStr">
        <is>
          <t>Wildcard Matching</t>
        </is>
      </c>
      <c r="E65" s="4" t="inlineStr">
        <is>
          <t>Hard</t>
        </is>
      </c>
      <c r="F65" s="4" t="inlineStr">
        <is>
          <t>DP: Strings (LCS, Edit, Matching)</t>
        </is>
      </c>
      <c r="G65" s="4" t="inlineStr">
        <is>
          <t>Time Limit Exceeded</t>
        </is>
      </c>
      <c r="H65" s="4" t="inlineStr">
        <is>
          <t>C++</t>
        </is>
      </c>
      <c r="I65" s="4" t="inlineStr">
        <is>
          <t>N/A</t>
        </is>
      </c>
      <c r="J65" s="4" t="inlineStr">
        <is>
          <t>N/A</t>
        </is>
      </c>
      <c r="K65" s="4" t="n"/>
      <c r="L65" s="4" t="inlineStr">
        <is>
          <t>1611/1811</t>
        </is>
      </c>
      <c r="M65" s="9" t="inlineStr">
        <is>
          <t>Submission 914351652</t>
        </is>
      </c>
      <c r="N65" s="4" t="inlineStr">
        <is>
          <t>Yes</t>
        </is>
      </c>
    </row>
    <row r="66">
      <c r="A66" s="11" t="n">
        <v>44998.74991898148</v>
      </c>
      <c r="B66" s="4" t="inlineStr">
        <is>
          <t>2023-03</t>
        </is>
      </c>
      <c r="C66" s="4" t="n">
        <v>44</v>
      </c>
      <c r="D66" s="9" t="inlineStr">
        <is>
          <t>Wildcard Matching</t>
        </is>
      </c>
      <c r="E66" s="4" t="inlineStr">
        <is>
          <t>Hard</t>
        </is>
      </c>
      <c r="F66" s="4" t="inlineStr">
        <is>
          <t>DP: Strings (LCS, Edit, Matching)</t>
        </is>
      </c>
      <c r="G66" s="4" t="inlineStr">
        <is>
          <t>Accepted</t>
        </is>
      </c>
      <c r="H66" s="4" t="inlineStr">
        <is>
          <t>C++</t>
        </is>
      </c>
      <c r="I66" s="4" t="inlineStr">
        <is>
          <t>55 ms</t>
        </is>
      </c>
      <c r="J66" s="4" t="inlineStr">
        <is>
          <t>28 MB</t>
        </is>
      </c>
      <c r="K66" s="4" t="n">
        <v>48.4</v>
      </c>
      <c r="L66" s="4" t="inlineStr">
        <is>
          <t>1811/1811</t>
        </is>
      </c>
      <c r="M66" s="9" t="inlineStr">
        <is>
          <t>Submission 914353737</t>
        </is>
      </c>
      <c r="N66" s="4" t="inlineStr">
        <is>
          <t>Yes</t>
        </is>
      </c>
    </row>
    <row r="67">
      <c r="A67" s="11" t="n">
        <v>44998.75756944445</v>
      </c>
      <c r="B67" s="4" t="inlineStr">
        <is>
          <t>2023-03</t>
        </is>
      </c>
      <c r="C67" s="4" t="n">
        <v>121</v>
      </c>
      <c r="D67" s="9" t="inlineStr">
        <is>
          <t>Best Time to Buy and Sell Stock</t>
        </is>
      </c>
      <c r="E67" s="4" t="inlineStr">
        <is>
          <t>Easy</t>
        </is>
      </c>
      <c r="F67" s="4" t="inlineStr">
        <is>
          <t>DP: Buy &amp; Sell Stock</t>
        </is>
      </c>
      <c r="G67" s="4" t="inlineStr">
        <is>
          <t>Accepted</t>
        </is>
      </c>
      <c r="H67" s="4" t="inlineStr">
        <is>
          <t>C++</t>
        </is>
      </c>
      <c r="I67" s="4" t="inlineStr">
        <is>
          <t>142 ms</t>
        </is>
      </c>
      <c r="J67" s="4" t="inlineStr">
        <is>
          <t>97.3 MB</t>
        </is>
      </c>
      <c r="K67" s="4" t="n">
        <v>6.6</v>
      </c>
      <c r="L67" s="4" t="inlineStr">
        <is>
          <t>211/211</t>
        </is>
      </c>
      <c r="M67" s="9" t="inlineStr">
        <is>
          <t>Submission 914358315</t>
        </is>
      </c>
      <c r="N67" s="4" t="inlineStr">
        <is>
          <t>Yes</t>
        </is>
      </c>
    </row>
    <row r="68">
      <c r="A68" s="11" t="n">
        <v>44998.75892361111</v>
      </c>
      <c r="B68" s="4" t="inlineStr">
        <is>
          <t>2023-03</t>
        </is>
      </c>
      <c r="C68" s="4" t="n">
        <v>121</v>
      </c>
      <c r="D68" s="9" t="inlineStr">
        <is>
          <t>Best Time to Buy and Sell Stock</t>
        </is>
      </c>
      <c r="E68" s="4" t="inlineStr">
        <is>
          <t>Easy</t>
        </is>
      </c>
      <c r="F68" s="4" t="inlineStr">
        <is>
          <t>DP: Buy &amp; Sell Stock</t>
        </is>
      </c>
      <c r="G68" s="4" t="inlineStr">
        <is>
          <t>Accepted</t>
        </is>
      </c>
      <c r="H68" s="4" t="inlineStr">
        <is>
          <t>C++</t>
        </is>
      </c>
      <c r="I68" s="4" t="inlineStr">
        <is>
          <t>149 ms</t>
        </is>
      </c>
      <c r="J68" s="4" t="inlineStr">
        <is>
          <t>93.3 MB</t>
        </is>
      </c>
      <c r="K68" s="4" t="n">
        <v>6.6</v>
      </c>
      <c r="L68" s="4" t="inlineStr">
        <is>
          <t>211/211</t>
        </is>
      </c>
      <c r="M68" s="9" t="inlineStr">
        <is>
          <t>Submission 914359211</t>
        </is>
      </c>
      <c r="N68" s="4" t="inlineStr">
        <is>
          <t>Yes</t>
        </is>
      </c>
    </row>
    <row r="69">
      <c r="A69" s="11" t="n">
        <v>44998.7777199074</v>
      </c>
      <c r="B69" s="4" t="inlineStr">
        <is>
          <t>2023-03</t>
        </is>
      </c>
      <c r="C69" s="4" t="n">
        <v>122</v>
      </c>
      <c r="D69" s="9" t="inlineStr">
        <is>
          <t>Best Time to Buy and Sell Stock II</t>
        </is>
      </c>
      <c r="E69" s="4" t="inlineStr">
        <is>
          <t>Medium</t>
        </is>
      </c>
      <c r="F69" s="4" t="inlineStr">
        <is>
          <t>DP: Buy &amp; Sell Stock</t>
        </is>
      </c>
      <c r="G69" s="4" t="inlineStr">
        <is>
          <t>Accepted</t>
        </is>
      </c>
      <c r="H69" s="4" t="inlineStr">
        <is>
          <t>C++</t>
        </is>
      </c>
      <c r="I69" s="4" t="inlineStr">
        <is>
          <t>18 ms</t>
        </is>
      </c>
      <c r="J69" s="4" t="inlineStr">
        <is>
          <t>17.7 MB</t>
        </is>
      </c>
      <c r="K69" s="4" t="n">
        <v>5.1</v>
      </c>
      <c r="L69" s="4" t="inlineStr">
        <is>
          <t>200/200</t>
        </is>
      </c>
      <c r="M69" s="9" t="inlineStr">
        <is>
          <t>Submission 914371049</t>
        </is>
      </c>
      <c r="N69" s="4" t="inlineStr">
        <is>
          <t>Yes</t>
        </is>
      </c>
    </row>
    <row r="70">
      <c r="A70" s="11" t="n">
        <v>44998.77835648148</v>
      </c>
      <c r="B70" s="4" t="inlineStr">
        <is>
          <t>2023-03</t>
        </is>
      </c>
      <c r="C70" s="4" t="n">
        <v>122</v>
      </c>
      <c r="D70" s="9" t="inlineStr">
        <is>
          <t>Best Time to Buy and Sell Stock II</t>
        </is>
      </c>
      <c r="E70" s="4" t="inlineStr">
        <is>
          <t>Medium</t>
        </is>
      </c>
      <c r="F70" s="4" t="inlineStr">
        <is>
          <t>DP: Buy &amp; Sell Stock</t>
        </is>
      </c>
      <c r="G70" s="4" t="inlineStr">
        <is>
          <t>Accepted</t>
        </is>
      </c>
      <c r="H70" s="4" t="inlineStr">
        <is>
          <t>C++</t>
        </is>
      </c>
      <c r="I70" s="4" t="inlineStr">
        <is>
          <t>16 ms</t>
        </is>
      </c>
      <c r="J70" s="4" t="inlineStr">
        <is>
          <t>17.7 MB</t>
        </is>
      </c>
      <c r="K70" s="4" t="n">
        <v>8.1</v>
      </c>
      <c r="L70" s="4" t="inlineStr">
        <is>
          <t>200/200</t>
        </is>
      </c>
      <c r="M70" s="9" t="inlineStr">
        <is>
          <t>Submission 914371469</t>
        </is>
      </c>
      <c r="N70" s="4" t="inlineStr">
        <is>
          <t>Yes</t>
        </is>
      </c>
    </row>
    <row r="71">
      <c r="A71" s="11" t="n">
        <v>44998.78768518518</v>
      </c>
      <c r="B71" s="4" t="inlineStr">
        <is>
          <t>2023-03</t>
        </is>
      </c>
      <c r="C71" s="4" t="n">
        <v>122</v>
      </c>
      <c r="D71" s="9" t="inlineStr">
        <is>
          <t>Best Time to Buy and Sell Stock II</t>
        </is>
      </c>
      <c r="E71" s="4" t="inlineStr">
        <is>
          <t>Medium</t>
        </is>
      </c>
      <c r="F71" s="4" t="inlineStr">
        <is>
          <t>DP: Buy &amp; Sell Stock</t>
        </is>
      </c>
      <c r="G71" s="4" t="inlineStr">
        <is>
          <t>Accepted</t>
        </is>
      </c>
      <c r="H71" s="4" t="inlineStr">
        <is>
          <t>C++</t>
        </is>
      </c>
      <c r="I71" s="4" t="inlineStr">
        <is>
          <t>11 ms</t>
        </is>
      </c>
      <c r="J71" s="4" t="inlineStr">
        <is>
          <t>13.1 MB</t>
        </is>
      </c>
      <c r="K71" s="4" t="n">
        <v>26.7</v>
      </c>
      <c r="L71" s="4" t="inlineStr">
        <is>
          <t>200/200</t>
        </is>
      </c>
      <c r="M71" s="9" t="inlineStr">
        <is>
          <t>Submission 914377601</t>
        </is>
      </c>
      <c r="N71" s="4" t="inlineStr">
        <is>
          <t>Yes</t>
        </is>
      </c>
    </row>
    <row r="72">
      <c r="A72" s="11" t="n">
        <v>45000.61335648148</v>
      </c>
      <c r="B72" s="4" t="inlineStr">
        <is>
          <t>2023-03</t>
        </is>
      </c>
      <c r="C72" s="4" t="n">
        <v>207</v>
      </c>
      <c r="D72" s="9" t="inlineStr">
        <is>
          <t>Course Schedule</t>
        </is>
      </c>
      <c r="E72" s="4" t="inlineStr">
        <is>
          <t>Medium</t>
        </is>
      </c>
      <c r="F72" s="4" t="inlineStr">
        <is>
          <t>Graph: Topological Sort</t>
        </is>
      </c>
      <c r="G72" s="4" t="inlineStr">
        <is>
          <t>Accepted</t>
        </is>
      </c>
      <c r="H72" s="4" t="inlineStr">
        <is>
          <t>C++</t>
        </is>
      </c>
      <c r="I72" s="4" t="inlineStr">
        <is>
          <t>24 ms</t>
        </is>
      </c>
      <c r="J72" s="4" t="inlineStr">
        <is>
          <t>13.8 MB</t>
        </is>
      </c>
      <c r="K72" s="4" t="n">
        <v>6.7</v>
      </c>
      <c r="L72" s="4" t="inlineStr">
        <is>
          <t>52/52</t>
        </is>
      </c>
      <c r="M72" s="9" t="inlineStr">
        <is>
          <t>Submission 915544402</t>
        </is>
      </c>
      <c r="N72" s="4" t="inlineStr">
        <is>
          <t>Yes</t>
        </is>
      </c>
    </row>
    <row r="73">
      <c r="A73" s="11" t="n">
        <v>45001.41976851852</v>
      </c>
      <c r="B73" s="4" t="inlineStr">
        <is>
          <t>2023-03</t>
        </is>
      </c>
      <c r="C73" s="4" t="n">
        <v>2187</v>
      </c>
      <c r="D73" s="9" t="inlineStr">
        <is>
          <t>Minimum Time to Complete Trips</t>
        </is>
      </c>
      <c r="E73" s="4" t="inlineStr">
        <is>
          <t>Medium</t>
        </is>
      </c>
      <c r="F73" s="4" t="inlineStr">
        <is>
          <t>Binary Search on Answer</t>
        </is>
      </c>
      <c r="G73" s="4" t="inlineStr">
        <is>
          <t>Wrong Answer</t>
        </is>
      </c>
      <c r="H73" s="4" t="inlineStr">
        <is>
          <t>C++</t>
        </is>
      </c>
      <c r="I73" s="4" t="inlineStr">
        <is>
          <t>N/A</t>
        </is>
      </c>
      <c r="J73" s="4" t="inlineStr">
        <is>
          <t>N/A</t>
        </is>
      </c>
      <c r="K73" s="4" t="n"/>
      <c r="L73" s="4" t="inlineStr">
        <is>
          <t>86/124</t>
        </is>
      </c>
      <c r="M73" s="9" t="inlineStr">
        <is>
          <t>Submission 916049625</t>
        </is>
      </c>
      <c r="N73" s="4" t="inlineStr">
        <is>
          <t>Yes</t>
        </is>
      </c>
    </row>
    <row r="74">
      <c r="A74" s="11" t="n">
        <v>45001.4227662037</v>
      </c>
      <c r="B74" s="4" t="inlineStr">
        <is>
          <t>2023-03</t>
        </is>
      </c>
      <c r="C74" s="4" t="n">
        <v>2187</v>
      </c>
      <c r="D74" s="9" t="inlineStr">
        <is>
          <t>Minimum Time to Complete Trips</t>
        </is>
      </c>
      <c r="E74" s="4" t="inlineStr">
        <is>
          <t>Medium</t>
        </is>
      </c>
      <c r="F74" s="4" t="inlineStr">
        <is>
          <t>Binary Search on Answer</t>
        </is>
      </c>
      <c r="G74" s="4" t="inlineStr">
        <is>
          <t>Wrong Answer</t>
        </is>
      </c>
      <c r="H74" s="4" t="inlineStr">
        <is>
          <t>C++</t>
        </is>
      </c>
      <c r="I74" s="4" t="inlineStr">
        <is>
          <t>N/A</t>
        </is>
      </c>
      <c r="J74" s="4" t="inlineStr">
        <is>
          <t>N/A</t>
        </is>
      </c>
      <c r="K74" s="4" t="n"/>
      <c r="L74" s="4" t="inlineStr">
        <is>
          <t>90/124</t>
        </is>
      </c>
      <c r="M74" s="9" t="inlineStr">
        <is>
          <t>Submission 916051318</t>
        </is>
      </c>
      <c r="N74" s="4" t="inlineStr">
        <is>
          <t>Yes</t>
        </is>
      </c>
    </row>
    <row r="75">
      <c r="A75" s="11" t="n">
        <v>45001.42378472222</v>
      </c>
      <c r="B75" s="4" t="inlineStr">
        <is>
          <t>2023-03</t>
        </is>
      </c>
      <c r="C75" s="4" t="n">
        <v>2187</v>
      </c>
      <c r="D75" s="9" t="inlineStr">
        <is>
          <t>Minimum Time to Complete Trips</t>
        </is>
      </c>
      <c r="E75" s="4" t="inlineStr">
        <is>
          <t>Medium</t>
        </is>
      </c>
      <c r="F75" s="4" t="inlineStr">
        <is>
          <t>Binary Search on Answer</t>
        </is>
      </c>
      <c r="G75" s="4" t="inlineStr">
        <is>
          <t>Wrong Answer</t>
        </is>
      </c>
      <c r="H75" s="4" t="inlineStr">
        <is>
          <t>C++</t>
        </is>
      </c>
      <c r="I75" s="4" t="inlineStr">
        <is>
          <t>N/A</t>
        </is>
      </c>
      <c r="J75" s="4" t="inlineStr">
        <is>
          <t>N/A</t>
        </is>
      </c>
      <c r="K75" s="4" t="n"/>
      <c r="L75" s="4" t="inlineStr">
        <is>
          <t>90/124</t>
        </is>
      </c>
      <c r="M75" s="9" t="inlineStr">
        <is>
          <t>Submission 916051943</t>
        </is>
      </c>
      <c r="N75" s="4" t="inlineStr">
        <is>
          <t>Yes</t>
        </is>
      </c>
    </row>
    <row r="76">
      <c r="A76" s="11" t="n">
        <v>45001.42594907407</v>
      </c>
      <c r="B76" s="4" t="inlineStr">
        <is>
          <t>2023-03</t>
        </is>
      </c>
      <c r="C76" s="4" t="n">
        <v>2187</v>
      </c>
      <c r="D76" s="9" t="inlineStr">
        <is>
          <t>Minimum Time to Complete Trips</t>
        </is>
      </c>
      <c r="E76" s="4" t="inlineStr">
        <is>
          <t>Medium</t>
        </is>
      </c>
      <c r="F76" s="4" t="inlineStr">
        <is>
          <t>Binary Search on Answer</t>
        </is>
      </c>
      <c r="G76" s="4" t="inlineStr">
        <is>
          <t>Wrong Answer</t>
        </is>
      </c>
      <c r="H76" s="4" t="inlineStr">
        <is>
          <t>C++</t>
        </is>
      </c>
      <c r="I76" s="4" t="inlineStr">
        <is>
          <t>N/A</t>
        </is>
      </c>
      <c r="J76" s="4" t="inlineStr">
        <is>
          <t>N/A</t>
        </is>
      </c>
      <c r="K76" s="4" t="n"/>
      <c r="L76" s="4" t="inlineStr">
        <is>
          <t>90/124</t>
        </is>
      </c>
      <c r="M76" s="9" t="inlineStr">
        <is>
          <t>Submission 916053208</t>
        </is>
      </c>
      <c r="N76" s="4" t="inlineStr">
        <is>
          <t>Yes</t>
        </is>
      </c>
    </row>
    <row r="77">
      <c r="A77" s="11" t="n">
        <v>45001.4266087963</v>
      </c>
      <c r="B77" s="4" t="inlineStr">
        <is>
          <t>2023-03</t>
        </is>
      </c>
      <c r="C77" s="4" t="n">
        <v>2187</v>
      </c>
      <c r="D77" s="9" t="inlineStr">
        <is>
          <t>Minimum Time to Complete Trips</t>
        </is>
      </c>
      <c r="E77" s="4" t="inlineStr">
        <is>
          <t>Medium</t>
        </is>
      </c>
      <c r="F77" s="4" t="inlineStr">
        <is>
          <t>Binary Search on Answer</t>
        </is>
      </c>
      <c r="G77" s="4" t="inlineStr">
        <is>
          <t>Wrong Answer</t>
        </is>
      </c>
      <c r="H77" s="4" t="inlineStr">
        <is>
          <t>C++</t>
        </is>
      </c>
      <c r="I77" s="4" t="inlineStr">
        <is>
          <t>N/A</t>
        </is>
      </c>
      <c r="J77" s="4" t="inlineStr">
        <is>
          <t>N/A</t>
        </is>
      </c>
      <c r="K77" s="4" t="n"/>
      <c r="L77" s="4" t="inlineStr">
        <is>
          <t>120/124</t>
        </is>
      </c>
      <c r="M77" s="9" t="inlineStr">
        <is>
          <t>Submission 916053597</t>
        </is>
      </c>
      <c r="N77" s="4" t="inlineStr">
        <is>
          <t>Yes</t>
        </is>
      </c>
    </row>
    <row r="78">
      <c r="A78" s="11" t="n">
        <v>45001.42877314815</v>
      </c>
      <c r="B78" s="4" t="inlineStr">
        <is>
          <t>2023-03</t>
        </is>
      </c>
      <c r="C78" s="4" t="n">
        <v>2187</v>
      </c>
      <c r="D78" s="9" t="inlineStr">
        <is>
          <t>Minimum Time to Complete Trips</t>
        </is>
      </c>
      <c r="E78" s="4" t="inlineStr">
        <is>
          <t>Medium</t>
        </is>
      </c>
      <c r="F78" s="4" t="inlineStr">
        <is>
          <t>Binary Search on Answer</t>
        </is>
      </c>
      <c r="G78" s="4" t="inlineStr">
        <is>
          <t>Accepted</t>
        </is>
      </c>
      <c r="H78" s="4" t="inlineStr">
        <is>
          <t>C++</t>
        </is>
      </c>
      <c r="I78" s="4" t="inlineStr">
        <is>
          <t>416 ms</t>
        </is>
      </c>
      <c r="J78" s="4" t="inlineStr">
        <is>
          <t>94.6 MB</t>
        </is>
      </c>
      <c r="K78" s="4" t="n">
        <v>5.2</v>
      </c>
      <c r="L78" s="4" t="inlineStr">
        <is>
          <t>124/124</t>
        </is>
      </c>
      <c r="M78" s="9" t="inlineStr">
        <is>
          <t>Submission 916054851</t>
        </is>
      </c>
      <c r="N78" s="4" t="inlineStr">
        <is>
          <t>Yes</t>
        </is>
      </c>
    </row>
    <row r="79">
      <c r="A79" s="11" t="n">
        <v>45001.42923611111</v>
      </c>
      <c r="B79" s="4" t="inlineStr">
        <is>
          <t>2023-03</t>
        </is>
      </c>
      <c r="C79" s="4" t="n">
        <v>2187</v>
      </c>
      <c r="D79" s="9" t="inlineStr">
        <is>
          <t>Minimum Time to Complete Trips</t>
        </is>
      </c>
      <c r="E79" s="4" t="inlineStr">
        <is>
          <t>Medium</t>
        </is>
      </c>
      <c r="F79" s="4" t="inlineStr">
        <is>
          <t>Binary Search on Answer</t>
        </is>
      </c>
      <c r="G79" s="4" t="inlineStr">
        <is>
          <t>Wrong Answer</t>
        </is>
      </c>
      <c r="H79" s="4" t="inlineStr">
        <is>
          <t>C++</t>
        </is>
      </c>
      <c r="I79" s="4" t="inlineStr">
        <is>
          <t>N/A</t>
        </is>
      </c>
      <c r="J79" s="4" t="inlineStr">
        <is>
          <t>N/A</t>
        </is>
      </c>
      <c r="K79" s="4" t="n"/>
      <c r="L79" s="4" t="inlineStr">
        <is>
          <t>120/124</t>
        </is>
      </c>
      <c r="M79" s="9" t="inlineStr">
        <is>
          <t>Submission 916055160</t>
        </is>
      </c>
      <c r="N79" s="4" t="inlineStr">
        <is>
          <t>Yes</t>
        </is>
      </c>
    </row>
    <row r="80">
      <c r="A80" s="11" t="n">
        <v>45001.43517361111</v>
      </c>
      <c r="B80" s="4" t="inlineStr">
        <is>
          <t>2023-03</t>
        </is>
      </c>
      <c r="C80" s="4" t="n">
        <v>2187</v>
      </c>
      <c r="D80" s="9" t="inlineStr">
        <is>
          <t>Minimum Time to Complete Trips</t>
        </is>
      </c>
      <c r="E80" s="4" t="inlineStr">
        <is>
          <t>Medium</t>
        </is>
      </c>
      <c r="F80" s="4" t="inlineStr">
        <is>
          <t>Binary Search on Answer</t>
        </is>
      </c>
      <c r="G80" s="4" t="inlineStr">
        <is>
          <t>Wrong Answer</t>
        </is>
      </c>
      <c r="H80" s="4" t="inlineStr">
        <is>
          <t>C++</t>
        </is>
      </c>
      <c r="I80" s="4" t="inlineStr">
        <is>
          <t>N/A</t>
        </is>
      </c>
      <c r="J80" s="4" t="inlineStr">
        <is>
          <t>N/A</t>
        </is>
      </c>
      <c r="K80" s="4" t="n"/>
      <c r="L80" s="4" t="inlineStr">
        <is>
          <t>120/124</t>
        </is>
      </c>
      <c r="M80" s="9" t="inlineStr">
        <is>
          <t>Submission 916058795</t>
        </is>
      </c>
      <c r="N80" s="4" t="inlineStr">
        <is>
          <t>Yes</t>
        </is>
      </c>
    </row>
    <row r="81">
      <c r="A81" s="11" t="n">
        <v>45001.56606481481</v>
      </c>
      <c r="B81" s="4" t="inlineStr">
        <is>
          <t>2023-03</t>
        </is>
      </c>
      <c r="C81" s="4" t="n">
        <v>417</v>
      </c>
      <c r="D81" s="9" t="inlineStr">
        <is>
          <t>Pacific Atlantic Water Flow</t>
        </is>
      </c>
      <c r="E81" s="4" t="inlineStr">
        <is>
          <t>Medium</t>
        </is>
      </c>
      <c r="F81" s="4" t="inlineStr">
        <is>
          <t>Graph: Grid BFS/DFS</t>
        </is>
      </c>
      <c r="G81" s="4" t="inlineStr">
        <is>
          <t>Accepted</t>
        </is>
      </c>
      <c r="H81" s="4" t="inlineStr">
        <is>
          <t>C++</t>
        </is>
      </c>
      <c r="I81" s="4" t="inlineStr">
        <is>
          <t>43 ms</t>
        </is>
      </c>
      <c r="J81" s="4" t="inlineStr">
        <is>
          <t>17.9 MB</t>
        </is>
      </c>
      <c r="K81" s="4" t="n">
        <v>9.1</v>
      </c>
      <c r="L81" s="4" t="inlineStr">
        <is>
          <t>113/113</t>
        </is>
      </c>
      <c r="M81" s="9" t="inlineStr">
        <is>
          <t>Submission 916138421</t>
        </is>
      </c>
      <c r="N81" s="4" t="inlineStr">
        <is>
          <t>Yes</t>
        </is>
      </c>
    </row>
    <row r="82">
      <c r="A82" s="11" t="n">
        <v>45001.73854166667</v>
      </c>
      <c r="B82" s="4" t="inlineStr">
        <is>
          <t>2023-03</t>
        </is>
      </c>
      <c r="C82" s="4" t="n">
        <v>361</v>
      </c>
      <c r="D82" s="9" t="inlineStr">
        <is>
          <t>Bomb Enemy</t>
        </is>
      </c>
      <c r="E82" s="4" t="inlineStr">
        <is>
          <t>Medium</t>
        </is>
      </c>
      <c r="F82" s="4" t="inlineStr">
        <is>
          <t>DP: Grid / 2D</t>
        </is>
      </c>
      <c r="G82" s="4" t="inlineStr">
        <is>
          <t>Wrong Answer</t>
        </is>
      </c>
      <c r="H82" s="4" t="inlineStr">
        <is>
          <t>C++</t>
        </is>
      </c>
      <c r="I82" s="4" t="inlineStr">
        <is>
          <t>N/A</t>
        </is>
      </c>
      <c r="J82" s="4" t="inlineStr">
        <is>
          <t>N/A</t>
        </is>
      </c>
      <c r="K82" s="4" t="n"/>
      <c r="L82" s="4" t="inlineStr">
        <is>
          <t>9/40</t>
        </is>
      </c>
      <c r="M82" s="9" t="inlineStr">
        <is>
          <t>Submission 916248914</t>
        </is>
      </c>
      <c r="N82" s="4" t="inlineStr">
        <is>
          <t>Yes</t>
        </is>
      </c>
    </row>
    <row r="83">
      <c r="A83" s="11" t="n">
        <v>45001.74115740741</v>
      </c>
      <c r="B83" s="4" t="inlineStr">
        <is>
          <t>2023-03</t>
        </is>
      </c>
      <c r="C83" s="4" t="n">
        <v>361</v>
      </c>
      <c r="D83" s="9" t="inlineStr">
        <is>
          <t>Bomb Enemy</t>
        </is>
      </c>
      <c r="E83" s="4" t="inlineStr">
        <is>
          <t>Medium</t>
        </is>
      </c>
      <c r="F83" s="4" t="inlineStr">
        <is>
          <t>DP: Grid / 2D</t>
        </is>
      </c>
      <c r="G83" s="4" t="inlineStr">
        <is>
          <t>Time Limit Exceeded</t>
        </is>
      </c>
      <c r="H83" s="4" t="inlineStr">
        <is>
          <t>C++</t>
        </is>
      </c>
      <c r="I83" s="4" t="inlineStr">
        <is>
          <t>N/A</t>
        </is>
      </c>
      <c r="J83" s="4" t="inlineStr">
        <is>
          <t>N/A</t>
        </is>
      </c>
      <c r="K83" s="4" t="n"/>
      <c r="L83" s="4" t="inlineStr">
        <is>
          <t>39/40</t>
        </is>
      </c>
      <c r="M83" s="9" t="inlineStr">
        <is>
          <t>Submission 916250425</t>
        </is>
      </c>
      <c r="N83" s="4" t="inlineStr">
        <is>
          <t>Yes</t>
        </is>
      </c>
    </row>
    <row r="84">
      <c r="A84" s="11" t="n">
        <v>45001.74162037037</v>
      </c>
      <c r="B84" s="4" t="inlineStr">
        <is>
          <t>2023-03</t>
        </is>
      </c>
      <c r="C84" s="4" t="n">
        <v>361</v>
      </c>
      <c r="D84" s="9" t="inlineStr">
        <is>
          <t>Bomb Enemy</t>
        </is>
      </c>
      <c r="E84" s="4" t="inlineStr">
        <is>
          <t>Medium</t>
        </is>
      </c>
      <c r="F84" s="4" t="inlineStr">
        <is>
          <t>DP: Grid / 2D</t>
        </is>
      </c>
      <c r="G84" s="4" t="inlineStr">
        <is>
          <t>Time Limit Exceeded</t>
        </is>
      </c>
      <c r="H84" s="4" t="inlineStr">
        <is>
          <t>C++</t>
        </is>
      </c>
      <c r="I84" s="4" t="inlineStr">
        <is>
          <t>N/A</t>
        </is>
      </c>
      <c r="J84" s="4" t="inlineStr">
        <is>
          <t>N/A</t>
        </is>
      </c>
      <c r="K84" s="4" t="n"/>
      <c r="L84" s="4" t="inlineStr">
        <is>
          <t>39/40</t>
        </is>
      </c>
      <c r="M84" s="9" t="inlineStr">
        <is>
          <t>Submission 916250697</t>
        </is>
      </c>
      <c r="N84" s="4" t="inlineStr">
        <is>
          <t>Yes</t>
        </is>
      </c>
    </row>
    <row r="85">
      <c r="A85" s="11" t="n">
        <v>45001.76895833333</v>
      </c>
      <c r="B85" s="4" t="inlineStr">
        <is>
          <t>2023-03</t>
        </is>
      </c>
      <c r="C85" s="4" t="n">
        <v>1428</v>
      </c>
      <c r="D85" s="9" t="inlineStr">
        <is>
          <t>Leftmost Column with at Least a One</t>
        </is>
      </c>
      <c r="E85" s="4" t="inlineStr">
        <is>
          <t>Medium</t>
        </is>
      </c>
      <c r="F85" s="4" t="inlineStr">
        <is>
          <t>Binary Search</t>
        </is>
      </c>
      <c r="G85" s="4" t="inlineStr">
        <is>
          <t>Accepted</t>
        </is>
      </c>
      <c r="H85" s="4" t="inlineStr">
        <is>
          <t>C++</t>
        </is>
      </c>
      <c r="I85" s="4" t="inlineStr">
        <is>
          <t>6 ms</t>
        </is>
      </c>
      <c r="J85" s="4" t="inlineStr">
        <is>
          <t>8.1 MB</t>
        </is>
      </c>
      <c r="K85" s="4" t="n">
        <v>48.8</v>
      </c>
      <c r="L85" s="4" t="inlineStr">
        <is>
          <t>37/37</t>
        </is>
      </c>
      <c r="M85" s="9" t="inlineStr">
        <is>
          <t>Submission 916266861</t>
        </is>
      </c>
      <c r="N85" s="4" t="inlineStr">
        <is>
          <t>Yes</t>
        </is>
      </c>
    </row>
    <row r="86">
      <c r="A86" s="11" t="n">
        <v>45001.794375</v>
      </c>
      <c r="B86" s="4" t="inlineStr">
        <is>
          <t>2023-03</t>
        </is>
      </c>
      <c r="C86" s="4" t="n">
        <v>1438</v>
      </c>
      <c r="D86" s="9" t="inlineStr">
        <is>
          <t>Longest Continuous Subarray With Absolute Diff Less Than or Equal to Limit</t>
        </is>
      </c>
      <c r="E86" s="4" t="inlineStr">
        <is>
          <t>Medium</t>
        </is>
      </c>
      <c r="F86" s="4" t="inlineStr">
        <is>
          <t>Sliding Window</t>
        </is>
      </c>
      <c r="G86" s="4" t="inlineStr">
        <is>
          <t>Wrong Answer</t>
        </is>
      </c>
      <c r="H86" s="4" t="inlineStr">
        <is>
          <t>C++</t>
        </is>
      </c>
      <c r="I86" s="4" t="inlineStr">
        <is>
          <t>N/A</t>
        </is>
      </c>
      <c r="J86" s="4" t="inlineStr">
        <is>
          <t>N/A</t>
        </is>
      </c>
      <c r="K86" s="4" t="n"/>
      <c r="L86" s="4" t="inlineStr">
        <is>
          <t>60/61</t>
        </is>
      </c>
      <c r="M86" s="9" t="inlineStr">
        <is>
          <t>Submission 916283389</t>
        </is>
      </c>
      <c r="N86" s="4" t="inlineStr">
        <is>
          <t>Yes</t>
        </is>
      </c>
    </row>
    <row r="87">
      <c r="A87" s="11" t="n">
        <v>45001.7997800926</v>
      </c>
      <c r="B87" s="4" t="inlineStr">
        <is>
          <t>2023-03</t>
        </is>
      </c>
      <c r="C87" s="4" t="n">
        <v>1438</v>
      </c>
      <c r="D87" s="9" t="inlineStr">
        <is>
          <t>Longest Continuous Subarray With Absolute Diff Less Than or Equal to Limit</t>
        </is>
      </c>
      <c r="E87" s="4" t="inlineStr">
        <is>
          <t>Medium</t>
        </is>
      </c>
      <c r="F87" s="4" t="inlineStr">
        <is>
          <t>Sliding Window</t>
        </is>
      </c>
      <c r="G87" s="4" t="inlineStr">
        <is>
          <t>Wrong Answer</t>
        </is>
      </c>
      <c r="H87" s="4" t="inlineStr">
        <is>
          <t>C++</t>
        </is>
      </c>
      <c r="I87" s="4" t="inlineStr">
        <is>
          <t>N/A</t>
        </is>
      </c>
      <c r="J87" s="4" t="inlineStr">
        <is>
          <t>N/A</t>
        </is>
      </c>
      <c r="K87" s="4" t="n"/>
      <c r="L87" s="4" t="inlineStr">
        <is>
          <t>60/61</t>
        </is>
      </c>
      <c r="M87" s="9" t="inlineStr">
        <is>
          <t>Submission 916287128</t>
        </is>
      </c>
      <c r="N87" s="4" t="inlineStr">
        <is>
          <t>Yes</t>
        </is>
      </c>
    </row>
    <row r="88">
      <c r="A88" s="11" t="n">
        <v>45001.80167824074</v>
      </c>
      <c r="B88" s="4" t="inlineStr">
        <is>
          <t>2023-03</t>
        </is>
      </c>
      <c r="C88" s="4" t="n">
        <v>1438</v>
      </c>
      <c r="D88" s="9" t="inlineStr">
        <is>
          <t>Longest Continuous Subarray With Absolute Diff Less Than or Equal to Limit</t>
        </is>
      </c>
      <c r="E88" s="4" t="inlineStr">
        <is>
          <t>Medium</t>
        </is>
      </c>
      <c r="F88" s="4" t="inlineStr">
        <is>
          <t>Sliding Window</t>
        </is>
      </c>
      <c r="G88" s="4" t="inlineStr">
        <is>
          <t>Accepted</t>
        </is>
      </c>
      <c r="H88" s="4" t="inlineStr">
        <is>
          <t>C++</t>
        </is>
      </c>
      <c r="I88" s="4" t="inlineStr">
        <is>
          <t>224 ms</t>
        </is>
      </c>
      <c r="J88" s="4" t="inlineStr">
        <is>
          <t>78.7 MB</t>
        </is>
      </c>
      <c r="K88" s="4" t="n">
        <v>5.1</v>
      </c>
      <c r="L88" s="4" t="inlineStr">
        <is>
          <t>61/61</t>
        </is>
      </c>
      <c r="M88" s="9" t="inlineStr">
        <is>
          <t>Submission 916288522</t>
        </is>
      </c>
      <c r="N88" s="4" t="inlineStr">
        <is>
          <t>Yes</t>
        </is>
      </c>
    </row>
    <row r="89">
      <c r="A89" s="11" t="n">
        <v>45004.34649305556</v>
      </c>
      <c r="B89" s="4" t="inlineStr">
        <is>
          <t>2023-03</t>
        </is>
      </c>
      <c r="C89" s="4" t="n">
        <v>715</v>
      </c>
      <c r="D89" s="9" t="inlineStr">
        <is>
          <t>Range Module</t>
        </is>
      </c>
      <c r="E89" s="4" t="inlineStr">
        <is>
          <t>Hard</t>
        </is>
      </c>
      <c r="F89" s="4" t="inlineStr">
        <is>
          <t>Segment Tree / BIT / Ordered Set</t>
        </is>
      </c>
      <c r="G89" s="4" t="inlineStr">
        <is>
          <t>Wrong Answer</t>
        </is>
      </c>
      <c r="H89" s="4" t="inlineStr">
        <is>
          <t>C++</t>
        </is>
      </c>
      <c r="I89" s="4" t="inlineStr">
        <is>
          <t>N/A</t>
        </is>
      </c>
      <c r="J89" s="4" t="inlineStr">
        <is>
          <t>N/A</t>
        </is>
      </c>
      <c r="K89" s="4" t="n"/>
      <c r="L89" s="4" t="inlineStr">
        <is>
          <t>24/54</t>
        </is>
      </c>
      <c r="M89" s="9" t="inlineStr">
        <is>
          <t>Submission 917810461</t>
        </is>
      </c>
      <c r="N89" s="4" t="inlineStr">
        <is>
          <t>Yes</t>
        </is>
      </c>
    </row>
    <row r="90">
      <c r="A90" s="11" t="n">
        <v>45004.35324074074</v>
      </c>
      <c r="B90" s="4" t="inlineStr">
        <is>
          <t>2023-03</t>
        </is>
      </c>
      <c r="C90" s="4" t="n">
        <v>715</v>
      </c>
      <c r="D90" s="9" t="inlineStr">
        <is>
          <t>Range Module</t>
        </is>
      </c>
      <c r="E90" s="4" t="inlineStr">
        <is>
          <t>Hard</t>
        </is>
      </c>
      <c r="F90" s="4" t="inlineStr">
        <is>
          <t>Segment Tree / BIT / Ordered Set</t>
        </is>
      </c>
      <c r="G90" s="4" t="inlineStr">
        <is>
          <t>Accepted</t>
        </is>
      </c>
      <c r="H90" s="4" t="inlineStr">
        <is>
          <t>C++</t>
        </is>
      </c>
      <c r="I90" s="4" t="inlineStr">
        <is>
          <t>212 ms</t>
        </is>
      </c>
      <c r="J90" s="4" t="inlineStr">
        <is>
          <t>71.8 MB</t>
        </is>
      </c>
      <c r="K90" s="4" t="n">
        <v>15.6</v>
      </c>
      <c r="L90" s="4" t="inlineStr">
        <is>
          <t>54/54</t>
        </is>
      </c>
      <c r="M90" s="9" t="inlineStr">
        <is>
          <t>Submission 917819658</t>
        </is>
      </c>
      <c r="N90" s="4" t="inlineStr">
        <is>
          <t>Yes</t>
        </is>
      </c>
    </row>
    <row r="91">
      <c r="A91" s="11" t="n">
        <v>45004.35497685185</v>
      </c>
      <c r="B91" s="4" t="inlineStr">
        <is>
          <t>2023-03</t>
        </is>
      </c>
      <c r="C91" s="4" t="n">
        <v>715</v>
      </c>
      <c r="D91" s="9" t="inlineStr">
        <is>
          <t>Range Module</t>
        </is>
      </c>
      <c r="E91" s="4" t="inlineStr">
        <is>
          <t>Hard</t>
        </is>
      </c>
      <c r="F91" s="4" t="inlineStr">
        <is>
          <t>Segment Tree / BIT / Ordered Set</t>
        </is>
      </c>
      <c r="G91" s="4" t="inlineStr">
        <is>
          <t>Wrong Answer</t>
        </is>
      </c>
      <c r="H91" s="4" t="inlineStr">
        <is>
          <t>C++</t>
        </is>
      </c>
      <c r="I91" s="4" t="inlineStr">
        <is>
          <t>N/A</t>
        </is>
      </c>
      <c r="J91" s="4" t="inlineStr">
        <is>
          <t>N/A</t>
        </is>
      </c>
      <c r="K91" s="4" t="n"/>
      <c r="L91" s="4" t="inlineStr">
        <is>
          <t>26/54</t>
        </is>
      </c>
      <c r="M91" s="9" t="inlineStr">
        <is>
          <t>Submission 917821896</t>
        </is>
      </c>
      <c r="N91" s="4" t="inlineStr">
        <is>
          <t>Yes</t>
        </is>
      </c>
    </row>
    <row r="92">
      <c r="A92" s="11" t="n">
        <v>45004.35532407407</v>
      </c>
      <c r="B92" s="4" t="inlineStr">
        <is>
          <t>2023-03</t>
        </is>
      </c>
      <c r="C92" s="4" t="n">
        <v>715</v>
      </c>
      <c r="D92" s="9" t="inlineStr">
        <is>
          <t>Range Module</t>
        </is>
      </c>
      <c r="E92" s="4" t="inlineStr">
        <is>
          <t>Hard</t>
        </is>
      </c>
      <c r="F92" s="4" t="inlineStr">
        <is>
          <t>Segment Tree / BIT / Ordered Set</t>
        </is>
      </c>
      <c r="G92" s="4" t="inlineStr">
        <is>
          <t>Accepted</t>
        </is>
      </c>
      <c r="H92" s="4" t="inlineStr">
        <is>
          <t>C++</t>
        </is>
      </c>
      <c r="I92" s="4" t="inlineStr">
        <is>
          <t>216 ms</t>
        </is>
      </c>
      <c r="J92" s="4" t="inlineStr">
        <is>
          <t>71.6 MB</t>
        </is>
      </c>
      <c r="K92" s="4" t="n">
        <v>15.6</v>
      </c>
      <c r="L92" s="4" t="inlineStr">
        <is>
          <t>54/54</t>
        </is>
      </c>
      <c r="M92" s="9" t="inlineStr">
        <is>
          <t>Submission 917822373</t>
        </is>
      </c>
      <c r="N92" s="4" t="inlineStr">
        <is>
          <t>Yes</t>
        </is>
      </c>
    </row>
    <row r="93">
      <c r="A93" s="11" t="n">
        <v>45004.50541666667</v>
      </c>
      <c r="B93" s="4" t="inlineStr">
        <is>
          <t>2023-03</t>
        </is>
      </c>
      <c r="C93" s="4" t="n">
        <v>200</v>
      </c>
      <c r="D93" s="9" t="inlineStr">
        <is>
          <t>Number of Islands</t>
        </is>
      </c>
      <c r="E93" s="4" t="inlineStr">
        <is>
          <t>Medium</t>
        </is>
      </c>
      <c r="F93" s="4" t="inlineStr">
        <is>
          <t>Graph: Grid BFS/DFS</t>
        </is>
      </c>
      <c r="G93" s="4" t="inlineStr">
        <is>
          <t>Accepted</t>
        </is>
      </c>
      <c r="H93" s="4" t="inlineStr">
        <is>
          <t>C++</t>
        </is>
      </c>
      <c r="I93" s="4" t="inlineStr">
        <is>
          <t>36 ms</t>
        </is>
      </c>
      <c r="J93" s="4" t="inlineStr">
        <is>
          <t>12.1 MB</t>
        </is>
      </c>
      <c r="K93" s="4" t="n">
        <v>12.2</v>
      </c>
      <c r="L93" s="4" t="inlineStr">
        <is>
          <t>49/49</t>
        </is>
      </c>
      <c r="M93" s="9" t="inlineStr">
        <is>
          <t>Submission 917948684</t>
        </is>
      </c>
      <c r="N93" s="4" t="inlineStr">
        <is>
          <t>Yes</t>
        </is>
      </c>
    </row>
    <row r="94">
      <c r="A94" s="11" t="n">
        <v>45005.69549768518</v>
      </c>
      <c r="B94" s="4" t="inlineStr">
        <is>
          <t>2023-03</t>
        </is>
      </c>
      <c r="C94" s="4" t="n">
        <v>32</v>
      </c>
      <c r="D94" s="9" t="inlineStr">
        <is>
          <t>Longest Valid Parentheses</t>
        </is>
      </c>
      <c r="E94" s="4" t="inlineStr">
        <is>
          <t>Hard</t>
        </is>
      </c>
      <c r="F94" s="4" t="inlineStr">
        <is>
          <t>Stack</t>
        </is>
      </c>
      <c r="G94" s="4" t="inlineStr">
        <is>
          <t>Accepted</t>
        </is>
      </c>
      <c r="H94" s="4" t="inlineStr">
        <is>
          <t>C++</t>
        </is>
      </c>
      <c r="I94" s="4" t="inlineStr">
        <is>
          <t>0 ms</t>
        </is>
      </c>
      <c r="J94" s="4" t="inlineStr">
        <is>
          <t>7.4 MB</t>
        </is>
      </c>
      <c r="K94" s="4" t="n">
        <v>100</v>
      </c>
      <c r="L94" s="4" t="inlineStr">
        <is>
          <t>231/231</t>
        </is>
      </c>
      <c r="M94" s="9" t="inlineStr">
        <is>
          <t>Submission 918711517</t>
        </is>
      </c>
      <c r="N94" s="4" t="inlineStr">
        <is>
          <t>Yes</t>
        </is>
      </c>
    </row>
    <row r="95">
      <c r="A95" s="11" t="n">
        <v>45005.70332175926</v>
      </c>
      <c r="B95" s="4" t="inlineStr">
        <is>
          <t>2023-03</t>
        </is>
      </c>
      <c r="C95" s="4" t="n">
        <v>32</v>
      </c>
      <c r="D95" s="9" t="inlineStr">
        <is>
          <t>Longest Valid Parentheses</t>
        </is>
      </c>
      <c r="E95" s="4" t="inlineStr">
        <is>
          <t>Hard</t>
        </is>
      </c>
      <c r="F95" s="4" t="inlineStr">
        <is>
          <t>Stack</t>
        </is>
      </c>
      <c r="G95" s="4" t="inlineStr">
        <is>
          <t>Accepted</t>
        </is>
      </c>
      <c r="H95" s="4" t="inlineStr">
        <is>
          <t>C++</t>
        </is>
      </c>
      <c r="I95" s="4" t="inlineStr">
        <is>
          <t>0 ms</t>
        </is>
      </c>
      <c r="J95" s="4" t="inlineStr">
        <is>
          <t>6.9 MB</t>
        </is>
      </c>
      <c r="K95" s="4" t="n">
        <v>100</v>
      </c>
      <c r="L95" s="4" t="inlineStr">
        <is>
          <t>231/231</t>
        </is>
      </c>
      <c r="M95" s="9" t="inlineStr">
        <is>
          <t>Submission 918716653</t>
        </is>
      </c>
      <c r="N95" s="4" t="inlineStr">
        <is>
          <t>Yes</t>
        </is>
      </c>
    </row>
    <row r="96">
      <c r="A96" s="11" t="n">
        <v>45005.70824074074</v>
      </c>
      <c r="B96" s="4" t="inlineStr">
        <is>
          <t>2023-03</t>
        </is>
      </c>
      <c r="C96" s="4" t="n">
        <v>25</v>
      </c>
      <c r="D96" s="9" t="inlineStr">
        <is>
          <t>Reverse Nodes in k-Group</t>
        </is>
      </c>
      <c r="E96" s="4" t="inlineStr">
        <is>
          <t>Hard</t>
        </is>
      </c>
      <c r="F96" s="4" t="inlineStr">
        <is>
          <t>Linked List</t>
        </is>
      </c>
      <c r="G96" s="4" t="inlineStr">
        <is>
          <t>Accepted</t>
        </is>
      </c>
      <c r="H96" s="4" t="inlineStr">
        <is>
          <t>C++</t>
        </is>
      </c>
      <c r="I96" s="4" t="inlineStr">
        <is>
          <t>3 ms</t>
        </is>
      </c>
      <c r="J96" s="4" t="inlineStr">
        <is>
          <t>11.4 MB</t>
        </is>
      </c>
      <c r="K96" s="4" t="n">
        <v>2.3</v>
      </c>
      <c r="L96" s="4" t="inlineStr">
        <is>
          <t>62/62</t>
        </is>
      </c>
      <c r="M96" s="9" t="inlineStr">
        <is>
          <t>Submission 918719901</t>
        </is>
      </c>
      <c r="N96" s="4" t="inlineStr">
        <is>
          <t>Yes</t>
        </is>
      </c>
    </row>
    <row r="97">
      <c r="A97" s="11" t="n">
        <v>45005.73612268519</v>
      </c>
      <c r="B97" s="4" t="inlineStr">
        <is>
          <t>2023-03</t>
        </is>
      </c>
      <c r="C97" s="4" t="n">
        <v>146</v>
      </c>
      <c r="D97" s="9" t="inlineStr">
        <is>
          <t>LRU Cache</t>
        </is>
      </c>
      <c r="E97" s="4" t="inlineStr">
        <is>
          <t>Medium</t>
        </is>
      </c>
      <c r="F97" s="4" t="inlineStr">
        <is>
          <t>Design</t>
        </is>
      </c>
      <c r="G97" s="4" t="inlineStr">
        <is>
          <t>Wrong Answer</t>
        </is>
      </c>
      <c r="H97" s="4" t="inlineStr">
        <is>
          <t>C++</t>
        </is>
      </c>
      <c r="I97" s="4" t="inlineStr">
        <is>
          <t>N/A</t>
        </is>
      </c>
      <c r="J97" s="4" t="inlineStr">
        <is>
          <t>N/A</t>
        </is>
      </c>
      <c r="K97" s="4" t="n"/>
      <c r="L97" s="4" t="inlineStr">
        <is>
          <t>12/22</t>
        </is>
      </c>
      <c r="M97" s="9" t="inlineStr">
        <is>
          <t>Submission 918738327</t>
        </is>
      </c>
      <c r="N97" s="4" t="inlineStr">
        <is>
          <t>Yes</t>
        </is>
      </c>
    </row>
    <row r="98">
      <c r="A98" s="11" t="n">
        <v>45005.7372800926</v>
      </c>
      <c r="B98" s="4" t="inlineStr">
        <is>
          <t>2023-03</t>
        </is>
      </c>
      <c r="C98" s="4" t="n">
        <v>146</v>
      </c>
      <c r="D98" s="9" t="inlineStr">
        <is>
          <t>LRU Cache</t>
        </is>
      </c>
      <c r="E98" s="4" t="inlineStr">
        <is>
          <t>Medium</t>
        </is>
      </c>
      <c r="F98" s="4" t="inlineStr">
        <is>
          <t>Design</t>
        </is>
      </c>
      <c r="G98" s="4" t="inlineStr">
        <is>
          <t>Accepted</t>
        </is>
      </c>
      <c r="H98" s="4" t="inlineStr">
        <is>
          <t>C++</t>
        </is>
      </c>
      <c r="I98" s="4" t="inlineStr">
        <is>
          <t>593 ms</t>
        </is>
      </c>
      <c r="J98" s="4" t="inlineStr">
        <is>
          <t>186 MB</t>
        </is>
      </c>
      <c r="K98" s="4" t="n">
        <v>5</v>
      </c>
      <c r="L98" s="4" t="inlineStr">
        <is>
          <t>22/22</t>
        </is>
      </c>
      <c r="M98" s="9" t="inlineStr">
        <is>
          <t>Submission 918739058</t>
        </is>
      </c>
      <c r="N98" s="4" t="inlineStr">
        <is>
          <t>Yes</t>
        </is>
      </c>
    </row>
    <row r="99">
      <c r="A99" s="11" t="n">
        <v>45005.77229166667</v>
      </c>
      <c r="B99" s="4" t="inlineStr">
        <is>
          <t>2023-03</t>
        </is>
      </c>
      <c r="C99" s="4" t="n">
        <v>5</v>
      </c>
      <c r="D99" s="9" t="inlineStr">
        <is>
          <t>Longest Palindromic Substring</t>
        </is>
      </c>
      <c r="E99" s="4" t="inlineStr">
        <is>
          <t>Medium</t>
        </is>
      </c>
      <c r="F99" s="4" t="inlineStr">
        <is>
          <t>Two Pointers</t>
        </is>
      </c>
      <c r="G99" s="4" t="inlineStr">
        <is>
          <t>Wrong Answer</t>
        </is>
      </c>
      <c r="H99" s="4" t="inlineStr">
        <is>
          <t>C++</t>
        </is>
      </c>
      <c r="I99" s="4" t="inlineStr">
        <is>
          <t>N/A</t>
        </is>
      </c>
      <c r="J99" s="4" t="inlineStr">
        <is>
          <t>N/A</t>
        </is>
      </c>
      <c r="K99" s="4" t="n"/>
      <c r="L99" s="4" t="inlineStr">
        <is>
          <t>71/141</t>
        </is>
      </c>
      <c r="M99" s="9" t="inlineStr">
        <is>
          <t>Submission 918763865</t>
        </is>
      </c>
      <c r="N99" s="4" t="inlineStr">
        <is>
          <t>Yes</t>
        </is>
      </c>
    </row>
    <row r="100">
      <c r="A100" s="11" t="n">
        <v>45005.77305555555</v>
      </c>
      <c r="B100" s="4" t="inlineStr">
        <is>
          <t>2023-03</t>
        </is>
      </c>
      <c r="C100" s="4" t="n">
        <v>5</v>
      </c>
      <c r="D100" s="9" t="inlineStr">
        <is>
          <t>Longest Palindromic Substring</t>
        </is>
      </c>
      <c r="E100" s="4" t="inlineStr">
        <is>
          <t>Medium</t>
        </is>
      </c>
      <c r="F100" s="4" t="inlineStr">
        <is>
          <t>Two Pointers</t>
        </is>
      </c>
      <c r="G100" s="4" t="inlineStr">
        <is>
          <t>Accepted</t>
        </is>
      </c>
      <c r="H100" s="4" t="inlineStr">
        <is>
          <t>C++</t>
        </is>
      </c>
      <c r="I100" s="4" t="inlineStr">
        <is>
          <t>196 ms</t>
        </is>
      </c>
      <c r="J100" s="4" t="inlineStr">
        <is>
          <t>35 MB</t>
        </is>
      </c>
      <c r="K100" s="4" t="n">
        <v>18.4</v>
      </c>
      <c r="L100" s="4" t="inlineStr">
        <is>
          <t>141/141</t>
        </is>
      </c>
      <c r="M100" s="9" t="inlineStr">
        <is>
          <t>Submission 918764471</t>
        </is>
      </c>
      <c r="N100" s="4" t="inlineStr">
        <is>
          <t>Yes</t>
        </is>
      </c>
    </row>
    <row r="101">
      <c r="A101" s="11" t="n">
        <v>45005.77445601852</v>
      </c>
      <c r="B101" s="4" t="inlineStr">
        <is>
          <t>2023-03</t>
        </is>
      </c>
      <c r="C101" s="4" t="n">
        <v>5</v>
      </c>
      <c r="D101" s="9" t="inlineStr">
        <is>
          <t>Longest Palindromic Substring</t>
        </is>
      </c>
      <c r="E101" s="4" t="inlineStr">
        <is>
          <t>Medium</t>
        </is>
      </c>
      <c r="F101" s="4" t="inlineStr">
        <is>
          <t>Two Pointers</t>
        </is>
      </c>
      <c r="G101" s="4" t="inlineStr">
        <is>
          <t>Accepted</t>
        </is>
      </c>
      <c r="H101" s="4" t="inlineStr">
        <is>
          <t>C++</t>
        </is>
      </c>
      <c r="I101" s="4" t="inlineStr">
        <is>
          <t>355 ms</t>
        </is>
      </c>
      <c r="J101" s="4" t="inlineStr">
        <is>
          <t>34.9 MB</t>
        </is>
      </c>
      <c r="K101" s="4" t="n">
        <v>12.6</v>
      </c>
      <c r="L101" s="4" t="inlineStr">
        <is>
          <t>141/141</t>
        </is>
      </c>
      <c r="M101" s="9" t="inlineStr">
        <is>
          <t>Submission 918765526</t>
        </is>
      </c>
      <c r="N101" s="4" t="inlineStr">
        <is>
          <t>Yes</t>
        </is>
      </c>
    </row>
    <row r="102">
      <c r="A102" s="11" t="n">
        <v>45005.77472222222</v>
      </c>
      <c r="B102" s="4" t="inlineStr">
        <is>
          <t>2023-03</t>
        </is>
      </c>
      <c r="C102" s="4" t="n">
        <v>5</v>
      </c>
      <c r="D102" s="9" t="inlineStr">
        <is>
          <t>Longest Palindromic Substring</t>
        </is>
      </c>
      <c r="E102" s="4" t="inlineStr">
        <is>
          <t>Medium</t>
        </is>
      </c>
      <c r="F102" s="4" t="inlineStr">
        <is>
          <t>Two Pointers</t>
        </is>
      </c>
      <c r="G102" s="4" t="inlineStr">
        <is>
          <t>Accepted</t>
        </is>
      </c>
      <c r="H102" s="4" t="inlineStr">
        <is>
          <t>C++</t>
        </is>
      </c>
      <c r="I102" s="4" t="inlineStr">
        <is>
          <t>211 ms</t>
        </is>
      </c>
      <c r="J102" s="4" t="inlineStr">
        <is>
          <t>35 MB</t>
        </is>
      </c>
      <c r="K102" s="4" t="n">
        <v>17.6</v>
      </c>
      <c r="L102" s="4" t="inlineStr">
        <is>
          <t>141/141</t>
        </is>
      </c>
      <c r="M102" s="9" t="inlineStr">
        <is>
          <t>Submission 918765732</t>
        </is>
      </c>
      <c r="N102" s="4" t="inlineStr">
        <is>
          <t>Yes</t>
        </is>
      </c>
    </row>
    <row r="103">
      <c r="A103" s="11" t="n">
        <v>45006.36465277777</v>
      </c>
      <c r="B103" s="4" t="inlineStr">
        <is>
          <t>2023-03</t>
        </is>
      </c>
      <c r="C103" s="4" t="n">
        <v>34</v>
      </c>
      <c r="D103" s="9" t="inlineStr">
        <is>
          <t>Find First and Last Position of Element in Sorted Array</t>
        </is>
      </c>
      <c r="E103" s="4" t="inlineStr">
        <is>
          <t>Medium</t>
        </is>
      </c>
      <c r="F103" s="4" t="inlineStr">
        <is>
          <t>Binary Search</t>
        </is>
      </c>
      <c r="G103" s="4" t="inlineStr">
        <is>
          <t>Accepted</t>
        </is>
      </c>
      <c r="H103" s="4" t="inlineStr">
        <is>
          <t>C++</t>
        </is>
      </c>
      <c r="I103" s="4" t="inlineStr">
        <is>
          <t>12 ms</t>
        </is>
      </c>
      <c r="J103" s="4" t="inlineStr">
        <is>
          <t>13.7 MB</t>
        </is>
      </c>
      <c r="K103" s="4" t="n">
        <v>0</v>
      </c>
      <c r="L103" s="4" t="inlineStr">
        <is>
          <t>88/88</t>
        </is>
      </c>
      <c r="M103" s="9" t="inlineStr">
        <is>
          <t>Submission 919203923</t>
        </is>
      </c>
      <c r="N103" s="4" t="inlineStr">
        <is>
          <t>Yes</t>
        </is>
      </c>
    </row>
    <row r="104">
      <c r="A104" s="11" t="n">
        <v>45006.39059027778</v>
      </c>
      <c r="B104" s="4" t="inlineStr">
        <is>
          <t>2023-03</t>
        </is>
      </c>
      <c r="C104" s="4" t="n">
        <v>49</v>
      </c>
      <c r="D104" s="9" t="inlineStr">
        <is>
          <t>Group Anagrams</t>
        </is>
      </c>
      <c r="E104" s="4" t="inlineStr">
        <is>
          <t>Medium</t>
        </is>
      </c>
      <c r="F104" s="4" t="inlineStr">
        <is>
          <t>Arrays, Hashing &amp; Sorting</t>
        </is>
      </c>
      <c r="G104" s="4" t="inlineStr">
        <is>
          <t>Compile Error</t>
        </is>
      </c>
      <c r="H104" s="4" t="inlineStr">
        <is>
          <t>C++</t>
        </is>
      </c>
      <c r="I104" s="4" t="inlineStr">
        <is>
          <t>N/A</t>
        </is>
      </c>
      <c r="J104" s="4" t="inlineStr">
        <is>
          <t>N/A</t>
        </is>
      </c>
      <c r="K104" s="4" t="n"/>
      <c r="L104" s="4" t="inlineStr"/>
      <c r="M104" s="9" t="inlineStr">
        <is>
          <t>Submission 919219818</t>
        </is>
      </c>
      <c r="N104" s="4" t="inlineStr">
        <is>
          <t>Yes</t>
        </is>
      </c>
    </row>
    <row r="105">
      <c r="A105" s="11" t="n">
        <v>45006.40043981482</v>
      </c>
      <c r="B105" s="4" t="inlineStr">
        <is>
          <t>2023-03</t>
        </is>
      </c>
      <c r="C105" s="4" t="n">
        <v>49</v>
      </c>
      <c r="D105" s="9" t="inlineStr">
        <is>
          <t>Group Anagrams</t>
        </is>
      </c>
      <c r="E105" s="4" t="inlineStr">
        <is>
          <t>Medium</t>
        </is>
      </c>
      <c r="F105" s="4" t="inlineStr">
        <is>
          <t>Arrays, Hashing &amp; Sorting</t>
        </is>
      </c>
      <c r="G105" s="4" t="inlineStr">
        <is>
          <t>Time Limit Exceeded</t>
        </is>
      </c>
      <c r="H105" s="4" t="inlineStr">
        <is>
          <t>C++</t>
        </is>
      </c>
      <c r="I105" s="4" t="inlineStr">
        <is>
          <t>N/A</t>
        </is>
      </c>
      <c r="J105" s="4" t="inlineStr">
        <is>
          <t>N/A</t>
        </is>
      </c>
      <c r="K105" s="4" t="n"/>
      <c r="L105" s="4" t="inlineStr">
        <is>
          <t>111/118</t>
        </is>
      </c>
      <c r="M105" s="9" t="inlineStr">
        <is>
          <t>Submission 919226157</t>
        </is>
      </c>
      <c r="N105" s="4" t="inlineStr">
        <is>
          <t>Yes</t>
        </is>
      </c>
    </row>
    <row r="106">
      <c r="A106" s="11" t="n">
        <v>45006.40689814815</v>
      </c>
      <c r="B106" s="4" t="inlineStr">
        <is>
          <t>2023-03</t>
        </is>
      </c>
      <c r="C106" s="4" t="n">
        <v>49</v>
      </c>
      <c r="D106" s="9" t="inlineStr">
        <is>
          <t>Group Anagrams</t>
        </is>
      </c>
      <c r="E106" s="4" t="inlineStr">
        <is>
          <t>Medium</t>
        </is>
      </c>
      <c r="F106" s="4" t="inlineStr">
        <is>
          <t>Arrays, Hashing &amp; Sorting</t>
        </is>
      </c>
      <c r="G106" s="4" t="inlineStr">
        <is>
          <t>Accepted</t>
        </is>
      </c>
      <c r="H106" s="4" t="inlineStr">
        <is>
          <t>C++</t>
        </is>
      </c>
      <c r="I106" s="4" t="inlineStr">
        <is>
          <t>50 ms</t>
        </is>
      </c>
      <c r="J106" s="4" t="inlineStr">
        <is>
          <t>21 MB</t>
        </is>
      </c>
      <c r="K106" s="4" t="n">
        <v>15.4</v>
      </c>
      <c r="L106" s="4" t="inlineStr">
        <is>
          <t>118/118</t>
        </is>
      </c>
      <c r="M106" s="9" t="inlineStr">
        <is>
          <t>Submission 919230452</t>
        </is>
      </c>
      <c r="N106" s="4" t="inlineStr">
        <is>
          <t>Yes</t>
        </is>
      </c>
    </row>
    <row r="107">
      <c r="A107" s="11" t="n">
        <v>45006.45043981481</v>
      </c>
      <c r="B107" s="4" t="inlineStr">
        <is>
          <t>2023-03</t>
        </is>
      </c>
      <c r="C107" s="4" t="n">
        <v>68</v>
      </c>
      <c r="D107" s="9" t="inlineStr">
        <is>
          <t>Text Justification</t>
        </is>
      </c>
      <c r="E107" s="4" t="inlineStr">
        <is>
          <t>Hard</t>
        </is>
      </c>
      <c r="F107" s="4" t="inlineStr">
        <is>
          <t>Strings &amp; Simulation</t>
        </is>
      </c>
      <c r="G107" s="4" t="inlineStr">
        <is>
          <t>Accepted</t>
        </is>
      </c>
      <c r="H107" s="4" t="inlineStr">
        <is>
          <t>C++</t>
        </is>
      </c>
      <c r="I107" s="4" t="inlineStr">
        <is>
          <t>5 ms</t>
        </is>
      </c>
      <c r="J107" s="4" t="inlineStr">
        <is>
          <t>7.4 MB</t>
        </is>
      </c>
      <c r="K107" s="4" t="n">
        <v>0.5</v>
      </c>
      <c r="L107" s="4" t="inlineStr">
        <is>
          <t>27/27</t>
        </is>
      </c>
      <c r="M107" s="9" t="inlineStr">
        <is>
          <t>Submission 919260300</t>
        </is>
      </c>
      <c r="N107" s="4" t="inlineStr">
        <is>
          <t>Yes</t>
        </is>
      </c>
    </row>
    <row r="108">
      <c r="A108" s="11" t="n">
        <v>45006.49918981481</v>
      </c>
      <c r="B108" s="4" t="inlineStr">
        <is>
          <t>2023-03</t>
        </is>
      </c>
      <c r="C108" s="4" t="n">
        <v>76</v>
      </c>
      <c r="D108" s="9" t="inlineStr">
        <is>
          <t>Minimum Window Substring</t>
        </is>
      </c>
      <c r="E108" s="4" t="inlineStr">
        <is>
          <t>Hard</t>
        </is>
      </c>
      <c r="F108" s="4" t="inlineStr">
        <is>
          <t>Sliding Window</t>
        </is>
      </c>
      <c r="G108" s="4" t="inlineStr">
        <is>
          <t>Time Limit Exceeded</t>
        </is>
      </c>
      <c r="H108" s="4" t="inlineStr">
        <is>
          <t>C++</t>
        </is>
      </c>
      <c r="I108" s="4" t="inlineStr">
        <is>
          <t>N/A</t>
        </is>
      </c>
      <c r="J108" s="4" t="inlineStr">
        <is>
          <t>N/A</t>
        </is>
      </c>
      <c r="K108" s="4" t="n"/>
      <c r="L108" s="4" t="inlineStr">
        <is>
          <t>266/267</t>
        </is>
      </c>
      <c r="M108" s="9" t="inlineStr">
        <is>
          <t>Submission 919296391</t>
        </is>
      </c>
      <c r="N108" s="4" t="inlineStr">
        <is>
          <t>Yes</t>
        </is>
      </c>
    </row>
    <row r="109">
      <c r="A109" s="11" t="n">
        <v>45006.51180555556</v>
      </c>
      <c r="B109" s="4" t="inlineStr">
        <is>
          <t>2023-03</t>
        </is>
      </c>
      <c r="C109" s="4" t="n">
        <v>76</v>
      </c>
      <c r="D109" s="9" t="inlineStr">
        <is>
          <t>Minimum Window Substring</t>
        </is>
      </c>
      <c r="E109" s="4" t="inlineStr">
        <is>
          <t>Hard</t>
        </is>
      </c>
      <c r="F109" s="4" t="inlineStr">
        <is>
          <t>Sliding Window</t>
        </is>
      </c>
      <c r="G109" s="4" t="inlineStr">
        <is>
          <t>Wrong Answer</t>
        </is>
      </c>
      <c r="H109" s="4" t="inlineStr">
        <is>
          <t>C++</t>
        </is>
      </c>
      <c r="I109" s="4" t="inlineStr">
        <is>
          <t>N/A</t>
        </is>
      </c>
      <c r="J109" s="4" t="inlineStr">
        <is>
          <t>N/A</t>
        </is>
      </c>
      <c r="K109" s="4" t="n"/>
      <c r="L109" s="4" t="inlineStr">
        <is>
          <t>87/267</t>
        </is>
      </c>
      <c r="M109" s="9" t="inlineStr">
        <is>
          <t>Submission 919305715</t>
        </is>
      </c>
      <c r="N109" s="4" t="inlineStr">
        <is>
          <t>Yes</t>
        </is>
      </c>
    </row>
    <row r="110">
      <c r="A110" s="11" t="n">
        <v>45006.51236111111</v>
      </c>
      <c r="B110" s="4" t="inlineStr">
        <is>
          <t>2023-03</t>
        </is>
      </c>
      <c r="C110" s="4" t="n">
        <v>76</v>
      </c>
      <c r="D110" s="9" t="inlineStr">
        <is>
          <t>Minimum Window Substring</t>
        </is>
      </c>
      <c r="E110" s="4" t="inlineStr">
        <is>
          <t>Hard</t>
        </is>
      </c>
      <c r="F110" s="4" t="inlineStr">
        <is>
          <t>Sliding Window</t>
        </is>
      </c>
      <c r="G110" s="4" t="inlineStr">
        <is>
          <t>Time Limit Exceeded</t>
        </is>
      </c>
      <c r="H110" s="4" t="inlineStr">
        <is>
          <t>C++</t>
        </is>
      </c>
      <c r="I110" s="4" t="inlineStr">
        <is>
          <t>N/A</t>
        </is>
      </c>
      <c r="J110" s="4" t="inlineStr">
        <is>
          <t>N/A</t>
        </is>
      </c>
      <c r="K110" s="4" t="n"/>
      <c r="L110" s="4" t="inlineStr">
        <is>
          <t>266/267</t>
        </is>
      </c>
      <c r="M110" s="9" t="inlineStr">
        <is>
          <t>Submission 919306129</t>
        </is>
      </c>
      <c r="N110" s="4" t="inlineStr">
        <is>
          <t>Yes</t>
        </is>
      </c>
    </row>
    <row r="111">
      <c r="A111" s="11" t="n">
        <v>45006.51495370371</v>
      </c>
      <c r="B111" s="4" t="inlineStr">
        <is>
          <t>2023-03</t>
        </is>
      </c>
      <c r="C111" s="4" t="n">
        <v>76</v>
      </c>
      <c r="D111" s="9" t="inlineStr">
        <is>
          <t>Minimum Window Substring</t>
        </is>
      </c>
      <c r="E111" s="4" t="inlineStr">
        <is>
          <t>Hard</t>
        </is>
      </c>
      <c r="F111" s="4" t="inlineStr">
        <is>
          <t>Sliding Window</t>
        </is>
      </c>
      <c r="G111" s="4" t="inlineStr">
        <is>
          <t>Accepted</t>
        </is>
      </c>
      <c r="H111" s="4" t="inlineStr">
        <is>
          <t>C++</t>
        </is>
      </c>
      <c r="I111" s="4" t="inlineStr">
        <is>
          <t>55 ms</t>
        </is>
      </c>
      <c r="J111" s="4" t="inlineStr">
        <is>
          <t>8.5 MB</t>
        </is>
      </c>
      <c r="K111" s="4" t="n">
        <v>11.7</v>
      </c>
      <c r="L111" s="4" t="inlineStr">
        <is>
          <t>267/267</t>
        </is>
      </c>
      <c r="M111" s="9" t="inlineStr">
        <is>
          <t>Submission 919307944</t>
        </is>
      </c>
      <c r="N111" s="4" t="inlineStr">
        <is>
          <t>Yes</t>
        </is>
      </c>
    </row>
    <row r="112">
      <c r="A112" s="11" t="n">
        <v>45006.51793981482</v>
      </c>
      <c r="B112" s="4" t="inlineStr">
        <is>
          <t>2023-03</t>
        </is>
      </c>
      <c r="C112" s="4" t="n">
        <v>76</v>
      </c>
      <c r="D112" s="9" t="inlineStr">
        <is>
          <t>Minimum Window Substring</t>
        </is>
      </c>
      <c r="E112" s="4" t="inlineStr">
        <is>
          <t>Hard</t>
        </is>
      </c>
      <c r="F112" s="4" t="inlineStr">
        <is>
          <t>Sliding Window</t>
        </is>
      </c>
      <c r="G112" s="4" t="inlineStr">
        <is>
          <t>Accepted</t>
        </is>
      </c>
      <c r="H112" s="4" t="inlineStr">
        <is>
          <t>C++</t>
        </is>
      </c>
      <c r="I112" s="4" t="inlineStr">
        <is>
          <t>58 ms</t>
        </is>
      </c>
      <c r="J112" s="4" t="inlineStr">
        <is>
          <t>8.4 MB</t>
        </is>
      </c>
      <c r="K112" s="4" t="n">
        <v>11.6</v>
      </c>
      <c r="L112" s="4" t="inlineStr">
        <is>
          <t>267/267</t>
        </is>
      </c>
      <c r="M112" s="9" t="inlineStr">
        <is>
          <t>Submission 919309991</t>
        </is>
      </c>
      <c r="N112" s="4" t="inlineStr">
        <is>
          <t>Yes</t>
        </is>
      </c>
    </row>
    <row r="113">
      <c r="A113" s="11" t="n">
        <v>45006.62983796297</v>
      </c>
      <c r="B113" s="4" t="inlineStr">
        <is>
          <t>2023-03</t>
        </is>
      </c>
      <c r="C113" s="4" t="n">
        <v>332</v>
      </c>
      <c r="D113" s="9" t="inlineStr">
        <is>
          <t>Reconstruct Itinerary</t>
        </is>
      </c>
      <c r="E113" s="4" t="inlineStr">
        <is>
          <t>Hard</t>
        </is>
      </c>
      <c r="F113" s="4" t="inlineStr">
        <is>
          <t>Graph: General BFS/DFS</t>
        </is>
      </c>
      <c r="G113" s="4" t="inlineStr">
        <is>
          <t>Accepted</t>
        </is>
      </c>
      <c r="H113" s="4" t="inlineStr">
        <is>
          <t>C++</t>
        </is>
      </c>
      <c r="I113" s="4" t="inlineStr">
        <is>
          <t>30 ms</t>
        </is>
      </c>
      <c r="J113" s="4" t="inlineStr">
        <is>
          <t>16.2 MB</t>
        </is>
      </c>
      <c r="K113" s="4" t="n">
        <v>5.3</v>
      </c>
      <c r="L113" s="4" t="inlineStr">
        <is>
          <t>80/80</t>
        </is>
      </c>
      <c r="M113" s="9" t="inlineStr">
        <is>
          <t>Submission 919393964</t>
        </is>
      </c>
      <c r="N113" s="4" t="inlineStr">
        <is>
          <t>Yes</t>
        </is>
      </c>
    </row>
    <row r="114">
      <c r="A114" s="11" t="n">
        <v>45006.79084490741</v>
      </c>
      <c r="B114" s="4" t="inlineStr">
        <is>
          <t>2023-03</t>
        </is>
      </c>
      <c r="C114" s="4" t="n">
        <v>399</v>
      </c>
      <c r="D114" s="9" t="inlineStr">
        <is>
          <t>Evaluate Division</t>
        </is>
      </c>
      <c r="E114" s="4" t="inlineStr">
        <is>
          <t>Medium</t>
        </is>
      </c>
      <c r="F114" s="4" t="inlineStr">
        <is>
          <t>Graph: General BFS/DFS</t>
        </is>
      </c>
      <c r="G114" s="4" t="inlineStr">
        <is>
          <t>Accepted</t>
        </is>
      </c>
      <c r="H114" s="4" t="inlineStr">
        <is>
          <t>C++</t>
        </is>
      </c>
      <c r="I114" s="4" t="inlineStr">
        <is>
          <t>6 ms</t>
        </is>
      </c>
      <c r="J114" s="4" t="inlineStr">
        <is>
          <t>8.4 MB</t>
        </is>
      </c>
      <c r="K114" s="4" t="n">
        <v>2.4</v>
      </c>
      <c r="L114" s="4" t="inlineStr">
        <is>
          <t>24/24</t>
        </is>
      </c>
      <c r="M114" s="9" t="inlineStr">
        <is>
          <t>Submission 919497161</t>
        </is>
      </c>
      <c r="N114" s="4" t="inlineStr">
        <is>
          <t>Yes</t>
        </is>
      </c>
    </row>
    <row r="115">
      <c r="A115" s="11" t="n">
        <v>45006.79128472223</v>
      </c>
      <c r="B115" s="4" t="inlineStr">
        <is>
          <t>2023-03</t>
        </is>
      </c>
      <c r="C115" s="4" t="n">
        <v>399</v>
      </c>
      <c r="D115" s="9" t="inlineStr">
        <is>
          <t>Evaluate Division</t>
        </is>
      </c>
      <c r="E115" s="4" t="inlineStr">
        <is>
          <t>Medium</t>
        </is>
      </c>
      <c r="F115" s="4" t="inlineStr">
        <is>
          <t>Graph: General BFS/DFS</t>
        </is>
      </c>
      <c r="G115" s="4" t="inlineStr">
        <is>
          <t>Accepted</t>
        </is>
      </c>
      <c r="H115" s="4" t="inlineStr">
        <is>
          <t>C++</t>
        </is>
      </c>
      <c r="I115" s="4" t="inlineStr">
        <is>
          <t>0 ms</t>
        </is>
      </c>
      <c r="J115" s="4" t="inlineStr">
        <is>
          <t>8.4 MB</t>
        </is>
      </c>
      <c r="K115" s="4" t="n">
        <v>100</v>
      </c>
      <c r="L115" s="4" t="inlineStr">
        <is>
          <t>24/24</t>
        </is>
      </c>
      <c r="M115" s="9" t="inlineStr">
        <is>
          <t>Submission 919497511</t>
        </is>
      </c>
      <c r="N115" s="4" t="inlineStr">
        <is>
          <t>Yes</t>
        </is>
      </c>
    </row>
    <row r="116">
      <c r="A116" s="11" t="n">
        <v>45006.80849537037</v>
      </c>
      <c r="B116" s="4" t="inlineStr">
        <is>
          <t>2023-03</t>
        </is>
      </c>
      <c r="C116" s="4" t="n">
        <v>652</v>
      </c>
      <c r="D116" s="9" t="inlineStr">
        <is>
          <t>Find Duplicate Subtrees</t>
        </is>
      </c>
      <c r="E116" s="4" t="inlineStr">
        <is>
          <t>Medium</t>
        </is>
      </c>
      <c r="F116" s="4" t="inlineStr">
        <is>
          <t>Binary Tree (DFS &amp; Recursion)</t>
        </is>
      </c>
      <c r="G116" s="4" t="inlineStr">
        <is>
          <t>Accepted</t>
        </is>
      </c>
      <c r="H116" s="4" t="inlineStr">
        <is>
          <t>C++</t>
        </is>
      </c>
      <c r="I116" s="4" t="inlineStr">
        <is>
          <t>47 ms</t>
        </is>
      </c>
      <c r="J116" s="4" t="inlineStr">
        <is>
          <t>63.2 MB</t>
        </is>
      </c>
      <c r="K116" s="4" t="n">
        <v>5</v>
      </c>
      <c r="L116" s="4" t="inlineStr">
        <is>
          <t>175/175</t>
        </is>
      </c>
      <c r="M116" s="9" t="inlineStr">
        <is>
          <t>Submission 919510923</t>
        </is>
      </c>
      <c r="N116" s="4" t="inlineStr">
        <is>
          <t>Yes</t>
        </is>
      </c>
    </row>
    <row r="117">
      <c r="A117" s="11" t="n">
        <v>45006.98376157408</v>
      </c>
      <c r="B117" s="4" t="inlineStr">
        <is>
          <t>2023-03</t>
        </is>
      </c>
      <c r="C117" s="4" t="n">
        <v>42</v>
      </c>
      <c r="D117" s="9" t="inlineStr">
        <is>
          <t>Trapping Rain Water</t>
        </is>
      </c>
      <c r="E117" s="4" t="inlineStr">
        <is>
          <t>Hard</t>
        </is>
      </c>
      <c r="F117" s="4" t="inlineStr">
        <is>
          <t>Two Pointers</t>
        </is>
      </c>
      <c r="G117" s="4" t="inlineStr">
        <is>
          <t>Accepted</t>
        </is>
      </c>
      <c r="H117" s="4" t="inlineStr">
        <is>
          <t>C++</t>
        </is>
      </c>
      <c r="I117" s="4" t="inlineStr">
        <is>
          <t>21 ms</t>
        </is>
      </c>
      <c r="J117" s="4" t="inlineStr">
        <is>
          <t>20.7 MB</t>
        </is>
      </c>
      <c r="K117" s="4" t="n">
        <v>4.7</v>
      </c>
      <c r="L117" s="4" t="inlineStr">
        <is>
          <t>322/322</t>
        </is>
      </c>
      <c r="M117" s="9" t="inlineStr">
        <is>
          <t>Submission 919668793</t>
        </is>
      </c>
      <c r="N117" s="4" t="inlineStr">
        <is>
          <t>Yes</t>
        </is>
      </c>
    </row>
    <row r="118">
      <c r="A118" s="11" t="n">
        <v>45006.98581018519</v>
      </c>
      <c r="B118" s="4" t="inlineStr">
        <is>
          <t>2023-03</t>
        </is>
      </c>
      <c r="C118" s="4" t="n">
        <v>42</v>
      </c>
      <c r="D118" s="9" t="inlineStr">
        <is>
          <t>Trapping Rain Water</t>
        </is>
      </c>
      <c r="E118" s="4" t="inlineStr">
        <is>
          <t>Hard</t>
        </is>
      </c>
      <c r="F118" s="4" t="inlineStr">
        <is>
          <t>Two Pointers</t>
        </is>
      </c>
      <c r="G118" s="4" t="inlineStr">
        <is>
          <t>Accepted</t>
        </is>
      </c>
      <c r="H118" s="4" t="inlineStr">
        <is>
          <t>C++</t>
        </is>
      </c>
      <c r="I118" s="4" t="inlineStr">
        <is>
          <t>13 ms</t>
        </is>
      </c>
      <c r="J118" s="4" t="inlineStr">
        <is>
          <t>20.4 MB</t>
        </is>
      </c>
      <c r="K118" s="4" t="n">
        <v>4.7</v>
      </c>
      <c r="L118" s="4" t="inlineStr">
        <is>
          <t>322/322</t>
        </is>
      </c>
      <c r="M118" s="9" t="inlineStr">
        <is>
          <t>Submission 919670634</t>
        </is>
      </c>
      <c r="N118" s="4" t="inlineStr">
        <is>
          <t>Yes</t>
        </is>
      </c>
    </row>
    <row r="119">
      <c r="A119" s="11" t="n">
        <v>45007.00373842593</v>
      </c>
      <c r="B119" s="4" t="inlineStr">
        <is>
          <t>2023-03</t>
        </is>
      </c>
      <c r="C119" s="4" t="n">
        <v>42</v>
      </c>
      <c r="D119" s="9" t="inlineStr">
        <is>
          <t>Trapping Rain Water</t>
        </is>
      </c>
      <c r="E119" s="4" t="inlineStr">
        <is>
          <t>Hard</t>
        </is>
      </c>
      <c r="F119" s="4" t="inlineStr">
        <is>
          <t>Two Pointers</t>
        </is>
      </c>
      <c r="G119" s="4" t="inlineStr">
        <is>
          <t>Accepted</t>
        </is>
      </c>
      <c r="H119" s="4" t="inlineStr">
        <is>
          <t>C++</t>
        </is>
      </c>
      <c r="I119" s="4" t="inlineStr">
        <is>
          <t>12 ms</t>
        </is>
      </c>
      <c r="J119" s="4" t="inlineStr">
        <is>
          <t>20.4 MB</t>
        </is>
      </c>
      <c r="K119" s="4" t="n">
        <v>4.7</v>
      </c>
      <c r="L119" s="4" t="inlineStr">
        <is>
          <t>322/322</t>
        </is>
      </c>
      <c r="M119" s="9" t="inlineStr">
        <is>
          <t>Submission 919686936</t>
        </is>
      </c>
      <c r="N119" s="4" t="inlineStr">
        <is>
          <t>Yes</t>
        </is>
      </c>
    </row>
    <row r="120">
      <c r="A120" s="11" t="n">
        <v>45007.00767361111</v>
      </c>
      <c r="B120" s="4" t="inlineStr">
        <is>
          <t>2023-03</t>
        </is>
      </c>
      <c r="C120" s="4" t="n">
        <v>42</v>
      </c>
      <c r="D120" s="9" t="inlineStr">
        <is>
          <t>Trapping Rain Water</t>
        </is>
      </c>
      <c r="E120" s="4" t="inlineStr">
        <is>
          <t>Hard</t>
        </is>
      </c>
      <c r="F120" s="4" t="inlineStr">
        <is>
          <t>Two Pointers</t>
        </is>
      </c>
      <c r="G120" s="4" t="inlineStr">
        <is>
          <t>Accepted</t>
        </is>
      </c>
      <c r="H120" s="4" t="inlineStr">
        <is>
          <t>C++</t>
        </is>
      </c>
      <c r="I120" s="4" t="inlineStr">
        <is>
          <t>17 ms</t>
        </is>
      </c>
      <c r="J120" s="4" t="inlineStr">
        <is>
          <t>19.6 MB</t>
        </is>
      </c>
      <c r="K120" s="4" t="n">
        <v>4.7</v>
      </c>
      <c r="L120" s="4" t="inlineStr">
        <is>
          <t>322/322</t>
        </is>
      </c>
      <c r="M120" s="9" t="inlineStr">
        <is>
          <t>Submission 919690241</t>
        </is>
      </c>
      <c r="N120" s="4" t="inlineStr">
        <is>
          <t>Yes</t>
        </is>
      </c>
    </row>
    <row r="121">
      <c r="A121" s="11" t="n">
        <v>45007.03543981481</v>
      </c>
      <c r="B121" s="4" t="inlineStr">
        <is>
          <t>2023-03</t>
        </is>
      </c>
      <c r="C121" s="4" t="n">
        <v>253</v>
      </c>
      <c r="D121" s="9" t="inlineStr">
        <is>
          <t>Meeting Rooms II</t>
        </is>
      </c>
      <c r="E121" s="4" t="inlineStr">
        <is>
          <t>Medium</t>
        </is>
      </c>
      <c r="F121" s="4" t="inlineStr">
        <is>
          <t>Intervals &amp; Sweep Line</t>
        </is>
      </c>
      <c r="G121" s="4" t="inlineStr">
        <is>
          <t>Wrong Answer</t>
        </is>
      </c>
      <c r="H121" s="4" t="inlineStr">
        <is>
          <t>C++</t>
        </is>
      </c>
      <c r="I121" s="4" t="inlineStr">
        <is>
          <t>N/A</t>
        </is>
      </c>
      <c r="J121" s="4" t="inlineStr">
        <is>
          <t>N/A</t>
        </is>
      </c>
      <c r="K121" s="4" t="n"/>
      <c r="L121" s="4" t="inlineStr">
        <is>
          <t>35/78</t>
        </is>
      </c>
      <c r="M121" s="9" t="inlineStr">
        <is>
          <t>Submission 919711707</t>
        </is>
      </c>
      <c r="N121" s="4" t="inlineStr">
        <is>
          <t>Yes</t>
        </is>
      </c>
    </row>
    <row r="122">
      <c r="A122" s="11" t="n">
        <v>45007.03568287037</v>
      </c>
      <c r="B122" s="4" t="inlineStr">
        <is>
          <t>2023-03</t>
        </is>
      </c>
      <c r="C122" s="4" t="n">
        <v>253</v>
      </c>
      <c r="D122" s="9" t="inlineStr">
        <is>
          <t>Meeting Rooms II</t>
        </is>
      </c>
      <c r="E122" s="4" t="inlineStr">
        <is>
          <t>Medium</t>
        </is>
      </c>
      <c r="F122" s="4" t="inlineStr">
        <is>
          <t>Intervals &amp; Sweep Line</t>
        </is>
      </c>
      <c r="G122" s="4" t="inlineStr">
        <is>
          <t>Wrong Answer</t>
        </is>
      </c>
      <c r="H122" s="4" t="inlineStr">
        <is>
          <t>C++</t>
        </is>
      </c>
      <c r="I122" s="4" t="inlineStr">
        <is>
          <t>N/A</t>
        </is>
      </c>
      <c r="J122" s="4" t="inlineStr">
        <is>
          <t>N/A</t>
        </is>
      </c>
      <c r="K122" s="4" t="n"/>
      <c r="L122" s="4" t="inlineStr">
        <is>
          <t>35/78</t>
        </is>
      </c>
      <c r="M122" s="9" t="inlineStr">
        <is>
          <t>Submission 919711890</t>
        </is>
      </c>
      <c r="N122" s="4" t="inlineStr">
        <is>
          <t>Yes</t>
        </is>
      </c>
    </row>
    <row r="123">
      <c r="A123" s="11" t="n">
        <v>45007.0361574074</v>
      </c>
      <c r="B123" s="4" t="inlineStr">
        <is>
          <t>2023-03</t>
        </is>
      </c>
      <c r="C123" s="4" t="n">
        <v>253</v>
      </c>
      <c r="D123" s="9" t="inlineStr">
        <is>
          <t>Meeting Rooms II</t>
        </is>
      </c>
      <c r="E123" s="4" t="inlineStr">
        <is>
          <t>Medium</t>
        </is>
      </c>
      <c r="F123" s="4" t="inlineStr">
        <is>
          <t>Intervals &amp; Sweep Line</t>
        </is>
      </c>
      <c r="G123" s="4" t="inlineStr">
        <is>
          <t>Wrong Answer</t>
        </is>
      </c>
      <c r="H123" s="4" t="inlineStr">
        <is>
          <t>C++</t>
        </is>
      </c>
      <c r="I123" s="4" t="inlineStr">
        <is>
          <t>N/A</t>
        </is>
      </c>
      <c r="J123" s="4" t="inlineStr">
        <is>
          <t>N/A</t>
        </is>
      </c>
      <c r="K123" s="4" t="n"/>
      <c r="L123" s="4" t="inlineStr">
        <is>
          <t>42/78</t>
        </is>
      </c>
      <c r="M123" s="9" t="inlineStr">
        <is>
          <t>Submission 919712264</t>
        </is>
      </c>
      <c r="N123" s="4" t="inlineStr">
        <is>
          <t>Yes</t>
        </is>
      </c>
    </row>
    <row r="124">
      <c r="A124" s="11" t="n">
        <v>45007.03696759259</v>
      </c>
      <c r="B124" s="4" t="inlineStr">
        <is>
          <t>2023-03</t>
        </is>
      </c>
      <c r="C124" s="4" t="n">
        <v>253</v>
      </c>
      <c r="D124" s="9" t="inlineStr">
        <is>
          <t>Meeting Rooms II</t>
        </is>
      </c>
      <c r="E124" s="4" t="inlineStr">
        <is>
          <t>Medium</t>
        </is>
      </c>
      <c r="F124" s="4" t="inlineStr">
        <is>
          <t>Intervals &amp; Sweep Line</t>
        </is>
      </c>
      <c r="G124" s="4" t="inlineStr">
        <is>
          <t>Wrong Answer</t>
        </is>
      </c>
      <c r="H124" s="4" t="inlineStr">
        <is>
          <t>C++</t>
        </is>
      </c>
      <c r="I124" s="4" t="inlineStr">
        <is>
          <t>N/A</t>
        </is>
      </c>
      <c r="J124" s="4" t="inlineStr">
        <is>
          <t>N/A</t>
        </is>
      </c>
      <c r="K124" s="4" t="n"/>
      <c r="L124" s="4" t="inlineStr">
        <is>
          <t>65/78</t>
        </is>
      </c>
      <c r="M124" s="9" t="inlineStr">
        <is>
          <t>Submission 919712810</t>
        </is>
      </c>
      <c r="N124" s="4" t="inlineStr">
        <is>
          <t>Yes</t>
        </is>
      </c>
    </row>
    <row r="125">
      <c r="A125" s="11" t="n">
        <v>45007.03732638889</v>
      </c>
      <c r="B125" s="4" t="inlineStr">
        <is>
          <t>2023-03</t>
        </is>
      </c>
      <c r="C125" s="4" t="n">
        <v>253</v>
      </c>
      <c r="D125" s="9" t="inlineStr">
        <is>
          <t>Meeting Rooms II</t>
        </is>
      </c>
      <c r="E125" s="4" t="inlineStr">
        <is>
          <t>Medium</t>
        </is>
      </c>
      <c r="F125" s="4" t="inlineStr">
        <is>
          <t>Intervals &amp; Sweep Line</t>
        </is>
      </c>
      <c r="G125" s="4" t="inlineStr">
        <is>
          <t>Accepted</t>
        </is>
      </c>
      <c r="H125" s="4" t="inlineStr">
        <is>
          <t>C++</t>
        </is>
      </c>
      <c r="I125" s="4" t="inlineStr">
        <is>
          <t>18 ms</t>
        </is>
      </c>
      <c r="J125" s="4" t="inlineStr">
        <is>
          <t>11.8 MB</t>
        </is>
      </c>
      <c r="K125" s="4" t="n">
        <v>6.8</v>
      </c>
      <c r="L125" s="4" t="inlineStr">
        <is>
          <t>78/78</t>
        </is>
      </c>
      <c r="M125" s="9" t="inlineStr">
        <is>
          <t>Submission 919713087</t>
        </is>
      </c>
      <c r="N125" s="4" t="inlineStr">
        <is>
          <t>Yes</t>
        </is>
      </c>
    </row>
    <row r="126">
      <c r="A126" s="11" t="n">
        <v>45007.04211805556</v>
      </c>
      <c r="B126" s="4" t="inlineStr">
        <is>
          <t>2023-03</t>
        </is>
      </c>
      <c r="C126" s="4" t="n">
        <v>253</v>
      </c>
      <c r="D126" s="9" t="inlineStr">
        <is>
          <t>Meeting Rooms II</t>
        </is>
      </c>
      <c r="E126" s="4" t="inlineStr">
        <is>
          <t>Medium</t>
        </is>
      </c>
      <c r="F126" s="4" t="inlineStr">
        <is>
          <t>Intervals &amp; Sweep Line</t>
        </is>
      </c>
      <c r="G126" s="4" t="inlineStr">
        <is>
          <t>Accepted</t>
        </is>
      </c>
      <c r="H126" s="4" t="inlineStr">
        <is>
          <t>C++</t>
        </is>
      </c>
      <c r="I126" s="4" t="inlineStr">
        <is>
          <t>10 ms</t>
        </is>
      </c>
      <c r="J126" s="4" t="inlineStr">
        <is>
          <t>11.9 MB</t>
        </is>
      </c>
      <c r="K126" s="4" t="n">
        <v>10.6</v>
      </c>
      <c r="L126" s="4" t="inlineStr">
        <is>
          <t>78/78</t>
        </is>
      </c>
      <c r="M126" s="9" t="inlineStr">
        <is>
          <t>Submission 919716470</t>
        </is>
      </c>
      <c r="N126" s="4" t="inlineStr">
        <is>
          <t>Yes</t>
        </is>
      </c>
    </row>
    <row r="127">
      <c r="A127" s="11" t="n">
        <v>45007.04241898148</v>
      </c>
      <c r="B127" s="4" t="inlineStr">
        <is>
          <t>2023-03</t>
        </is>
      </c>
      <c r="C127" s="4" t="n">
        <v>253</v>
      </c>
      <c r="D127" s="9" t="inlineStr">
        <is>
          <t>Meeting Rooms II</t>
        </is>
      </c>
      <c r="E127" s="4" t="inlineStr">
        <is>
          <t>Medium</t>
        </is>
      </c>
      <c r="F127" s="4" t="inlineStr">
        <is>
          <t>Intervals &amp; Sweep Line</t>
        </is>
      </c>
      <c r="G127" s="4" t="inlineStr">
        <is>
          <t>Accepted</t>
        </is>
      </c>
      <c r="H127" s="4" t="inlineStr">
        <is>
          <t>C++</t>
        </is>
      </c>
      <c r="I127" s="4" t="inlineStr">
        <is>
          <t>15 ms</t>
        </is>
      </c>
      <c r="J127" s="4" t="inlineStr">
        <is>
          <t>12 MB</t>
        </is>
      </c>
      <c r="K127" s="4" t="n">
        <v>7.5</v>
      </c>
      <c r="L127" s="4" t="inlineStr">
        <is>
          <t>78/78</t>
        </is>
      </c>
      <c r="M127" s="9" t="inlineStr">
        <is>
          <t>Submission 919716679</t>
        </is>
      </c>
      <c r="N127" s="4" t="inlineStr">
        <is>
          <t>Yes</t>
        </is>
      </c>
    </row>
    <row r="128">
      <c r="A128" s="11" t="n">
        <v>45007.07137731482</v>
      </c>
      <c r="B128" s="4" t="inlineStr">
        <is>
          <t>2023-03</t>
        </is>
      </c>
      <c r="C128" s="4" t="n">
        <v>621</v>
      </c>
      <c r="D128" s="9" t="inlineStr">
        <is>
          <t>Task Scheduler</t>
        </is>
      </c>
      <c r="E128" s="4" t="inlineStr">
        <is>
          <t>Medium</t>
        </is>
      </c>
      <c r="F128" s="4" t="inlineStr">
        <is>
          <t>Greedy</t>
        </is>
      </c>
      <c r="G128" s="4" t="inlineStr">
        <is>
          <t>Accepted</t>
        </is>
      </c>
      <c r="H128" s="4" t="inlineStr">
        <is>
          <t>C++</t>
        </is>
      </c>
      <c r="I128" s="4" t="inlineStr">
        <is>
          <t>79 ms</t>
        </is>
      </c>
      <c r="J128" s="4" t="inlineStr">
        <is>
          <t>34.6 MB</t>
        </is>
      </c>
      <c r="K128" s="4" t="n">
        <v>7</v>
      </c>
      <c r="L128" s="4" t="inlineStr">
        <is>
          <t>71/71</t>
        </is>
      </c>
      <c r="M128" s="9" t="inlineStr">
        <is>
          <t>Submission 919736147</t>
        </is>
      </c>
      <c r="N128" s="4" t="inlineStr">
        <is>
          <t>Yes</t>
        </is>
      </c>
    </row>
    <row r="129">
      <c r="A129" s="11" t="n">
        <v>45007.07253472223</v>
      </c>
      <c r="B129" s="4" t="inlineStr">
        <is>
          <t>2023-03</t>
        </is>
      </c>
      <c r="C129" s="4" t="n">
        <v>621</v>
      </c>
      <c r="D129" s="9" t="inlineStr">
        <is>
          <t>Task Scheduler</t>
        </is>
      </c>
      <c r="E129" s="4" t="inlineStr">
        <is>
          <t>Medium</t>
        </is>
      </c>
      <c r="F129" s="4" t="inlineStr">
        <is>
          <t>Greedy</t>
        </is>
      </c>
      <c r="G129" s="4" t="inlineStr">
        <is>
          <t>Wrong Answer</t>
        </is>
      </c>
      <c r="H129" s="4" t="inlineStr">
        <is>
          <t>C++</t>
        </is>
      </c>
      <c r="I129" s="4" t="inlineStr">
        <is>
          <t>N/A</t>
        </is>
      </c>
      <c r="J129" s="4" t="inlineStr">
        <is>
          <t>N/A</t>
        </is>
      </c>
      <c r="K129" s="4" t="n"/>
      <c r="L129" s="4" t="inlineStr">
        <is>
          <t>60/71</t>
        </is>
      </c>
      <c r="M129" s="9" t="inlineStr">
        <is>
          <t>Submission 919736885</t>
        </is>
      </c>
      <c r="N129" s="4" t="inlineStr">
        <is>
          <t>Yes</t>
        </is>
      </c>
    </row>
    <row r="130">
      <c r="A130" s="11" t="n">
        <v>45007.08145833333</v>
      </c>
      <c r="B130" s="4" t="inlineStr">
        <is>
          <t>2023-03</t>
        </is>
      </c>
      <c r="C130" s="4" t="n">
        <v>621</v>
      </c>
      <c r="D130" s="9" t="inlineStr">
        <is>
          <t>Task Scheduler</t>
        </is>
      </c>
      <c r="E130" s="4" t="inlineStr">
        <is>
          <t>Medium</t>
        </is>
      </c>
      <c r="F130" s="4" t="inlineStr">
        <is>
          <t>Greedy</t>
        </is>
      </c>
      <c r="G130" s="4" t="inlineStr">
        <is>
          <t>Accepted</t>
        </is>
      </c>
      <c r="H130" s="4" t="inlineStr">
        <is>
          <t>C++</t>
        </is>
      </c>
      <c r="I130" s="4" t="inlineStr">
        <is>
          <t>83 ms</t>
        </is>
      </c>
      <c r="J130" s="4" t="inlineStr">
        <is>
          <t>34.6 MB</t>
        </is>
      </c>
      <c r="K130" s="4" t="n">
        <v>6.9</v>
      </c>
      <c r="L130" s="4" t="inlineStr">
        <is>
          <t>71/71</t>
        </is>
      </c>
      <c r="M130" s="9" t="inlineStr">
        <is>
          <t>Submission 919742388</t>
        </is>
      </c>
      <c r="N130" s="4" t="inlineStr">
        <is>
          <t>Yes</t>
        </is>
      </c>
    </row>
    <row r="131">
      <c r="A131" s="11" t="n">
        <v>45007.11927083333</v>
      </c>
      <c r="B131" s="4" t="inlineStr">
        <is>
          <t>2023-03</t>
        </is>
      </c>
      <c r="C131" s="4" t="n">
        <v>636</v>
      </c>
      <c r="D131" s="9" t="inlineStr">
        <is>
          <t>Exclusive Time of Functions</t>
        </is>
      </c>
      <c r="E131" s="4" t="inlineStr">
        <is>
          <t>Medium</t>
        </is>
      </c>
      <c r="F131" s="4" t="inlineStr">
        <is>
          <t>Stack</t>
        </is>
      </c>
      <c r="G131" s="4" t="inlineStr">
        <is>
          <t>Accepted</t>
        </is>
      </c>
      <c r="H131" s="4" t="inlineStr">
        <is>
          <t>C++</t>
        </is>
      </c>
      <c r="I131" s="4" t="inlineStr">
        <is>
          <t>17 ms</t>
        </is>
      </c>
      <c r="J131" s="4" t="inlineStr">
        <is>
          <t>13.1 MB</t>
        </is>
      </c>
      <c r="K131" s="4" t="n">
        <v>13.1</v>
      </c>
      <c r="L131" s="4" t="inlineStr">
        <is>
          <t>120/120</t>
        </is>
      </c>
      <c r="M131" s="9" t="inlineStr">
        <is>
          <t>Submission 919762915</t>
        </is>
      </c>
      <c r="N131" s="4" t="inlineStr">
        <is>
          <t>Yes</t>
        </is>
      </c>
    </row>
    <row r="132">
      <c r="A132" s="11" t="n">
        <v>45007.13271990741</v>
      </c>
      <c r="B132" s="4" t="inlineStr">
        <is>
          <t>2023-03</t>
        </is>
      </c>
      <c r="C132" s="4" t="n">
        <v>23</v>
      </c>
      <c r="D132" s="9" t="inlineStr">
        <is>
          <t>Merge k Sorted Lists</t>
        </is>
      </c>
      <c r="E132" s="4" t="inlineStr">
        <is>
          <t>Hard</t>
        </is>
      </c>
      <c r="F132" s="4" t="inlineStr">
        <is>
          <t>Heap / Top-K</t>
        </is>
      </c>
      <c r="G132" s="4" t="inlineStr">
        <is>
          <t>Accepted</t>
        </is>
      </c>
      <c r="H132" s="4" t="inlineStr">
        <is>
          <t>C++</t>
        </is>
      </c>
      <c r="I132" s="4" t="inlineStr">
        <is>
          <t>32 ms</t>
        </is>
      </c>
      <c r="J132" s="4" t="inlineStr">
        <is>
          <t>14.6 MB</t>
        </is>
      </c>
      <c r="K132" s="4" t="n">
        <v>18.6</v>
      </c>
      <c r="L132" s="4" t="inlineStr">
        <is>
          <t>133/133</t>
        </is>
      </c>
      <c r="M132" s="9" t="inlineStr">
        <is>
          <t>Submission 919769431</t>
        </is>
      </c>
      <c r="N132" s="4" t="inlineStr">
        <is>
          <t>Yes</t>
        </is>
      </c>
    </row>
    <row r="133">
      <c r="A133" s="11" t="n">
        <v>45007.46896990741</v>
      </c>
      <c r="B133" s="4" t="inlineStr">
        <is>
          <t>2023-03</t>
        </is>
      </c>
      <c r="C133" s="4" t="n">
        <v>759</v>
      </c>
      <c r="D133" s="9" t="inlineStr">
        <is>
          <t>Employee Free Time</t>
        </is>
      </c>
      <c r="E133" s="4" t="inlineStr">
        <is>
          <t>Hard</t>
        </is>
      </c>
      <c r="F133" s="4" t="inlineStr">
        <is>
          <t>Intervals &amp; Sweep Line</t>
        </is>
      </c>
      <c r="G133" s="4" t="inlineStr">
        <is>
          <t>Accepted</t>
        </is>
      </c>
      <c r="H133" s="4" t="inlineStr">
        <is>
          <t>C++</t>
        </is>
      </c>
      <c r="I133" s="4" t="inlineStr">
        <is>
          <t>36 ms</t>
        </is>
      </c>
      <c r="J133" s="4" t="inlineStr">
        <is>
          <t>9.8 MB</t>
        </is>
      </c>
      <c r="K133" s="4" t="n">
        <v>7.5</v>
      </c>
      <c r="L133" s="4" t="inlineStr">
        <is>
          <t>52/52</t>
        </is>
      </c>
      <c r="M133" s="9" t="inlineStr">
        <is>
          <t>Submission 919932005</t>
        </is>
      </c>
      <c r="N133" s="4" t="inlineStr">
        <is>
          <t>Yes</t>
        </is>
      </c>
    </row>
    <row r="134">
      <c r="A134" s="11" t="n">
        <v>45007.48582175926</v>
      </c>
      <c r="B134" s="4" t="inlineStr">
        <is>
          <t>2023-03</t>
        </is>
      </c>
      <c r="C134" s="4" t="n">
        <v>759</v>
      </c>
      <c r="D134" s="9" t="inlineStr">
        <is>
          <t>Employee Free Time</t>
        </is>
      </c>
      <c r="E134" s="4" t="inlineStr">
        <is>
          <t>Hard</t>
        </is>
      </c>
      <c r="F134" s="4" t="inlineStr">
        <is>
          <t>Intervals &amp; Sweep Line</t>
        </is>
      </c>
      <c r="G134" s="4" t="inlineStr">
        <is>
          <t>Accepted</t>
        </is>
      </c>
      <c r="H134" s="4" t="inlineStr">
        <is>
          <t>C++</t>
        </is>
      </c>
      <c r="I134" s="4" t="inlineStr">
        <is>
          <t>35 ms</t>
        </is>
      </c>
      <c r="J134" s="4" t="inlineStr">
        <is>
          <t>9.8 MB</t>
        </is>
      </c>
      <c r="K134" s="4" t="n">
        <v>8.699999999999999</v>
      </c>
      <c r="L134" s="4" t="inlineStr">
        <is>
          <t>52/52</t>
        </is>
      </c>
      <c r="M134" s="9" t="inlineStr">
        <is>
          <t>Submission 919943695</t>
        </is>
      </c>
      <c r="N134" s="4" t="inlineStr">
        <is>
          <t>Yes</t>
        </is>
      </c>
    </row>
    <row r="135">
      <c r="A135" s="11" t="n">
        <v>45007.49783564815</v>
      </c>
      <c r="B135" s="4" t="inlineStr">
        <is>
          <t>2023-03</t>
        </is>
      </c>
      <c r="C135" s="4" t="n">
        <v>17</v>
      </c>
      <c r="D135" s="9" t="inlineStr">
        <is>
          <t>Letter Combinations of a Phone Number</t>
        </is>
      </c>
      <c r="E135" s="4" t="inlineStr">
        <is>
          <t>Medium</t>
        </is>
      </c>
      <c r="F135" s="4" t="inlineStr">
        <is>
          <t>Backtracking</t>
        </is>
      </c>
      <c r="G135" s="4" t="inlineStr">
        <is>
          <t>Accepted</t>
        </is>
      </c>
      <c r="H135" s="4" t="inlineStr">
        <is>
          <t>C++</t>
        </is>
      </c>
      <c r="I135" s="4" t="inlineStr">
        <is>
          <t>4 ms</t>
        </is>
      </c>
      <c r="J135" s="4" t="inlineStr">
        <is>
          <t>6.6 MB</t>
        </is>
      </c>
      <c r="K135" s="4" t="n">
        <v>1.1</v>
      </c>
      <c r="L135" s="4" t="inlineStr">
        <is>
          <t>25/25</t>
        </is>
      </c>
      <c r="M135" s="9" t="inlineStr">
        <is>
          <t>Submission 919952195</t>
        </is>
      </c>
      <c r="N135" s="4" t="inlineStr">
        <is>
          <t>Yes</t>
        </is>
      </c>
    </row>
    <row r="136">
      <c r="A136" s="11" t="n">
        <v>45007.50164351852</v>
      </c>
      <c r="B136" s="4" t="inlineStr">
        <is>
          <t>2023-03</t>
        </is>
      </c>
      <c r="C136" s="4" t="n">
        <v>17</v>
      </c>
      <c r="D136" s="9" t="inlineStr">
        <is>
          <t>Letter Combinations of a Phone Number</t>
        </is>
      </c>
      <c r="E136" s="4" t="inlineStr">
        <is>
          <t>Medium</t>
        </is>
      </c>
      <c r="F136" s="4" t="inlineStr">
        <is>
          <t>Backtracking</t>
        </is>
      </c>
      <c r="G136" s="4" t="inlineStr">
        <is>
          <t>Accepted</t>
        </is>
      </c>
      <c r="H136" s="4" t="inlineStr">
        <is>
          <t>C++</t>
        </is>
      </c>
      <c r="I136" s="4" t="inlineStr">
        <is>
          <t>0 ms</t>
        </is>
      </c>
      <c r="J136" s="4" t="inlineStr">
        <is>
          <t>6.5 MB</t>
        </is>
      </c>
      <c r="K136" s="4" t="n">
        <v>100</v>
      </c>
      <c r="L136" s="4" t="inlineStr">
        <is>
          <t>25/25</t>
        </is>
      </c>
      <c r="M136" s="9" t="inlineStr">
        <is>
          <t>Submission 919954817</t>
        </is>
      </c>
      <c r="N136" s="4" t="inlineStr">
        <is>
          <t>Yes</t>
        </is>
      </c>
    </row>
    <row r="137">
      <c r="A137" s="11" t="n">
        <v>45007.50246527778</v>
      </c>
      <c r="B137" s="4" t="inlineStr">
        <is>
          <t>2023-03</t>
        </is>
      </c>
      <c r="C137" s="4" t="n">
        <v>17</v>
      </c>
      <c r="D137" s="9" t="inlineStr">
        <is>
          <t>Letter Combinations of a Phone Number</t>
        </is>
      </c>
      <c r="E137" s="4" t="inlineStr">
        <is>
          <t>Medium</t>
        </is>
      </c>
      <c r="F137" s="4" t="inlineStr">
        <is>
          <t>Backtracking</t>
        </is>
      </c>
      <c r="G137" s="4" t="inlineStr">
        <is>
          <t>Accepted</t>
        </is>
      </c>
      <c r="H137" s="4" t="inlineStr">
        <is>
          <t>C++</t>
        </is>
      </c>
      <c r="I137" s="4" t="inlineStr">
        <is>
          <t>0 ms</t>
        </is>
      </c>
      <c r="J137" s="4" t="inlineStr">
        <is>
          <t>6.6 MB</t>
        </is>
      </c>
      <c r="K137" s="4" t="n">
        <v>100</v>
      </c>
      <c r="L137" s="4" t="inlineStr">
        <is>
          <t>25/25</t>
        </is>
      </c>
      <c r="M137" s="9" t="inlineStr">
        <is>
          <t>Submission 919955350</t>
        </is>
      </c>
      <c r="N137" s="4" t="inlineStr">
        <is>
          <t>Yes</t>
        </is>
      </c>
    </row>
    <row r="138">
      <c r="A138" s="11" t="n">
        <v>45007.50275462963</v>
      </c>
      <c r="B138" s="4" t="inlineStr">
        <is>
          <t>2023-03</t>
        </is>
      </c>
      <c r="C138" s="4" t="n">
        <v>17</v>
      </c>
      <c r="D138" s="9" t="inlineStr">
        <is>
          <t>Letter Combinations of a Phone Number</t>
        </is>
      </c>
      <c r="E138" s="4" t="inlineStr">
        <is>
          <t>Medium</t>
        </is>
      </c>
      <c r="F138" s="4" t="inlineStr">
        <is>
          <t>Backtracking</t>
        </is>
      </c>
      <c r="G138" s="4" t="inlineStr">
        <is>
          <t>Accepted</t>
        </is>
      </c>
      <c r="H138" s="4" t="inlineStr">
        <is>
          <t>C++</t>
        </is>
      </c>
      <c r="I138" s="4" t="inlineStr">
        <is>
          <t>4 ms</t>
        </is>
      </c>
      <c r="J138" s="4" t="inlineStr">
        <is>
          <t>6.6 MB</t>
        </is>
      </c>
      <c r="K138" s="4" t="n">
        <v>1.1</v>
      </c>
      <c r="L138" s="4" t="inlineStr">
        <is>
          <t>25/25</t>
        </is>
      </c>
      <c r="M138" s="9" t="inlineStr">
        <is>
          <t>Submission 919955559</t>
        </is>
      </c>
      <c r="N138" s="4" t="inlineStr">
        <is>
          <t>Yes</t>
        </is>
      </c>
    </row>
    <row r="139">
      <c r="A139" s="11" t="n">
        <v>45007.52444444445</v>
      </c>
      <c r="B139" s="4" t="inlineStr">
        <is>
          <t>2023-03</t>
        </is>
      </c>
      <c r="C139" s="4" t="n">
        <v>78</v>
      </c>
      <c r="D139" s="9" t="inlineStr">
        <is>
          <t>Subsets</t>
        </is>
      </c>
      <c r="E139" s="4" t="inlineStr">
        <is>
          <t>Medium</t>
        </is>
      </c>
      <c r="F139" s="4" t="inlineStr">
        <is>
          <t>Backtracking</t>
        </is>
      </c>
      <c r="G139" s="4" t="inlineStr">
        <is>
          <t>Accepted</t>
        </is>
      </c>
      <c r="H139" s="4" t="inlineStr">
        <is>
          <t>C++</t>
        </is>
      </c>
      <c r="I139" s="4" t="inlineStr">
        <is>
          <t>5 ms</t>
        </is>
      </c>
      <c r="J139" s="4" t="inlineStr">
        <is>
          <t>16 MB</t>
        </is>
      </c>
      <c r="K139" s="4" t="n">
        <v>5.3</v>
      </c>
      <c r="L139" s="4" t="inlineStr">
        <is>
          <t>10/10</t>
        </is>
      </c>
      <c r="M139" s="9" t="inlineStr">
        <is>
          <t>Submission 919970680</t>
        </is>
      </c>
      <c r="N139" s="4" t="inlineStr">
        <is>
          <t>Yes</t>
        </is>
      </c>
    </row>
    <row r="140">
      <c r="A140" s="11" t="n">
        <v>45007.54494212963</v>
      </c>
      <c r="B140" s="4" t="inlineStr">
        <is>
          <t>2023-03</t>
        </is>
      </c>
      <c r="C140" s="4" t="n">
        <v>90</v>
      </c>
      <c r="D140" s="9" t="inlineStr">
        <is>
          <t>Subsets II</t>
        </is>
      </c>
      <c r="E140" s="4" t="inlineStr">
        <is>
          <t>Medium</t>
        </is>
      </c>
      <c r="F140" s="4" t="inlineStr">
        <is>
          <t>Backtracking</t>
        </is>
      </c>
      <c r="G140" s="4" t="inlineStr">
        <is>
          <t>Wrong Answer</t>
        </is>
      </c>
      <c r="H140" s="4" t="inlineStr">
        <is>
          <t>C++</t>
        </is>
      </c>
      <c r="I140" s="4" t="inlineStr">
        <is>
          <t>N/A</t>
        </is>
      </c>
      <c r="J140" s="4" t="inlineStr">
        <is>
          <t>N/A</t>
        </is>
      </c>
      <c r="K140" s="4" t="n"/>
      <c r="L140" s="4" t="inlineStr">
        <is>
          <t>15/20</t>
        </is>
      </c>
      <c r="M140" s="9" t="inlineStr">
        <is>
          <t>Submission 919983739</t>
        </is>
      </c>
      <c r="N140" s="4" t="inlineStr">
        <is>
          <t>Yes</t>
        </is>
      </c>
    </row>
    <row r="141">
      <c r="A141" s="11" t="n">
        <v>45007.54541666667</v>
      </c>
      <c r="B141" s="4" t="inlineStr">
        <is>
          <t>2023-03</t>
        </is>
      </c>
      <c r="C141" s="4" t="n">
        <v>90</v>
      </c>
      <c r="D141" s="9" t="inlineStr">
        <is>
          <t>Subsets II</t>
        </is>
      </c>
      <c r="E141" s="4" t="inlineStr">
        <is>
          <t>Medium</t>
        </is>
      </c>
      <c r="F141" s="4" t="inlineStr">
        <is>
          <t>Backtracking</t>
        </is>
      </c>
      <c r="G141" s="4" t="inlineStr">
        <is>
          <t>Accepted</t>
        </is>
      </c>
      <c r="H141" s="4" t="inlineStr">
        <is>
          <t>C++</t>
        </is>
      </c>
      <c r="I141" s="4" t="inlineStr">
        <is>
          <t>0 ms</t>
        </is>
      </c>
      <c r="J141" s="4" t="inlineStr">
        <is>
          <t>7.9 MB</t>
        </is>
      </c>
      <c r="K141" s="4" t="n">
        <v>100</v>
      </c>
      <c r="L141" s="4" t="inlineStr">
        <is>
          <t>20/20</t>
        </is>
      </c>
      <c r="M141" s="9" t="inlineStr">
        <is>
          <t>Submission 919984029</t>
        </is>
      </c>
      <c r="N141" s="4" t="inlineStr">
        <is>
          <t>Yes</t>
        </is>
      </c>
    </row>
    <row r="142">
      <c r="A142" s="11" t="n">
        <v>45007.56688657407</v>
      </c>
      <c r="B142" s="4" t="inlineStr">
        <is>
          <t>2023-03</t>
        </is>
      </c>
      <c r="C142" s="4" t="n">
        <v>46</v>
      </c>
      <c r="D142" s="9" t="inlineStr">
        <is>
          <t>Permutations</t>
        </is>
      </c>
      <c r="E142" s="4" t="inlineStr">
        <is>
          <t>Medium</t>
        </is>
      </c>
      <c r="F142" s="4" t="inlineStr">
        <is>
          <t>Backtracking</t>
        </is>
      </c>
      <c r="G142" s="4" t="inlineStr">
        <is>
          <t>Accepted</t>
        </is>
      </c>
      <c r="H142" s="4" t="inlineStr">
        <is>
          <t>C++</t>
        </is>
      </c>
      <c r="I142" s="4" t="inlineStr">
        <is>
          <t>4 ms</t>
        </is>
      </c>
      <c r="J142" s="4" t="inlineStr">
        <is>
          <t>8 MB</t>
        </is>
      </c>
      <c r="K142" s="4" t="n">
        <v>9.4</v>
      </c>
      <c r="L142" s="4" t="inlineStr">
        <is>
          <t>26/26</t>
        </is>
      </c>
      <c r="M142" s="9" t="inlineStr">
        <is>
          <t>Submission 919996508</t>
        </is>
      </c>
      <c r="N142" s="4" t="inlineStr">
        <is>
          <t>Yes</t>
        </is>
      </c>
    </row>
    <row r="143">
      <c r="A143" s="11" t="n">
        <v>45007.5738425926</v>
      </c>
      <c r="B143" s="4" t="inlineStr">
        <is>
          <t>2023-03</t>
        </is>
      </c>
      <c r="C143" s="4" t="n">
        <v>47</v>
      </c>
      <c r="D143" s="9" t="inlineStr">
        <is>
          <t>Permutations II</t>
        </is>
      </c>
      <c r="E143" s="4" t="inlineStr">
        <is>
          <t>Medium</t>
        </is>
      </c>
      <c r="F143" s="4" t="inlineStr">
        <is>
          <t>Backtracking</t>
        </is>
      </c>
      <c r="G143" s="4" t="inlineStr">
        <is>
          <t>Wrong Answer</t>
        </is>
      </c>
      <c r="H143" s="4" t="inlineStr">
        <is>
          <t>C++</t>
        </is>
      </c>
      <c r="I143" s="4" t="inlineStr">
        <is>
          <t>N/A</t>
        </is>
      </c>
      <c r="J143" s="4" t="inlineStr">
        <is>
          <t>N/A</t>
        </is>
      </c>
      <c r="K143" s="4" t="n"/>
      <c r="L143" s="4" t="inlineStr">
        <is>
          <t>17/33</t>
        </is>
      </c>
      <c r="M143" s="9" t="inlineStr">
        <is>
          <t>Submission 920000533</t>
        </is>
      </c>
      <c r="N143" s="4" t="inlineStr">
        <is>
          <t>Yes</t>
        </is>
      </c>
    </row>
    <row r="144">
      <c r="A144" s="11" t="n">
        <v>45007.57434027778</v>
      </c>
      <c r="B144" s="4" t="inlineStr">
        <is>
          <t>2023-03</t>
        </is>
      </c>
      <c r="C144" s="4" t="n">
        <v>47</v>
      </c>
      <c r="D144" s="9" t="inlineStr">
        <is>
          <t>Permutations II</t>
        </is>
      </c>
      <c r="E144" s="4" t="inlineStr">
        <is>
          <t>Medium</t>
        </is>
      </c>
      <c r="F144" s="4" t="inlineStr">
        <is>
          <t>Backtracking</t>
        </is>
      </c>
      <c r="G144" s="4" t="inlineStr">
        <is>
          <t>Accepted</t>
        </is>
      </c>
      <c r="H144" s="4" t="inlineStr">
        <is>
          <t>C++</t>
        </is>
      </c>
      <c r="I144" s="4" t="inlineStr">
        <is>
          <t>7 ms</t>
        </is>
      </c>
      <c r="J144" s="4" t="inlineStr">
        <is>
          <t>9.1 MB</t>
        </is>
      </c>
      <c r="K144" s="4" t="n">
        <v>27.4</v>
      </c>
      <c r="L144" s="4" t="inlineStr">
        <is>
          <t>33/33</t>
        </is>
      </c>
      <c r="M144" s="9" t="inlineStr">
        <is>
          <t>Submission 920000773</t>
        </is>
      </c>
      <c r="N144" s="4" t="inlineStr">
        <is>
          <t>Yes</t>
        </is>
      </c>
    </row>
    <row r="145">
      <c r="A145" s="11" t="n">
        <v>45007.7759375</v>
      </c>
      <c r="B145" s="4" t="inlineStr">
        <is>
          <t>2023-03</t>
        </is>
      </c>
      <c r="C145" s="4" t="n">
        <v>127</v>
      </c>
      <c r="D145" s="9" t="inlineStr">
        <is>
          <t>Word Ladder</t>
        </is>
      </c>
      <c r="E145" s="4" t="inlineStr">
        <is>
          <t>Hard</t>
        </is>
      </c>
      <c r="F145" s="4" t="inlineStr">
        <is>
          <t>Graph: General BFS/DFS</t>
        </is>
      </c>
      <c r="G145" s="4" t="inlineStr">
        <is>
          <t>Accepted</t>
        </is>
      </c>
      <c r="H145" s="4" t="inlineStr">
        <is>
          <t>C++</t>
        </is>
      </c>
      <c r="I145" s="4" t="inlineStr">
        <is>
          <t>592 ms</t>
        </is>
      </c>
      <c r="J145" s="4" t="inlineStr">
        <is>
          <t>270.4 MB</t>
        </is>
      </c>
      <c r="K145" s="4" t="n">
        <v>13.5</v>
      </c>
      <c r="L145" s="4" t="inlineStr">
        <is>
          <t>50/50</t>
        </is>
      </c>
      <c r="M145" s="9" t="inlineStr">
        <is>
          <t>Submission 920118983</t>
        </is>
      </c>
      <c r="N145" s="4" t="inlineStr">
        <is>
          <t>Yes</t>
        </is>
      </c>
    </row>
    <row r="146">
      <c r="A146" s="11" t="n">
        <v>45007.78945601852</v>
      </c>
      <c r="B146" s="4" t="inlineStr">
        <is>
          <t>2023-03</t>
        </is>
      </c>
      <c r="C146" s="4" t="n">
        <v>127</v>
      </c>
      <c r="D146" s="9" t="inlineStr">
        <is>
          <t>Word Ladder</t>
        </is>
      </c>
      <c r="E146" s="4" t="inlineStr">
        <is>
          <t>Hard</t>
        </is>
      </c>
      <c r="F146" s="4" t="inlineStr">
        <is>
          <t>Graph: General BFS/DFS</t>
        </is>
      </c>
      <c r="G146" s="4" t="inlineStr">
        <is>
          <t>Accepted</t>
        </is>
      </c>
      <c r="H146" s="4" t="inlineStr">
        <is>
          <t>C++</t>
        </is>
      </c>
      <c r="I146" s="4" t="inlineStr">
        <is>
          <t>587 ms</t>
        </is>
      </c>
      <c r="J146" s="4" t="inlineStr">
        <is>
          <t>197.9 MB</t>
        </is>
      </c>
      <c r="K146" s="4" t="n">
        <v>13.6</v>
      </c>
      <c r="L146" s="4" t="inlineStr">
        <is>
          <t>50/50</t>
        </is>
      </c>
      <c r="M146" s="9" t="inlineStr">
        <is>
          <t>Submission 920128078</t>
        </is>
      </c>
      <c r="N146" s="4" t="inlineStr">
        <is>
          <t>Yes</t>
        </is>
      </c>
    </row>
    <row r="147">
      <c r="A147" s="11" t="n">
        <v>45007.83042824074</v>
      </c>
      <c r="B147" s="4" t="inlineStr">
        <is>
          <t>2023-03</t>
        </is>
      </c>
      <c r="C147" s="4" t="n">
        <v>126</v>
      </c>
      <c r="D147" s="9" t="inlineStr">
        <is>
          <t>Word Ladder II</t>
        </is>
      </c>
      <c r="E147" s="4" t="inlineStr">
        <is>
          <t>Hard</t>
        </is>
      </c>
      <c r="F147" s="4" t="inlineStr">
        <is>
          <t>Graph: General BFS/DFS</t>
        </is>
      </c>
      <c r="G147" s="4" t="inlineStr">
        <is>
          <t>Time Limit Exceeded</t>
        </is>
      </c>
      <c r="H147" s="4" t="inlineStr">
        <is>
          <t>C++</t>
        </is>
      </c>
      <c r="I147" s="4" t="inlineStr">
        <is>
          <t>N/A</t>
        </is>
      </c>
      <c r="J147" s="4" t="inlineStr">
        <is>
          <t>N/A</t>
        </is>
      </c>
      <c r="K147" s="4" t="n"/>
      <c r="L147" s="4" t="inlineStr">
        <is>
          <t>0/36</t>
        </is>
      </c>
      <c r="M147" s="9" t="inlineStr">
        <is>
          <t>Submission 920159508</t>
        </is>
      </c>
      <c r="N147" s="4" t="inlineStr">
        <is>
          <t>Yes</t>
        </is>
      </c>
    </row>
    <row r="148">
      <c r="A148" s="11" t="n">
        <v>45007.8328125</v>
      </c>
      <c r="B148" s="4" t="inlineStr">
        <is>
          <t>2023-03</t>
        </is>
      </c>
      <c r="C148" s="4" t="n">
        <v>126</v>
      </c>
      <c r="D148" s="9" t="inlineStr">
        <is>
          <t>Word Ladder II</t>
        </is>
      </c>
      <c r="E148" s="4" t="inlineStr">
        <is>
          <t>Hard</t>
        </is>
      </c>
      <c r="F148" s="4" t="inlineStr">
        <is>
          <t>Graph: General BFS/DFS</t>
        </is>
      </c>
      <c r="G148" s="4" t="inlineStr">
        <is>
          <t>Accepted</t>
        </is>
      </c>
      <c r="H148" s="4" t="inlineStr">
        <is>
          <t>C++</t>
        </is>
      </c>
      <c r="I148" s="4" t="inlineStr">
        <is>
          <t>64 ms</t>
        </is>
      </c>
      <c r="J148" s="4" t="inlineStr">
        <is>
          <t>10.9 MB</t>
        </is>
      </c>
      <c r="K148" s="4" t="n">
        <v>5</v>
      </c>
      <c r="L148" s="4" t="inlineStr">
        <is>
          <t>36/36</t>
        </is>
      </c>
      <c r="M148" s="9" t="inlineStr">
        <is>
          <t>Submission 920161455</t>
        </is>
      </c>
      <c r="N148" s="4" t="inlineStr">
        <is>
          <t>Yes</t>
        </is>
      </c>
    </row>
    <row r="149">
      <c r="A149" s="11" t="n">
        <v>45007.83388888889</v>
      </c>
      <c r="B149" s="4" t="inlineStr">
        <is>
          <t>2023-03</t>
        </is>
      </c>
      <c r="C149" s="4" t="n">
        <v>126</v>
      </c>
      <c r="D149" s="9" t="inlineStr">
        <is>
          <t>Word Ladder II</t>
        </is>
      </c>
      <c r="E149" s="4" t="inlineStr">
        <is>
          <t>Hard</t>
        </is>
      </c>
      <c r="F149" s="4" t="inlineStr">
        <is>
          <t>Graph: General BFS/DFS</t>
        </is>
      </c>
      <c r="G149" s="4" t="inlineStr">
        <is>
          <t>Accepted</t>
        </is>
      </c>
      <c r="H149" s="4" t="inlineStr">
        <is>
          <t>C++</t>
        </is>
      </c>
      <c r="I149" s="4" t="inlineStr">
        <is>
          <t>63 ms</t>
        </is>
      </c>
      <c r="J149" s="4" t="inlineStr">
        <is>
          <t>10.9 MB</t>
        </is>
      </c>
      <c r="K149" s="4" t="n">
        <v>5</v>
      </c>
      <c r="L149" s="4" t="inlineStr">
        <is>
          <t>36/36</t>
        </is>
      </c>
      <c r="M149" s="9" t="inlineStr">
        <is>
          <t>Submission 920162321</t>
        </is>
      </c>
      <c r="N149" s="4" t="inlineStr">
        <is>
          <t>Yes</t>
        </is>
      </c>
    </row>
    <row r="150">
      <c r="A150" s="11" t="n">
        <v>45007.87917824074</v>
      </c>
      <c r="B150" s="4" t="inlineStr">
        <is>
          <t>2023-03</t>
        </is>
      </c>
      <c r="C150" s="4" t="n">
        <v>1</v>
      </c>
      <c r="D150" s="9" t="inlineStr">
        <is>
          <t>Two Sum</t>
        </is>
      </c>
      <c r="E150" s="4" t="inlineStr">
        <is>
          <t>Easy</t>
        </is>
      </c>
      <c r="F150" s="4" t="inlineStr">
        <is>
          <t>Arrays, Hashing &amp; Sorting</t>
        </is>
      </c>
      <c r="G150" s="4" t="inlineStr">
        <is>
          <t>Accepted</t>
        </is>
      </c>
      <c r="H150" s="4" t="inlineStr">
        <is>
          <t>C++</t>
        </is>
      </c>
      <c r="I150" s="4" t="inlineStr">
        <is>
          <t>15 ms</t>
        </is>
      </c>
      <c r="J150" s="4" t="inlineStr">
        <is>
          <t>11 MB</t>
        </is>
      </c>
      <c r="K150" s="4" t="n">
        <v>39.3</v>
      </c>
      <c r="L150" s="4" t="inlineStr">
        <is>
          <t>57/57</t>
        </is>
      </c>
      <c r="M150" s="9" t="inlineStr">
        <is>
          <t>Submission 920196208</t>
        </is>
      </c>
      <c r="N150" s="4" t="inlineStr">
        <is>
          <t>Yes</t>
        </is>
      </c>
    </row>
    <row r="151">
      <c r="A151" s="11" t="n">
        <v>45007.87934027778</v>
      </c>
      <c r="B151" s="4" t="inlineStr">
        <is>
          <t>2023-03</t>
        </is>
      </c>
      <c r="C151" s="4" t="n">
        <v>34</v>
      </c>
      <c r="D151" s="9" t="inlineStr">
        <is>
          <t>Find First and Last Position of Element in Sorted Array</t>
        </is>
      </c>
      <c r="E151" s="4" t="inlineStr">
        <is>
          <t>Medium</t>
        </is>
      </c>
      <c r="F151" s="4" t="inlineStr">
        <is>
          <t>Binary Search</t>
        </is>
      </c>
      <c r="G151" s="4" t="inlineStr">
        <is>
          <t>Accepted</t>
        </is>
      </c>
      <c r="H151" s="4" t="inlineStr">
        <is>
          <t>C++</t>
        </is>
      </c>
      <c r="I151" s="4" t="inlineStr">
        <is>
          <t>10 ms</t>
        </is>
      </c>
      <c r="J151" s="4" t="inlineStr">
        <is>
          <t>13.7 MB</t>
        </is>
      </c>
      <c r="K151" s="4" t="n">
        <v>0</v>
      </c>
      <c r="L151" s="4" t="inlineStr">
        <is>
          <t>88/88</t>
        </is>
      </c>
      <c r="M151" s="9" t="inlineStr">
        <is>
          <t>Submission 920196302</t>
        </is>
      </c>
      <c r="N151" s="4" t="inlineStr">
        <is>
          <t>Yes</t>
        </is>
      </c>
    </row>
    <row r="152">
      <c r="A152" s="11" t="n">
        <v>45007.87950231481</v>
      </c>
      <c r="B152" s="4" t="inlineStr">
        <is>
          <t>2023-03</t>
        </is>
      </c>
      <c r="C152" s="4" t="n">
        <v>49</v>
      </c>
      <c r="D152" s="9" t="inlineStr">
        <is>
          <t>Group Anagrams</t>
        </is>
      </c>
      <c r="E152" s="4" t="inlineStr">
        <is>
          <t>Medium</t>
        </is>
      </c>
      <c r="F152" s="4" t="inlineStr">
        <is>
          <t>Arrays, Hashing &amp; Sorting</t>
        </is>
      </c>
      <c r="G152" s="4" t="inlineStr">
        <is>
          <t>Accepted</t>
        </is>
      </c>
      <c r="H152" s="4" t="inlineStr">
        <is>
          <t>C++</t>
        </is>
      </c>
      <c r="I152" s="4" t="inlineStr">
        <is>
          <t>36 ms</t>
        </is>
      </c>
      <c r="J152" s="4" t="inlineStr">
        <is>
          <t>20.8 MB</t>
        </is>
      </c>
      <c r="K152" s="4" t="n">
        <v>17.7</v>
      </c>
      <c r="L152" s="4" t="inlineStr">
        <is>
          <t>118/118</t>
        </is>
      </c>
      <c r="M152" s="9" t="inlineStr">
        <is>
          <t>Submission 920196438</t>
        </is>
      </c>
      <c r="N152" s="4" t="inlineStr">
        <is>
          <t>Yes</t>
        </is>
      </c>
    </row>
    <row r="153">
      <c r="A153" s="11" t="n">
        <v>45007.87960648148</v>
      </c>
      <c r="B153" s="4" t="inlineStr">
        <is>
          <t>2023-03</t>
        </is>
      </c>
      <c r="C153" s="4" t="n">
        <v>68</v>
      </c>
      <c r="D153" s="9" t="inlineStr">
        <is>
          <t>Text Justification</t>
        </is>
      </c>
      <c r="E153" s="4" t="inlineStr">
        <is>
          <t>Hard</t>
        </is>
      </c>
      <c r="F153" s="4" t="inlineStr">
        <is>
          <t>Strings &amp; Simulation</t>
        </is>
      </c>
      <c r="G153" s="4" t="inlineStr">
        <is>
          <t>Accepted</t>
        </is>
      </c>
      <c r="H153" s="4" t="inlineStr">
        <is>
          <t>C++</t>
        </is>
      </c>
      <c r="I153" s="4" t="inlineStr">
        <is>
          <t>0 ms</t>
        </is>
      </c>
      <c r="J153" s="4" t="inlineStr">
        <is>
          <t>7.4 MB</t>
        </is>
      </c>
      <c r="K153" s="4" t="n">
        <v>100</v>
      </c>
      <c r="L153" s="4" t="inlineStr">
        <is>
          <t>27/27</t>
        </is>
      </c>
      <c r="M153" s="9" t="inlineStr">
        <is>
          <t>Submission 920196506</t>
        </is>
      </c>
      <c r="N153" s="4" t="inlineStr">
        <is>
          <t>Yes</t>
        </is>
      </c>
    </row>
    <row r="154">
      <c r="A154" s="11" t="n">
        <v>45007.87975694444</v>
      </c>
      <c r="B154" s="4" t="inlineStr">
        <is>
          <t>2023-03</t>
        </is>
      </c>
      <c r="C154" s="4" t="n">
        <v>76</v>
      </c>
      <c r="D154" s="9" t="inlineStr">
        <is>
          <t>Minimum Window Substring</t>
        </is>
      </c>
      <c r="E154" s="4" t="inlineStr">
        <is>
          <t>Hard</t>
        </is>
      </c>
      <c r="F154" s="4" t="inlineStr">
        <is>
          <t>Sliding Window</t>
        </is>
      </c>
      <c r="G154" s="4" t="inlineStr">
        <is>
          <t>Accepted</t>
        </is>
      </c>
      <c r="H154" s="4" t="inlineStr">
        <is>
          <t>C++</t>
        </is>
      </c>
      <c r="I154" s="4" t="inlineStr">
        <is>
          <t>59 ms</t>
        </is>
      </c>
      <c r="J154" s="4" t="inlineStr">
        <is>
          <t>8.6 MB</t>
        </is>
      </c>
      <c r="K154" s="4" t="n">
        <v>11.6</v>
      </c>
      <c r="L154" s="4" t="inlineStr">
        <is>
          <t>267/267</t>
        </is>
      </c>
      <c r="M154" s="9" t="inlineStr">
        <is>
          <t>Submission 920196602</t>
        </is>
      </c>
      <c r="N154" s="4" t="inlineStr">
        <is>
          <t>Yes</t>
        </is>
      </c>
    </row>
    <row r="155">
      <c r="A155" s="11" t="n">
        <v>45007.91787037037</v>
      </c>
      <c r="B155" s="4" t="inlineStr">
        <is>
          <t>2023-03</t>
        </is>
      </c>
      <c r="C155" s="4" t="n">
        <v>200</v>
      </c>
      <c r="D155" s="9" t="inlineStr">
        <is>
          <t>Number of Islands</t>
        </is>
      </c>
      <c r="E155" s="4" t="inlineStr">
        <is>
          <t>Medium</t>
        </is>
      </c>
      <c r="F155" s="4" t="inlineStr">
        <is>
          <t>Graph: Grid BFS/DFS</t>
        </is>
      </c>
      <c r="G155" s="4" t="inlineStr">
        <is>
          <t>Compile Error</t>
        </is>
      </c>
      <c r="H155" s="4" t="inlineStr">
        <is>
          <t>C++</t>
        </is>
      </c>
      <c r="I155" s="4" t="inlineStr">
        <is>
          <t>N/A</t>
        </is>
      </c>
      <c r="J155" s="4" t="inlineStr">
        <is>
          <t>N/A</t>
        </is>
      </c>
      <c r="K155" s="4" t="n"/>
      <c r="L155" s="4" t="inlineStr"/>
      <c r="M155" s="9" t="inlineStr">
        <is>
          <t>Submission 920225256</t>
        </is>
      </c>
      <c r="N155" s="4" t="inlineStr">
        <is>
          <t>Yes</t>
        </is>
      </c>
    </row>
    <row r="156">
      <c r="A156" s="11" t="n">
        <v>45007.9182175926</v>
      </c>
      <c r="B156" s="4" t="inlineStr">
        <is>
          <t>2023-03</t>
        </is>
      </c>
      <c r="C156" s="4" t="n">
        <v>23</v>
      </c>
      <c r="D156" s="9" t="inlineStr">
        <is>
          <t>Merge k Sorted Lists</t>
        </is>
      </c>
      <c r="E156" s="4" t="inlineStr">
        <is>
          <t>Hard</t>
        </is>
      </c>
      <c r="F156" s="4" t="inlineStr">
        <is>
          <t>Heap / Top-K</t>
        </is>
      </c>
      <c r="G156" s="4" t="inlineStr">
        <is>
          <t>Accepted</t>
        </is>
      </c>
      <c r="H156" s="4" t="inlineStr">
        <is>
          <t>C++</t>
        </is>
      </c>
      <c r="I156" s="4" t="inlineStr">
        <is>
          <t>28 ms</t>
        </is>
      </c>
      <c r="J156" s="4" t="inlineStr">
        <is>
          <t>14.5 MB</t>
        </is>
      </c>
      <c r="K156" s="4" t="n">
        <v>18.7</v>
      </c>
      <c r="L156" s="4" t="inlineStr">
        <is>
          <t>133/133</t>
        </is>
      </c>
      <c r="M156" s="9" t="inlineStr">
        <is>
          <t>Submission 920225535</t>
        </is>
      </c>
      <c r="N156" s="4" t="inlineStr">
        <is>
          <t>Yes</t>
        </is>
      </c>
    </row>
    <row r="157">
      <c r="A157" s="11" t="n">
        <v>45007.91863425926</v>
      </c>
      <c r="B157" s="4" t="inlineStr">
        <is>
          <t>2023-03</t>
        </is>
      </c>
      <c r="C157" s="4" t="n">
        <v>332</v>
      </c>
      <c r="D157" s="9" t="inlineStr">
        <is>
          <t>Reconstruct Itinerary</t>
        </is>
      </c>
      <c r="E157" s="4" t="inlineStr">
        <is>
          <t>Hard</t>
        </is>
      </c>
      <c r="F157" s="4" t="inlineStr">
        <is>
          <t>Graph: General BFS/DFS</t>
        </is>
      </c>
      <c r="G157" s="4" t="inlineStr">
        <is>
          <t>Wrong Answer</t>
        </is>
      </c>
      <c r="H157" s="4" t="inlineStr">
        <is>
          <t>C++</t>
        </is>
      </c>
      <c r="I157" s="4" t="inlineStr">
        <is>
          <t>N/A</t>
        </is>
      </c>
      <c r="J157" s="4" t="inlineStr">
        <is>
          <t>N/A</t>
        </is>
      </c>
      <c r="K157" s="4" t="n"/>
      <c r="L157" s="4" t="inlineStr">
        <is>
          <t>4/80</t>
        </is>
      </c>
      <c r="M157" s="9" t="inlineStr">
        <is>
          <t>Submission 920225879</t>
        </is>
      </c>
      <c r="N157" s="4" t="inlineStr">
        <is>
          <t>Yes</t>
        </is>
      </c>
    </row>
    <row r="158">
      <c r="A158" s="11" t="n">
        <v>45007.92015046296</v>
      </c>
      <c r="B158" s="4" t="inlineStr">
        <is>
          <t>2023-03</t>
        </is>
      </c>
      <c r="C158" s="4" t="n">
        <v>332</v>
      </c>
      <c r="D158" s="9" t="inlineStr">
        <is>
          <t>Reconstruct Itinerary</t>
        </is>
      </c>
      <c r="E158" s="4" t="inlineStr">
        <is>
          <t>Hard</t>
        </is>
      </c>
      <c r="F158" s="4" t="inlineStr">
        <is>
          <t>Graph: General BFS/DFS</t>
        </is>
      </c>
      <c r="G158" s="4" t="inlineStr">
        <is>
          <t>Wrong Answer</t>
        </is>
      </c>
      <c r="H158" s="4" t="inlineStr">
        <is>
          <t>C++</t>
        </is>
      </c>
      <c r="I158" s="4" t="inlineStr">
        <is>
          <t>N/A</t>
        </is>
      </c>
      <c r="J158" s="4" t="inlineStr">
        <is>
          <t>N/A</t>
        </is>
      </c>
      <c r="K158" s="4" t="n"/>
      <c r="L158" s="4" t="inlineStr">
        <is>
          <t>4/80</t>
        </is>
      </c>
      <c r="M158" s="9" t="inlineStr">
        <is>
          <t>Submission 920227119</t>
        </is>
      </c>
      <c r="N158" s="4" t="inlineStr">
        <is>
          <t>Yes</t>
        </is>
      </c>
    </row>
    <row r="159">
      <c r="A159" s="11" t="n">
        <v>45007.92043981481</v>
      </c>
      <c r="B159" s="4" t="inlineStr">
        <is>
          <t>2023-03</t>
        </is>
      </c>
      <c r="C159" s="4" t="n">
        <v>332</v>
      </c>
      <c r="D159" s="9" t="inlineStr">
        <is>
          <t>Reconstruct Itinerary</t>
        </is>
      </c>
      <c r="E159" s="4" t="inlineStr">
        <is>
          <t>Hard</t>
        </is>
      </c>
      <c r="F159" s="4" t="inlineStr">
        <is>
          <t>Graph: General BFS/DFS</t>
        </is>
      </c>
      <c r="G159" s="4" t="inlineStr">
        <is>
          <t>Accepted</t>
        </is>
      </c>
      <c r="H159" s="4" t="inlineStr">
        <is>
          <t>C++</t>
        </is>
      </c>
      <c r="I159" s="4" t="inlineStr">
        <is>
          <t>34 ms</t>
        </is>
      </c>
      <c r="J159" s="4" t="inlineStr">
        <is>
          <t>15.9 MB</t>
        </is>
      </c>
      <c r="K159" s="4" t="n">
        <v>5.3</v>
      </c>
      <c r="L159" s="4" t="inlineStr">
        <is>
          <t>80/80</t>
        </is>
      </c>
      <c r="M159" s="9" t="inlineStr">
        <is>
          <t>Submission 920227362</t>
        </is>
      </c>
      <c r="N159" s="4" t="inlineStr">
        <is>
          <t>Yes</t>
        </is>
      </c>
    </row>
    <row r="160">
      <c r="A160" s="11" t="n">
        <v>45007.92184027778</v>
      </c>
      <c r="B160" s="4" t="inlineStr">
        <is>
          <t>2023-03</t>
        </is>
      </c>
      <c r="C160" s="4" t="n">
        <v>399</v>
      </c>
      <c r="D160" s="9" t="inlineStr">
        <is>
          <t>Evaluate Division</t>
        </is>
      </c>
      <c r="E160" s="4" t="inlineStr">
        <is>
          <t>Medium</t>
        </is>
      </c>
      <c r="F160" s="4" t="inlineStr">
        <is>
          <t>Graph: General BFS/DFS</t>
        </is>
      </c>
      <c r="G160" s="4" t="inlineStr">
        <is>
          <t>Accepted</t>
        </is>
      </c>
      <c r="H160" s="4" t="inlineStr">
        <is>
          <t>C++</t>
        </is>
      </c>
      <c r="I160" s="4" t="inlineStr">
        <is>
          <t>0 ms</t>
        </is>
      </c>
      <c r="J160" s="4" t="inlineStr">
        <is>
          <t>8.2 MB</t>
        </is>
      </c>
      <c r="K160" s="4" t="n">
        <v>100</v>
      </c>
      <c r="L160" s="4" t="inlineStr">
        <is>
          <t>24/24</t>
        </is>
      </c>
      <c r="M160" s="9" t="inlineStr">
        <is>
          <t>Submission 920228516</t>
        </is>
      </c>
      <c r="N160" s="4" t="inlineStr">
        <is>
          <t>Yes</t>
        </is>
      </c>
    </row>
    <row r="161">
      <c r="A161" s="11" t="n">
        <v>45007.92208333333</v>
      </c>
      <c r="B161" s="4" t="inlineStr">
        <is>
          <t>2023-03</t>
        </is>
      </c>
      <c r="C161" s="4" t="n">
        <v>652</v>
      </c>
      <c r="D161" s="9" t="inlineStr">
        <is>
          <t>Find Duplicate Subtrees</t>
        </is>
      </c>
      <c r="E161" s="4" t="inlineStr">
        <is>
          <t>Medium</t>
        </is>
      </c>
      <c r="F161" s="4" t="inlineStr">
        <is>
          <t>Binary Tree (DFS &amp; Recursion)</t>
        </is>
      </c>
      <c r="G161" s="4" t="inlineStr">
        <is>
          <t>Accepted</t>
        </is>
      </c>
      <c r="H161" s="4" t="inlineStr">
        <is>
          <t>C++</t>
        </is>
      </c>
      <c r="I161" s="4" t="inlineStr">
        <is>
          <t>56 ms</t>
        </is>
      </c>
      <c r="J161" s="4" t="inlineStr">
        <is>
          <t>63.2 MB</t>
        </is>
      </c>
      <c r="K161" s="4" t="n">
        <v>5</v>
      </c>
      <c r="L161" s="4" t="inlineStr">
        <is>
          <t>175/175</t>
        </is>
      </c>
      <c r="M161" s="9" t="inlineStr">
        <is>
          <t>Submission 920228711</t>
        </is>
      </c>
      <c r="N161" s="4" t="inlineStr">
        <is>
          <t>Yes</t>
        </is>
      </c>
    </row>
    <row r="162">
      <c r="A162" s="11" t="n">
        <v>45007.92246527778</v>
      </c>
      <c r="B162" s="4" t="inlineStr">
        <is>
          <t>2023-03</t>
        </is>
      </c>
      <c r="C162" s="4" t="n">
        <v>42</v>
      </c>
      <c r="D162" s="9" t="inlineStr">
        <is>
          <t>Trapping Rain Water</t>
        </is>
      </c>
      <c r="E162" s="4" t="inlineStr">
        <is>
          <t>Hard</t>
        </is>
      </c>
      <c r="F162" s="4" t="inlineStr">
        <is>
          <t>Two Pointers</t>
        </is>
      </c>
      <c r="G162" s="4" t="inlineStr">
        <is>
          <t>Accepted</t>
        </is>
      </c>
      <c r="H162" s="4" t="inlineStr">
        <is>
          <t>C++</t>
        </is>
      </c>
      <c r="I162" s="4" t="inlineStr">
        <is>
          <t>11 ms</t>
        </is>
      </c>
      <c r="J162" s="4" t="inlineStr">
        <is>
          <t>19.8 MB</t>
        </is>
      </c>
      <c r="K162" s="4" t="n">
        <v>4.7</v>
      </c>
      <c r="L162" s="4" t="inlineStr">
        <is>
          <t>322/322</t>
        </is>
      </c>
      <c r="M162" s="9" t="inlineStr">
        <is>
          <t>Submission 920228993</t>
        </is>
      </c>
      <c r="N162" s="4" t="inlineStr">
        <is>
          <t>Yes</t>
        </is>
      </c>
    </row>
    <row r="163">
      <c r="A163" s="11" t="n">
        <v>45007.92269675926</v>
      </c>
      <c r="B163" s="4" t="inlineStr">
        <is>
          <t>2023-03</t>
        </is>
      </c>
      <c r="C163" s="4" t="n">
        <v>253</v>
      </c>
      <c r="D163" s="9" t="inlineStr">
        <is>
          <t>Meeting Rooms II</t>
        </is>
      </c>
      <c r="E163" s="4" t="inlineStr">
        <is>
          <t>Medium</t>
        </is>
      </c>
      <c r="F163" s="4" t="inlineStr">
        <is>
          <t>Intervals &amp; Sweep Line</t>
        </is>
      </c>
      <c r="G163" s="4" t="inlineStr">
        <is>
          <t>Accepted</t>
        </is>
      </c>
      <c r="H163" s="4" t="inlineStr">
        <is>
          <t>C++</t>
        </is>
      </c>
      <c r="I163" s="4" t="inlineStr">
        <is>
          <t>11 ms</t>
        </is>
      </c>
      <c r="J163" s="4" t="inlineStr">
        <is>
          <t>11.9 MB</t>
        </is>
      </c>
      <c r="K163" s="4" t="n">
        <v>9.800000000000001</v>
      </c>
      <c r="L163" s="4" t="inlineStr">
        <is>
          <t>78/78</t>
        </is>
      </c>
      <c r="M163" s="9" t="inlineStr">
        <is>
          <t>Submission 920229186</t>
        </is>
      </c>
      <c r="N163" s="4" t="inlineStr">
        <is>
          <t>Yes</t>
        </is>
      </c>
    </row>
    <row r="164">
      <c r="A164" s="11" t="n">
        <v>45007.92282407408</v>
      </c>
      <c r="B164" s="4" t="inlineStr">
        <is>
          <t>2023-03</t>
        </is>
      </c>
      <c r="C164" s="4" t="n">
        <v>621</v>
      </c>
      <c r="D164" s="9" t="inlineStr">
        <is>
          <t>Task Scheduler</t>
        </is>
      </c>
      <c r="E164" s="4" t="inlineStr">
        <is>
          <t>Medium</t>
        </is>
      </c>
      <c r="F164" s="4" t="inlineStr">
        <is>
          <t>Greedy</t>
        </is>
      </c>
      <c r="G164" s="4" t="inlineStr">
        <is>
          <t>Accepted</t>
        </is>
      </c>
      <c r="H164" s="4" t="inlineStr">
        <is>
          <t>C++</t>
        </is>
      </c>
      <c r="I164" s="4" t="inlineStr">
        <is>
          <t>65 ms</t>
        </is>
      </c>
      <c r="J164" s="4" t="inlineStr">
        <is>
          <t>34.5 MB</t>
        </is>
      </c>
      <c r="K164" s="4" t="n">
        <v>7.3</v>
      </c>
      <c r="L164" s="4" t="inlineStr">
        <is>
          <t>71/71</t>
        </is>
      </c>
      <c r="M164" s="9" t="inlineStr">
        <is>
          <t>Submission 920229298</t>
        </is>
      </c>
      <c r="N164" s="4" t="inlineStr">
        <is>
          <t>Yes</t>
        </is>
      </c>
    </row>
    <row r="165">
      <c r="A165" s="11" t="n">
        <v>45007.92297453704</v>
      </c>
      <c r="B165" s="4" t="inlineStr">
        <is>
          <t>2023-03</t>
        </is>
      </c>
      <c r="C165" s="4" t="n">
        <v>636</v>
      </c>
      <c r="D165" s="9" t="inlineStr">
        <is>
          <t>Exclusive Time of Functions</t>
        </is>
      </c>
      <c r="E165" s="4" t="inlineStr">
        <is>
          <t>Medium</t>
        </is>
      </c>
      <c r="F165" s="4" t="inlineStr">
        <is>
          <t>Stack</t>
        </is>
      </c>
      <c r="G165" s="4" t="inlineStr">
        <is>
          <t>Accepted</t>
        </is>
      </c>
      <c r="H165" s="4" t="inlineStr">
        <is>
          <t>C++</t>
        </is>
      </c>
      <c r="I165" s="4" t="inlineStr">
        <is>
          <t>25 ms</t>
        </is>
      </c>
      <c r="J165" s="4" t="inlineStr">
        <is>
          <t>13.2 MB</t>
        </is>
      </c>
      <c r="K165" s="4" t="n">
        <v>8.4</v>
      </c>
      <c r="L165" s="4" t="inlineStr">
        <is>
          <t>120/120</t>
        </is>
      </c>
      <c r="M165" s="9" t="inlineStr">
        <is>
          <t>Submission 920229426</t>
        </is>
      </c>
      <c r="N165" s="4" t="inlineStr">
        <is>
          <t>Yes</t>
        </is>
      </c>
    </row>
    <row r="166">
      <c r="A166" s="11" t="n">
        <v>45007.92320601852</v>
      </c>
      <c r="B166" s="4" t="inlineStr">
        <is>
          <t>2023-03</t>
        </is>
      </c>
      <c r="C166" s="4" t="n">
        <v>759</v>
      </c>
      <c r="D166" s="9" t="inlineStr">
        <is>
          <t>Employee Free Time</t>
        </is>
      </c>
      <c r="E166" s="4" t="inlineStr">
        <is>
          <t>Hard</t>
        </is>
      </c>
      <c r="F166" s="4" t="inlineStr">
        <is>
          <t>Intervals &amp; Sweep Line</t>
        </is>
      </c>
      <c r="G166" s="4" t="inlineStr">
        <is>
          <t>Accepted</t>
        </is>
      </c>
      <c r="H166" s="4" t="inlineStr">
        <is>
          <t>C++</t>
        </is>
      </c>
      <c r="I166" s="4" t="inlineStr">
        <is>
          <t>41 ms</t>
        </is>
      </c>
      <c r="J166" s="4" t="inlineStr">
        <is>
          <t>9.9 MB</t>
        </is>
      </c>
      <c r="K166" s="4" t="n">
        <v>5.2</v>
      </c>
      <c r="L166" s="4" t="inlineStr">
        <is>
          <t>52/52</t>
        </is>
      </c>
      <c r="M166" s="9" t="inlineStr">
        <is>
          <t>Submission 920229589</t>
        </is>
      </c>
      <c r="N166" s="4" t="inlineStr">
        <is>
          <t>Yes</t>
        </is>
      </c>
    </row>
    <row r="167">
      <c r="A167" s="11" t="n">
        <v>45007.92349537037</v>
      </c>
      <c r="B167" s="4" t="inlineStr">
        <is>
          <t>2023-03</t>
        </is>
      </c>
      <c r="C167" s="4" t="n">
        <v>17</v>
      </c>
      <c r="D167" s="9" t="inlineStr">
        <is>
          <t>Letter Combinations of a Phone Number</t>
        </is>
      </c>
      <c r="E167" s="4" t="inlineStr">
        <is>
          <t>Medium</t>
        </is>
      </c>
      <c r="F167" s="4" t="inlineStr">
        <is>
          <t>Backtracking</t>
        </is>
      </c>
      <c r="G167" s="4" t="inlineStr">
        <is>
          <t>Accepted</t>
        </is>
      </c>
      <c r="H167" s="4" t="inlineStr">
        <is>
          <t>C++</t>
        </is>
      </c>
      <c r="I167" s="4" t="inlineStr">
        <is>
          <t>0 ms</t>
        </is>
      </c>
      <c r="J167" s="4" t="inlineStr">
        <is>
          <t>6.6 MB</t>
        </is>
      </c>
      <c r="K167" s="4" t="n">
        <v>100</v>
      </c>
      <c r="L167" s="4" t="inlineStr">
        <is>
          <t>25/25</t>
        </is>
      </c>
      <c r="M167" s="9" t="inlineStr">
        <is>
          <t>Submission 920229842</t>
        </is>
      </c>
      <c r="N167" s="4" t="inlineStr">
        <is>
          <t>Yes</t>
        </is>
      </c>
    </row>
    <row r="168">
      <c r="A168" s="11" t="n">
        <v>45007.92362268519</v>
      </c>
      <c r="B168" s="4" t="inlineStr">
        <is>
          <t>2023-03</t>
        </is>
      </c>
      <c r="C168" s="4" t="n">
        <v>78</v>
      </c>
      <c r="D168" s="9" t="inlineStr">
        <is>
          <t>Subsets</t>
        </is>
      </c>
      <c r="E168" s="4" t="inlineStr">
        <is>
          <t>Medium</t>
        </is>
      </c>
      <c r="F168" s="4" t="inlineStr">
        <is>
          <t>Backtracking</t>
        </is>
      </c>
      <c r="G168" s="4" t="inlineStr">
        <is>
          <t>Accepted</t>
        </is>
      </c>
      <c r="H168" s="4" t="inlineStr">
        <is>
          <t>C++</t>
        </is>
      </c>
      <c r="I168" s="4" t="inlineStr">
        <is>
          <t>5 ms</t>
        </is>
      </c>
      <c r="J168" s="4" t="inlineStr">
        <is>
          <t>16 MB</t>
        </is>
      </c>
      <c r="K168" s="4" t="n">
        <v>5.3</v>
      </c>
      <c r="L168" s="4" t="inlineStr">
        <is>
          <t>10/10</t>
        </is>
      </c>
      <c r="M168" s="9" t="inlineStr">
        <is>
          <t>Submission 920229956</t>
        </is>
      </c>
      <c r="N168" s="4" t="inlineStr">
        <is>
          <t>Yes</t>
        </is>
      </c>
    </row>
    <row r="169">
      <c r="A169" s="11" t="n">
        <v>45007.92376157407</v>
      </c>
      <c r="B169" s="4" t="inlineStr">
        <is>
          <t>2023-03</t>
        </is>
      </c>
      <c r="C169" s="4" t="n">
        <v>56</v>
      </c>
      <c r="D169" s="9" t="inlineStr">
        <is>
          <t>Merge Intervals</t>
        </is>
      </c>
      <c r="E169" s="4" t="inlineStr">
        <is>
          <t>Medium</t>
        </is>
      </c>
      <c r="F169" s="4" t="inlineStr">
        <is>
          <t>Intervals &amp; Sweep Line</t>
        </is>
      </c>
      <c r="G169" s="4" t="inlineStr">
        <is>
          <t>Accepted</t>
        </is>
      </c>
      <c r="H169" s="4" t="inlineStr">
        <is>
          <t>C++</t>
        </is>
      </c>
      <c r="I169" s="4" t="inlineStr">
        <is>
          <t>43 ms</t>
        </is>
      </c>
      <c r="J169" s="4" t="inlineStr">
        <is>
          <t>20 MB</t>
        </is>
      </c>
      <c r="K169" s="4" t="n">
        <v>5.1</v>
      </c>
      <c r="L169" s="4" t="inlineStr">
        <is>
          <t>170/170</t>
        </is>
      </c>
      <c r="M169" s="9" t="inlineStr">
        <is>
          <t>Submission 920230058</t>
        </is>
      </c>
      <c r="N169" s="4" t="inlineStr">
        <is>
          <t>Yes</t>
        </is>
      </c>
    </row>
    <row r="170">
      <c r="A170" s="11" t="n">
        <v>45007.92388888889</v>
      </c>
      <c r="B170" s="4" t="inlineStr">
        <is>
          <t>2023-03</t>
        </is>
      </c>
      <c r="C170" s="4" t="n">
        <v>126</v>
      </c>
      <c r="D170" s="9" t="inlineStr">
        <is>
          <t>Word Ladder II</t>
        </is>
      </c>
      <c r="E170" s="4" t="inlineStr">
        <is>
          <t>Hard</t>
        </is>
      </c>
      <c r="F170" s="4" t="inlineStr">
        <is>
          <t>Graph: General BFS/DFS</t>
        </is>
      </c>
      <c r="G170" s="4" t="inlineStr">
        <is>
          <t>Accepted</t>
        </is>
      </c>
      <c r="H170" s="4" t="inlineStr">
        <is>
          <t>C++</t>
        </is>
      </c>
      <c r="I170" s="4" t="inlineStr">
        <is>
          <t>67 ms</t>
        </is>
      </c>
      <c r="J170" s="4" t="inlineStr">
        <is>
          <t>10.8 MB</t>
        </is>
      </c>
      <c r="K170" s="4" t="n">
        <v>5</v>
      </c>
      <c r="L170" s="4" t="inlineStr">
        <is>
          <t>36/36</t>
        </is>
      </c>
      <c r="M170" s="9" t="inlineStr">
        <is>
          <t>Submission 920230156</t>
        </is>
      </c>
      <c r="N170" s="4" t="inlineStr">
        <is>
          <t>Yes</t>
        </is>
      </c>
    </row>
    <row r="171">
      <c r="A171" s="11" t="n">
        <v>45007.92402777778</v>
      </c>
      <c r="B171" s="4" t="inlineStr">
        <is>
          <t>2023-03</t>
        </is>
      </c>
      <c r="C171" s="4" t="n">
        <v>200</v>
      </c>
      <c r="D171" s="9" t="inlineStr">
        <is>
          <t>Number of Islands</t>
        </is>
      </c>
      <c r="E171" s="4" t="inlineStr">
        <is>
          <t>Medium</t>
        </is>
      </c>
      <c r="F171" s="4" t="inlineStr">
        <is>
          <t>Graph: Grid BFS/DFS</t>
        </is>
      </c>
      <c r="G171" s="4" t="inlineStr">
        <is>
          <t>Compile Error</t>
        </is>
      </c>
      <c r="H171" s="4" t="inlineStr">
        <is>
          <t>C++</t>
        </is>
      </c>
      <c r="I171" s="4" t="inlineStr">
        <is>
          <t>N/A</t>
        </is>
      </c>
      <c r="J171" s="4" t="inlineStr">
        <is>
          <t>N/A</t>
        </is>
      </c>
      <c r="K171" s="4" t="n"/>
      <c r="L171" s="4" t="inlineStr"/>
      <c r="M171" s="9" t="inlineStr">
        <is>
          <t>Submission 920230273</t>
        </is>
      </c>
      <c r="N171" s="4" t="inlineStr">
        <is>
          <t>Yes</t>
        </is>
      </c>
    </row>
    <row r="172">
      <c r="A172" s="11" t="n">
        <v>45007.92487268519</v>
      </c>
      <c r="B172" s="4" t="inlineStr">
        <is>
          <t>2023-03</t>
        </is>
      </c>
      <c r="C172" s="4" t="n">
        <v>200</v>
      </c>
      <c r="D172" s="9" t="inlineStr">
        <is>
          <t>Number of Islands</t>
        </is>
      </c>
      <c r="E172" s="4" t="inlineStr">
        <is>
          <t>Medium</t>
        </is>
      </c>
      <c r="F172" s="4" t="inlineStr">
        <is>
          <t>Graph: Grid BFS/DFS</t>
        </is>
      </c>
      <c r="G172" s="4" t="inlineStr">
        <is>
          <t>Accepted</t>
        </is>
      </c>
      <c r="H172" s="4" t="inlineStr">
        <is>
          <t>C++</t>
        </is>
      </c>
      <c r="I172" s="4" t="inlineStr">
        <is>
          <t>40 ms</t>
        </is>
      </c>
      <c r="J172" s="4" t="inlineStr">
        <is>
          <t>12.4 MB</t>
        </is>
      </c>
      <c r="K172" s="4" t="n">
        <v>9.6</v>
      </c>
      <c r="L172" s="4" t="inlineStr">
        <is>
          <t>49/49</t>
        </is>
      </c>
      <c r="M172" s="9" t="inlineStr">
        <is>
          <t>Submission 920230965</t>
        </is>
      </c>
      <c r="N172" s="4" t="inlineStr">
        <is>
          <t>Yes</t>
        </is>
      </c>
    </row>
    <row r="173">
      <c r="A173" s="11" t="n">
        <v>45007.9250925926</v>
      </c>
      <c r="B173" s="4" t="inlineStr">
        <is>
          <t>2023-03</t>
        </is>
      </c>
      <c r="C173" s="4" t="n">
        <v>200</v>
      </c>
      <c r="D173" s="9" t="inlineStr">
        <is>
          <t>Number of Islands</t>
        </is>
      </c>
      <c r="E173" s="4" t="inlineStr">
        <is>
          <t>Medium</t>
        </is>
      </c>
      <c r="F173" s="4" t="inlineStr">
        <is>
          <t>Graph: Grid BFS/DFS</t>
        </is>
      </c>
      <c r="G173" s="4" t="inlineStr">
        <is>
          <t>Accepted</t>
        </is>
      </c>
      <c r="H173" s="4" t="inlineStr">
        <is>
          <t>C++</t>
        </is>
      </c>
      <c r="I173" s="4" t="inlineStr">
        <is>
          <t>40 ms</t>
        </is>
      </c>
      <c r="J173" s="4" t="inlineStr">
        <is>
          <t>12.2 MB</t>
        </is>
      </c>
      <c r="K173" s="4" t="n">
        <v>9.6</v>
      </c>
      <c r="L173" s="4" t="inlineStr">
        <is>
          <t>49/49</t>
        </is>
      </c>
      <c r="M173" s="9" t="inlineStr">
        <is>
          <t>Submission 920231136</t>
        </is>
      </c>
      <c r="N173" s="4" t="inlineStr">
        <is>
          <t>Yes</t>
        </is>
      </c>
    </row>
    <row r="174">
      <c r="A174" s="11" t="n">
        <v>45007.94464120371</v>
      </c>
      <c r="B174" s="4" t="inlineStr">
        <is>
          <t>2023-03</t>
        </is>
      </c>
      <c r="C174" s="4" t="n">
        <v>286</v>
      </c>
      <c r="D174" s="9" t="inlineStr">
        <is>
          <t>Walls and Gates</t>
        </is>
      </c>
      <c r="E174" s="4" t="inlineStr">
        <is>
          <t>Medium</t>
        </is>
      </c>
      <c r="F174" s="4" t="inlineStr">
        <is>
          <t>Graph: Grid BFS/DFS</t>
        </is>
      </c>
      <c r="G174" s="4" t="inlineStr">
        <is>
          <t>Accepted</t>
        </is>
      </c>
      <c r="H174" s="4" t="inlineStr">
        <is>
          <t>C++</t>
        </is>
      </c>
      <c r="I174" s="4" t="inlineStr">
        <is>
          <t>36 ms</t>
        </is>
      </c>
      <c r="J174" s="4" t="inlineStr">
        <is>
          <t>14.6 MB</t>
        </is>
      </c>
      <c r="K174" s="4" t="n">
        <v>18.9</v>
      </c>
      <c r="L174" s="4" t="inlineStr">
        <is>
          <t>62/62</t>
        </is>
      </c>
      <c r="M174" s="9" t="inlineStr">
        <is>
          <t>Submission 920247509</t>
        </is>
      </c>
      <c r="N174" s="4" t="inlineStr">
        <is>
          <t>Yes</t>
        </is>
      </c>
    </row>
    <row r="175">
      <c r="A175" s="11" t="n">
        <v>45007.94517361111</v>
      </c>
      <c r="B175" s="4" t="inlineStr">
        <is>
          <t>2023-03</t>
        </is>
      </c>
      <c r="C175" s="4" t="n">
        <v>286</v>
      </c>
      <c r="D175" s="9" t="inlineStr">
        <is>
          <t>Walls and Gates</t>
        </is>
      </c>
      <c r="E175" s="4" t="inlineStr">
        <is>
          <t>Medium</t>
        </is>
      </c>
      <c r="F175" s="4" t="inlineStr">
        <is>
          <t>Graph: Grid BFS/DFS</t>
        </is>
      </c>
      <c r="G175" s="4" t="inlineStr">
        <is>
          <t>Accepted</t>
        </is>
      </c>
      <c r="H175" s="4" t="inlineStr">
        <is>
          <t>C++</t>
        </is>
      </c>
      <c r="I175" s="4" t="inlineStr">
        <is>
          <t>32 ms</t>
        </is>
      </c>
      <c r="J175" s="4" t="inlineStr">
        <is>
          <t>14.5 MB</t>
        </is>
      </c>
      <c r="K175" s="4" t="n">
        <v>20.6</v>
      </c>
      <c r="L175" s="4" t="inlineStr">
        <is>
          <t>62/62</t>
        </is>
      </c>
      <c r="M175" s="9" t="inlineStr">
        <is>
          <t>Submission 920247969</t>
        </is>
      </c>
      <c r="N175" s="4" t="inlineStr">
        <is>
          <t>Yes</t>
        </is>
      </c>
    </row>
    <row r="176">
      <c r="A176" s="11" t="n">
        <v>45007.98645833333</v>
      </c>
      <c r="B176" s="4" t="inlineStr">
        <is>
          <t>2023-03</t>
        </is>
      </c>
      <c r="C176" s="4" t="n">
        <v>301</v>
      </c>
      <c r="D176" s="9" t="inlineStr">
        <is>
          <t>Remove Invalid Parentheses</t>
        </is>
      </c>
      <c r="E176" s="4" t="inlineStr">
        <is>
          <t>Hard</t>
        </is>
      </c>
      <c r="F176" s="4" t="inlineStr">
        <is>
          <t>Backtracking</t>
        </is>
      </c>
      <c r="G176" s="4" t="inlineStr">
        <is>
          <t>Time Limit Exceeded</t>
        </is>
      </c>
      <c r="H176" s="4" t="inlineStr">
        <is>
          <t>C++</t>
        </is>
      </c>
      <c r="I176" s="4" t="inlineStr">
        <is>
          <t>N/A</t>
        </is>
      </c>
      <c r="J176" s="4" t="inlineStr">
        <is>
          <t>N/A</t>
        </is>
      </c>
      <c r="K176" s="4" t="n"/>
      <c r="L176" s="4" t="inlineStr">
        <is>
          <t>117/127</t>
        </is>
      </c>
      <c r="M176" s="9" t="inlineStr">
        <is>
          <t>Submission 920285535</t>
        </is>
      </c>
      <c r="N176" s="4" t="inlineStr">
        <is>
          <t>Yes</t>
        </is>
      </c>
    </row>
    <row r="177">
      <c r="A177" s="11" t="n">
        <v>45008.00462962963</v>
      </c>
      <c r="B177" s="4" t="inlineStr">
        <is>
          <t>2023-03</t>
        </is>
      </c>
      <c r="C177" s="4" t="n">
        <v>301</v>
      </c>
      <c r="D177" s="9" t="inlineStr">
        <is>
          <t>Remove Invalid Parentheses</t>
        </is>
      </c>
      <c r="E177" s="4" t="inlineStr">
        <is>
          <t>Hard</t>
        </is>
      </c>
      <c r="F177" s="4" t="inlineStr">
        <is>
          <t>Backtracking</t>
        </is>
      </c>
      <c r="G177" s="4" t="inlineStr">
        <is>
          <t>Time Limit Exceeded</t>
        </is>
      </c>
      <c r="H177" s="4" t="inlineStr">
        <is>
          <t>C++</t>
        </is>
      </c>
      <c r="I177" s="4" t="inlineStr">
        <is>
          <t>N/A</t>
        </is>
      </c>
      <c r="J177" s="4" t="inlineStr">
        <is>
          <t>N/A</t>
        </is>
      </c>
      <c r="K177" s="4" t="n"/>
      <c r="L177" s="4" t="inlineStr">
        <is>
          <t>123/127</t>
        </is>
      </c>
      <c r="M177" s="9" t="inlineStr">
        <is>
          <t>Submission 920301430</t>
        </is>
      </c>
      <c r="N177" s="4" t="inlineStr">
        <is>
          <t>Yes</t>
        </is>
      </c>
    </row>
    <row r="178">
      <c r="A178" s="11" t="n">
        <v>45008.0059375</v>
      </c>
      <c r="B178" s="4" t="inlineStr">
        <is>
          <t>2023-03</t>
        </is>
      </c>
      <c r="C178" s="4" t="n">
        <v>301</v>
      </c>
      <c r="D178" s="9" t="inlineStr">
        <is>
          <t>Remove Invalid Parentheses</t>
        </is>
      </c>
      <c r="E178" s="4" t="inlineStr">
        <is>
          <t>Hard</t>
        </is>
      </c>
      <c r="F178" s="4" t="inlineStr">
        <is>
          <t>Backtracking</t>
        </is>
      </c>
      <c r="G178" s="4" t="inlineStr">
        <is>
          <t>Time Limit Exceeded</t>
        </is>
      </c>
      <c r="H178" s="4" t="inlineStr">
        <is>
          <t>C++</t>
        </is>
      </c>
      <c r="I178" s="4" t="inlineStr">
        <is>
          <t>N/A</t>
        </is>
      </c>
      <c r="J178" s="4" t="inlineStr">
        <is>
          <t>N/A</t>
        </is>
      </c>
      <c r="K178" s="4" t="n"/>
      <c r="L178" s="4" t="inlineStr">
        <is>
          <t>123/127</t>
        </is>
      </c>
      <c r="M178" s="9" t="inlineStr">
        <is>
          <t>Submission 920302443</t>
        </is>
      </c>
      <c r="N178" s="4" t="inlineStr">
        <is>
          <t>Yes</t>
        </is>
      </c>
    </row>
    <row r="179">
      <c r="A179" s="11" t="n">
        <v>45008.00865740741</v>
      </c>
      <c r="B179" s="4" t="inlineStr">
        <is>
          <t>2023-03</t>
        </is>
      </c>
      <c r="C179" s="4" t="n">
        <v>301</v>
      </c>
      <c r="D179" s="9" t="inlineStr">
        <is>
          <t>Remove Invalid Parentheses</t>
        </is>
      </c>
      <c r="E179" s="4" t="inlineStr">
        <is>
          <t>Hard</t>
        </is>
      </c>
      <c r="F179" s="4" t="inlineStr">
        <is>
          <t>Backtracking</t>
        </is>
      </c>
      <c r="G179" s="4" t="inlineStr">
        <is>
          <t>Accepted</t>
        </is>
      </c>
      <c r="H179" s="4" t="inlineStr">
        <is>
          <t>C++</t>
        </is>
      </c>
      <c r="I179" s="4" t="inlineStr">
        <is>
          <t>96 ms</t>
        </is>
      </c>
      <c r="J179" s="4" t="inlineStr">
        <is>
          <t>8.6 MB</t>
        </is>
      </c>
      <c r="K179" s="4" t="n">
        <v>42.3</v>
      </c>
      <c r="L179" s="4" t="inlineStr">
        <is>
          <t>127/127</t>
        </is>
      </c>
      <c r="M179" s="9" t="inlineStr">
        <is>
          <t>Submission 920304652</t>
        </is>
      </c>
      <c r="N179" s="4" t="inlineStr">
        <is>
          <t>Yes</t>
        </is>
      </c>
    </row>
    <row r="180">
      <c r="A180" s="11" t="n">
        <v>45008.01229166667</v>
      </c>
      <c r="B180" s="4" t="inlineStr">
        <is>
          <t>2023-03</t>
        </is>
      </c>
      <c r="C180" s="4" t="n">
        <v>301</v>
      </c>
      <c r="D180" s="9" t="inlineStr">
        <is>
          <t>Remove Invalid Parentheses</t>
        </is>
      </c>
      <c r="E180" s="4" t="inlineStr">
        <is>
          <t>Hard</t>
        </is>
      </c>
      <c r="F180" s="4" t="inlineStr">
        <is>
          <t>Backtracking</t>
        </is>
      </c>
      <c r="G180" s="4" t="inlineStr">
        <is>
          <t>Accepted</t>
        </is>
      </c>
      <c r="H180" s="4" t="inlineStr">
        <is>
          <t>C++</t>
        </is>
      </c>
      <c r="I180" s="4" t="inlineStr">
        <is>
          <t>99 ms</t>
        </is>
      </c>
      <c r="J180" s="4" t="inlineStr">
        <is>
          <t>8.5 MB</t>
        </is>
      </c>
      <c r="K180" s="4" t="n">
        <v>42.2</v>
      </c>
      <c r="L180" s="4" t="inlineStr">
        <is>
          <t>127/127</t>
        </is>
      </c>
      <c r="M180" s="9" t="inlineStr">
        <is>
          <t>Submission 920307494</t>
        </is>
      </c>
      <c r="N180" s="4" t="inlineStr">
        <is>
          <t>Yes</t>
        </is>
      </c>
    </row>
    <row r="181">
      <c r="A181" s="11" t="n">
        <v>45008.0353125</v>
      </c>
      <c r="B181" s="4" t="inlineStr">
        <is>
          <t>2023-03</t>
        </is>
      </c>
      <c r="C181" s="4" t="n">
        <v>679</v>
      </c>
      <c r="D181" s="9" t="inlineStr">
        <is>
          <t>24 Game</t>
        </is>
      </c>
      <c r="E181" s="4" t="inlineStr">
        <is>
          <t>Hard</t>
        </is>
      </c>
      <c r="F181" s="4" t="inlineStr">
        <is>
          <t>Backtracking</t>
        </is>
      </c>
      <c r="G181" s="4" t="inlineStr">
        <is>
          <t>Accepted</t>
        </is>
      </c>
      <c r="H181" s="4" t="inlineStr">
        <is>
          <t>C++</t>
        </is>
      </c>
      <c r="I181" s="4" t="inlineStr">
        <is>
          <t>35 ms</t>
        </is>
      </c>
      <c r="J181" s="4" t="inlineStr">
        <is>
          <t>15.9 MB</t>
        </is>
      </c>
      <c r="K181" s="4" t="n">
        <v>32.8</v>
      </c>
      <c r="L181" s="4" t="inlineStr">
        <is>
          <t>71/71</t>
        </is>
      </c>
      <c r="M181" s="9" t="inlineStr">
        <is>
          <t>Submission 920324278</t>
        </is>
      </c>
      <c r="N181" s="4" t="inlineStr">
        <is>
          <t>Yes</t>
        </is>
      </c>
    </row>
    <row r="182">
      <c r="A182" s="11" t="n">
        <v>45008.05130787037</v>
      </c>
      <c r="B182" s="4" t="inlineStr">
        <is>
          <t>2023-03</t>
        </is>
      </c>
      <c r="C182" s="4" t="n">
        <v>695</v>
      </c>
      <c r="D182" s="9" t="inlineStr">
        <is>
          <t>Max Area of Island</t>
        </is>
      </c>
      <c r="E182" s="4" t="inlineStr">
        <is>
          <t>Medium</t>
        </is>
      </c>
      <c r="F182" s="4" t="inlineStr">
        <is>
          <t>Graph: Grid BFS/DFS</t>
        </is>
      </c>
      <c r="G182" s="4" t="inlineStr">
        <is>
          <t>Compile Error</t>
        </is>
      </c>
      <c r="H182" s="4" t="inlineStr">
        <is>
          <t>C++</t>
        </is>
      </c>
      <c r="I182" s="4" t="inlineStr">
        <is>
          <t>N/A</t>
        </is>
      </c>
      <c r="J182" s="4" t="inlineStr">
        <is>
          <t>N/A</t>
        </is>
      </c>
      <c r="K182" s="4" t="n"/>
      <c r="L182" s="4" t="inlineStr"/>
      <c r="M182" s="9" t="inlineStr">
        <is>
          <t>Submission 920335475</t>
        </is>
      </c>
      <c r="N182" s="4" t="inlineStr">
        <is>
          <t>Yes</t>
        </is>
      </c>
    </row>
    <row r="183">
      <c r="A183" s="11" t="n">
        <v>45008.05408564815</v>
      </c>
      <c r="B183" s="4" t="inlineStr">
        <is>
          <t>2023-03</t>
        </is>
      </c>
      <c r="C183" s="4" t="n">
        <v>695</v>
      </c>
      <c r="D183" s="9" t="inlineStr">
        <is>
          <t>Max Area of Island</t>
        </is>
      </c>
      <c r="E183" s="4" t="inlineStr">
        <is>
          <t>Medium</t>
        </is>
      </c>
      <c r="F183" s="4" t="inlineStr">
        <is>
          <t>Graph: Grid BFS/DFS</t>
        </is>
      </c>
      <c r="G183" s="4" t="inlineStr">
        <is>
          <t>Accepted</t>
        </is>
      </c>
      <c r="H183" s="4" t="inlineStr">
        <is>
          <t>C++</t>
        </is>
      </c>
      <c r="I183" s="4" t="inlineStr">
        <is>
          <t>271 ms</t>
        </is>
      </c>
      <c r="J183" s="4" t="inlineStr">
        <is>
          <t>24.3 MB</t>
        </is>
      </c>
      <c r="K183" s="4" t="n">
        <v>5.2</v>
      </c>
      <c r="L183" s="4" t="inlineStr">
        <is>
          <t>728/728</t>
        </is>
      </c>
      <c r="M183" s="9" t="inlineStr">
        <is>
          <t>Submission 920337329</t>
        </is>
      </c>
      <c r="N183" s="4" t="inlineStr">
        <is>
          <t>Yes</t>
        </is>
      </c>
    </row>
    <row r="184">
      <c r="A184" s="11" t="n">
        <v>45008.05527777778</v>
      </c>
      <c r="B184" s="4" t="inlineStr">
        <is>
          <t>2023-03</t>
        </is>
      </c>
      <c r="C184" s="4" t="n">
        <v>695</v>
      </c>
      <c r="D184" s="9" t="inlineStr">
        <is>
          <t>Max Area of Island</t>
        </is>
      </c>
      <c r="E184" s="4" t="inlineStr">
        <is>
          <t>Medium</t>
        </is>
      </c>
      <c r="F184" s="4" t="inlineStr">
        <is>
          <t>Graph: Grid BFS/DFS</t>
        </is>
      </c>
      <c r="G184" s="4" t="inlineStr">
        <is>
          <t>Accepted</t>
        </is>
      </c>
      <c r="H184" s="4" t="inlineStr">
        <is>
          <t>C++</t>
        </is>
      </c>
      <c r="I184" s="4" t="inlineStr">
        <is>
          <t>40 ms</t>
        </is>
      </c>
      <c r="J184" s="4" t="inlineStr">
        <is>
          <t>24.4 MB</t>
        </is>
      </c>
      <c r="K184" s="4" t="n">
        <v>5.2</v>
      </c>
      <c r="L184" s="4" t="inlineStr">
        <is>
          <t>728/728</t>
        </is>
      </c>
      <c r="M184" s="9" t="inlineStr">
        <is>
          <t>Submission 920338040</t>
        </is>
      </c>
      <c r="N184" s="4" t="inlineStr">
        <is>
          <t>Yes</t>
        </is>
      </c>
    </row>
    <row r="185">
      <c r="A185" s="11" t="n">
        <v>45008.09064814815</v>
      </c>
      <c r="B185" s="4" t="inlineStr">
        <is>
          <t>2023-03</t>
        </is>
      </c>
      <c r="C185" s="4" t="n">
        <v>815</v>
      </c>
      <c r="D185" s="9" t="inlineStr">
        <is>
          <t>Bus Routes</t>
        </is>
      </c>
      <c r="E185" s="4" t="inlineStr">
        <is>
          <t>Hard</t>
        </is>
      </c>
      <c r="F185" s="4" t="inlineStr">
        <is>
          <t>Graph: General BFS/DFS</t>
        </is>
      </c>
      <c r="G185" s="4" t="inlineStr">
        <is>
          <t>Accepted</t>
        </is>
      </c>
      <c r="H185" s="4" t="inlineStr">
        <is>
          <t>C++</t>
        </is>
      </c>
      <c r="I185" s="4" t="inlineStr">
        <is>
          <t>427 ms</t>
        </is>
      </c>
      <c r="J185" s="4" t="inlineStr">
        <is>
          <t>228.9 MB</t>
        </is>
      </c>
      <c r="K185" s="4" t="n">
        <v>28.7</v>
      </c>
      <c r="L185" s="4" t="inlineStr">
        <is>
          <t>46/46</t>
        </is>
      </c>
      <c r="M185" s="9" t="inlineStr">
        <is>
          <t>Submission 920357910</t>
        </is>
      </c>
      <c r="N185" s="4" t="inlineStr">
        <is>
          <t>Yes</t>
        </is>
      </c>
    </row>
    <row r="186">
      <c r="A186" s="11" t="n">
        <v>45008.09087962963</v>
      </c>
      <c r="B186" s="4" t="inlineStr">
        <is>
          <t>2023-03</t>
        </is>
      </c>
      <c r="C186" s="4" t="n">
        <v>815</v>
      </c>
      <c r="D186" s="9" t="inlineStr">
        <is>
          <t>Bus Routes</t>
        </is>
      </c>
      <c r="E186" s="4" t="inlineStr">
        <is>
          <t>Hard</t>
        </is>
      </c>
      <c r="F186" s="4" t="inlineStr">
        <is>
          <t>Graph: General BFS/DFS</t>
        </is>
      </c>
      <c r="G186" s="4" t="inlineStr">
        <is>
          <t>Accepted</t>
        </is>
      </c>
      <c r="H186" s="4" t="inlineStr">
        <is>
          <t>C++</t>
        </is>
      </c>
      <c r="I186" s="4" t="inlineStr">
        <is>
          <t>427 ms</t>
        </is>
      </c>
      <c r="J186" s="4" t="inlineStr">
        <is>
          <t>229 MB</t>
        </is>
      </c>
      <c r="K186" s="4" t="n">
        <v>28.7</v>
      </c>
      <c r="L186" s="4" t="inlineStr">
        <is>
          <t>46/46</t>
        </is>
      </c>
      <c r="M186" s="9" t="inlineStr">
        <is>
          <t>Submission 920358035</t>
        </is>
      </c>
      <c r="N186" s="4" t="inlineStr">
        <is>
          <t>Yes</t>
        </is>
      </c>
    </row>
    <row r="187">
      <c r="A187" s="11" t="n">
        <v>45008.10582175926</v>
      </c>
      <c r="B187" s="4" t="inlineStr">
        <is>
          <t>2023-03</t>
        </is>
      </c>
      <c r="C187" s="4" t="n">
        <v>934</v>
      </c>
      <c r="D187" s="9" t="inlineStr">
        <is>
          <t>Shortest Bridge</t>
        </is>
      </c>
      <c r="E187" s="4" t="inlineStr">
        <is>
          <t>Medium</t>
        </is>
      </c>
      <c r="F187" s="4" t="inlineStr">
        <is>
          <t>Graph: Grid BFS/DFS</t>
        </is>
      </c>
      <c r="G187" s="4" t="inlineStr">
        <is>
          <t>Accepted</t>
        </is>
      </c>
      <c r="H187" s="4" t="inlineStr">
        <is>
          <t>C++</t>
        </is>
      </c>
      <c r="I187" s="4" t="inlineStr">
        <is>
          <t>52 ms</t>
        </is>
      </c>
      <c r="J187" s="4" t="inlineStr">
        <is>
          <t>22.2 MB</t>
        </is>
      </c>
      <c r="K187" s="4" t="n">
        <v>13.8</v>
      </c>
      <c r="L187" s="4" t="inlineStr">
        <is>
          <t>97/97</t>
        </is>
      </c>
      <c r="M187" s="9" t="inlineStr">
        <is>
          <t>Submission 920365660</t>
        </is>
      </c>
      <c r="N187" s="4" t="inlineStr">
        <is>
          <t>Yes</t>
        </is>
      </c>
    </row>
    <row r="188">
      <c r="A188" s="11" t="n">
        <v>45008.1062962963</v>
      </c>
      <c r="B188" s="4" t="inlineStr">
        <is>
          <t>2023-03</t>
        </is>
      </c>
      <c r="C188" s="4" t="n">
        <v>934</v>
      </c>
      <c r="D188" s="9" t="inlineStr">
        <is>
          <t>Shortest Bridge</t>
        </is>
      </c>
      <c r="E188" s="4" t="inlineStr">
        <is>
          <t>Medium</t>
        </is>
      </c>
      <c r="F188" s="4" t="inlineStr">
        <is>
          <t>Graph: Grid BFS/DFS</t>
        </is>
      </c>
      <c r="G188" s="4" t="inlineStr">
        <is>
          <t>Accepted</t>
        </is>
      </c>
      <c r="H188" s="4" t="inlineStr">
        <is>
          <t>C++</t>
        </is>
      </c>
      <c r="I188" s="4" t="inlineStr">
        <is>
          <t>52 ms</t>
        </is>
      </c>
      <c r="J188" s="4" t="inlineStr">
        <is>
          <t>22.1 MB</t>
        </is>
      </c>
      <c r="K188" s="4" t="n">
        <v>13.8</v>
      </c>
      <c r="L188" s="4" t="inlineStr">
        <is>
          <t>97/97</t>
        </is>
      </c>
      <c r="M188" s="9" t="inlineStr">
        <is>
          <t>Submission 920365876</t>
        </is>
      </c>
      <c r="N188" s="4" t="inlineStr">
        <is>
          <t>Yes</t>
        </is>
      </c>
    </row>
    <row r="189">
      <c r="A189" s="11" t="n">
        <v>45008.56858796296</v>
      </c>
      <c r="B189" s="4" t="inlineStr">
        <is>
          <t>2023-03</t>
        </is>
      </c>
      <c r="C189" s="4" t="n">
        <v>139</v>
      </c>
      <c r="D189" s="9" t="inlineStr">
        <is>
          <t>Word Break</t>
        </is>
      </c>
      <c r="E189" s="4" t="inlineStr">
        <is>
          <t>Medium</t>
        </is>
      </c>
      <c r="F189" s="4" t="inlineStr">
        <is>
          <t>DP: 1D / Linear</t>
        </is>
      </c>
      <c r="G189" s="4" t="inlineStr">
        <is>
          <t>Accepted</t>
        </is>
      </c>
      <c r="H189" s="4" t="inlineStr">
        <is>
          <t>C++</t>
        </is>
      </c>
      <c r="I189" s="4" t="inlineStr">
        <is>
          <t>8 ms</t>
        </is>
      </c>
      <c r="J189" s="4" t="inlineStr">
        <is>
          <t>9.3 MB</t>
        </is>
      </c>
      <c r="K189" s="4" t="n">
        <v>53.6</v>
      </c>
      <c r="L189" s="4" t="inlineStr">
        <is>
          <t>45/45</t>
        </is>
      </c>
      <c r="M189" s="9" t="inlineStr">
        <is>
          <t>Submission 920595604</t>
        </is>
      </c>
      <c r="N189" s="4" t="inlineStr">
        <is>
          <t>Yes</t>
        </is>
      </c>
    </row>
    <row r="190">
      <c r="A190" s="11" t="n">
        <v>45008.56981481481</v>
      </c>
      <c r="B190" s="4" t="inlineStr">
        <is>
          <t>2023-03</t>
        </is>
      </c>
      <c r="C190" s="4" t="n">
        <v>139</v>
      </c>
      <c r="D190" s="9" t="inlineStr">
        <is>
          <t>Word Break</t>
        </is>
      </c>
      <c r="E190" s="4" t="inlineStr">
        <is>
          <t>Medium</t>
        </is>
      </c>
      <c r="F190" s="4" t="inlineStr">
        <is>
          <t>DP: 1D / Linear</t>
        </is>
      </c>
      <c r="G190" s="4" t="inlineStr">
        <is>
          <t>Accepted</t>
        </is>
      </c>
      <c r="H190" s="4" t="inlineStr">
        <is>
          <t>C++</t>
        </is>
      </c>
      <c r="I190" s="4" t="inlineStr">
        <is>
          <t>8 ms</t>
        </is>
      </c>
      <c r="J190" s="4" t="inlineStr">
        <is>
          <t>9.2 MB</t>
        </is>
      </c>
      <c r="K190" s="4" t="n">
        <v>53.6</v>
      </c>
      <c r="L190" s="4" t="inlineStr">
        <is>
          <t>45/45</t>
        </is>
      </c>
      <c r="M190" s="9" t="inlineStr">
        <is>
          <t>Submission 920596266</t>
        </is>
      </c>
      <c r="N190" s="4" t="inlineStr">
        <is>
          <t>Yes</t>
        </is>
      </c>
    </row>
    <row r="191">
      <c r="A191" s="11" t="n">
        <v>45008.59640046296</v>
      </c>
      <c r="B191" s="4" t="inlineStr">
        <is>
          <t>2023-03</t>
        </is>
      </c>
      <c r="C191" s="4" t="n">
        <v>140</v>
      </c>
      <c r="D191" s="9" t="inlineStr">
        <is>
          <t>Word Break II</t>
        </is>
      </c>
      <c r="E191" s="4" t="inlineStr">
        <is>
          <t>Hard</t>
        </is>
      </c>
      <c r="F191" s="4" t="inlineStr">
        <is>
          <t>Backtracking</t>
        </is>
      </c>
      <c r="G191" s="4" t="inlineStr">
        <is>
          <t>Accepted</t>
        </is>
      </c>
      <c r="H191" s="4" t="inlineStr">
        <is>
          <t>C++</t>
        </is>
      </c>
      <c r="I191" s="4" t="inlineStr">
        <is>
          <t>0 ms</t>
        </is>
      </c>
      <c r="J191" s="4" t="inlineStr">
        <is>
          <t>7.5 MB</t>
        </is>
      </c>
      <c r="K191" s="4" t="n">
        <v>100</v>
      </c>
      <c r="L191" s="4" t="inlineStr">
        <is>
          <t>26/26</t>
        </is>
      </c>
      <c r="M191" s="9" t="inlineStr">
        <is>
          <t>Submission 920610898</t>
        </is>
      </c>
      <c r="N191" s="4" t="inlineStr">
        <is>
          <t>Yes</t>
        </is>
      </c>
    </row>
    <row r="192">
      <c r="A192" s="11" t="n">
        <v>45008.60929398148</v>
      </c>
      <c r="B192" s="4" t="inlineStr">
        <is>
          <t>2023-03</t>
        </is>
      </c>
      <c r="C192" s="4" t="n">
        <v>139</v>
      </c>
      <c r="D192" s="9" t="inlineStr">
        <is>
          <t>Word Break</t>
        </is>
      </c>
      <c r="E192" s="4" t="inlineStr">
        <is>
          <t>Medium</t>
        </is>
      </c>
      <c r="F192" s="4" t="inlineStr">
        <is>
          <t>DP: 1D / Linear</t>
        </is>
      </c>
      <c r="G192" s="4" t="inlineStr">
        <is>
          <t>Accepted</t>
        </is>
      </c>
      <c r="H192" s="4" t="inlineStr">
        <is>
          <t>C++</t>
        </is>
      </c>
      <c r="I192" s="4" t="inlineStr">
        <is>
          <t>8 ms</t>
        </is>
      </c>
      <c r="J192" s="4" t="inlineStr">
        <is>
          <t>9.2 MB</t>
        </is>
      </c>
      <c r="K192" s="4" t="n">
        <v>53.6</v>
      </c>
      <c r="L192" s="4" t="inlineStr">
        <is>
          <t>45/45</t>
        </is>
      </c>
      <c r="M192" s="9" t="inlineStr">
        <is>
          <t>Submission 920618340</t>
        </is>
      </c>
      <c r="N192" s="4" t="inlineStr">
        <is>
          <t>Yes</t>
        </is>
      </c>
    </row>
    <row r="193">
      <c r="A193" s="11" t="n">
        <v>45008.62847222222</v>
      </c>
      <c r="B193" s="4" t="inlineStr">
        <is>
          <t>2023-03</t>
        </is>
      </c>
      <c r="C193" s="4" t="n">
        <v>279</v>
      </c>
      <c r="D193" s="9" t="inlineStr">
        <is>
          <t>Perfect Squares</t>
        </is>
      </c>
      <c r="E193" s="4" t="inlineStr">
        <is>
          <t>Medium</t>
        </is>
      </c>
      <c r="F193" s="4" t="inlineStr">
        <is>
          <t>DP: Knapsack / Subset</t>
        </is>
      </c>
      <c r="G193" s="4" t="inlineStr">
        <is>
          <t>Accepted</t>
        </is>
      </c>
      <c r="H193" s="4" t="inlineStr">
        <is>
          <t>C++</t>
        </is>
      </c>
      <c r="I193" s="4" t="inlineStr">
        <is>
          <t>5 ms</t>
        </is>
      </c>
      <c r="J193" s="4" t="inlineStr">
        <is>
          <t>6 MB</t>
        </is>
      </c>
      <c r="K193" s="4" t="n">
        <v>96.3</v>
      </c>
      <c r="L193" s="4" t="inlineStr">
        <is>
          <t>588/588</t>
        </is>
      </c>
      <c r="M193" s="9" t="inlineStr">
        <is>
          <t>Submission 920629581</t>
        </is>
      </c>
      <c r="N193" s="4" t="inlineStr">
        <is>
          <t>Yes</t>
        </is>
      </c>
    </row>
    <row r="194">
      <c r="A194" s="11" t="n">
        <v>45008.63719907407</v>
      </c>
      <c r="B194" s="4" t="inlineStr">
        <is>
          <t>2023-03</t>
        </is>
      </c>
      <c r="C194" s="4" t="n">
        <v>279</v>
      </c>
      <c r="D194" s="9" t="inlineStr">
        <is>
          <t>Perfect Squares</t>
        </is>
      </c>
      <c r="E194" s="4" t="inlineStr">
        <is>
          <t>Medium</t>
        </is>
      </c>
      <c r="F194" s="4" t="inlineStr">
        <is>
          <t>DP: Knapsack / Subset</t>
        </is>
      </c>
      <c r="G194" s="4" t="inlineStr">
        <is>
          <t>Accepted</t>
        </is>
      </c>
      <c r="H194" s="4" t="inlineStr">
        <is>
          <t>C++</t>
        </is>
      </c>
      <c r="I194" s="4" t="inlineStr">
        <is>
          <t>348 ms</t>
        </is>
      </c>
      <c r="J194" s="4" t="inlineStr">
        <is>
          <t>9.1 MB</t>
        </is>
      </c>
      <c r="K194" s="4" t="n">
        <v>10.3</v>
      </c>
      <c r="L194" s="4" t="inlineStr">
        <is>
          <t>588/588</t>
        </is>
      </c>
      <c r="M194" s="9" t="inlineStr">
        <is>
          <t>Submission 920634738</t>
        </is>
      </c>
      <c r="N194" s="4" t="inlineStr">
        <is>
          <t>Yes</t>
        </is>
      </c>
    </row>
    <row r="195">
      <c r="A195" s="11" t="n">
        <v>45008.64555555556</v>
      </c>
      <c r="B195" s="4" t="inlineStr">
        <is>
          <t>2023-03</t>
        </is>
      </c>
      <c r="C195" s="4" t="n">
        <v>279</v>
      </c>
      <c r="D195" s="9" t="inlineStr">
        <is>
          <t>Perfect Squares</t>
        </is>
      </c>
      <c r="E195" s="4" t="inlineStr">
        <is>
          <t>Medium</t>
        </is>
      </c>
      <c r="F195" s="4" t="inlineStr">
        <is>
          <t>DP: Knapsack / Subset</t>
        </is>
      </c>
      <c r="G195" s="4" t="inlineStr">
        <is>
          <t>Accepted</t>
        </is>
      </c>
      <c r="H195" s="4" t="inlineStr">
        <is>
          <t>C++</t>
        </is>
      </c>
      <c r="I195" s="4" t="inlineStr">
        <is>
          <t>349 ms</t>
        </is>
      </c>
      <c r="J195" s="4" t="inlineStr">
        <is>
          <t>9.2 MB</t>
        </is>
      </c>
      <c r="K195" s="4" t="n">
        <v>10.3</v>
      </c>
      <c r="L195" s="4" t="inlineStr">
        <is>
          <t>588/588</t>
        </is>
      </c>
      <c r="M195" s="9" t="inlineStr">
        <is>
          <t>Submission 920639644</t>
        </is>
      </c>
      <c r="N195" s="4" t="inlineStr">
        <is>
          <t>Yes</t>
        </is>
      </c>
    </row>
    <row r="196">
      <c r="A196" s="11" t="n">
        <v>45008.68667824074</v>
      </c>
      <c r="B196" s="4" t="inlineStr">
        <is>
          <t>2023-03</t>
        </is>
      </c>
      <c r="C196" s="4" t="n">
        <v>300</v>
      </c>
      <c r="D196" s="9" t="inlineStr">
        <is>
          <t>Longest Increasing Subsequence</t>
        </is>
      </c>
      <c r="E196" s="4" t="inlineStr">
        <is>
          <t>Medium</t>
        </is>
      </c>
      <c r="F196" s="4" t="inlineStr">
        <is>
          <t>DP: LIS Family</t>
        </is>
      </c>
      <c r="G196" s="4" t="inlineStr">
        <is>
          <t>Accepted</t>
        </is>
      </c>
      <c r="H196" s="4" t="inlineStr">
        <is>
          <t>C++</t>
        </is>
      </c>
      <c r="I196" s="4" t="inlineStr">
        <is>
          <t>1368 ms</t>
        </is>
      </c>
      <c r="J196" s="4" t="inlineStr">
        <is>
          <t>292.6 MB</t>
        </is>
      </c>
      <c r="K196" s="4" t="n">
        <v>5</v>
      </c>
      <c r="L196" s="4" t="inlineStr">
        <is>
          <t>54/54</t>
        </is>
      </c>
      <c r="M196" s="9" t="inlineStr">
        <is>
          <t>Submission 920663705</t>
        </is>
      </c>
      <c r="N196" s="4" t="inlineStr">
        <is>
          <t>Yes</t>
        </is>
      </c>
    </row>
    <row r="197">
      <c r="A197" s="11" t="n">
        <v>45008.70851851852</v>
      </c>
      <c r="B197" s="4" t="inlineStr">
        <is>
          <t>2023-03</t>
        </is>
      </c>
      <c r="C197" s="4" t="n">
        <v>354</v>
      </c>
      <c r="D197" s="9" t="inlineStr">
        <is>
          <t>Russian Doll Envelopes</t>
        </is>
      </c>
      <c r="E197" s="4" t="inlineStr">
        <is>
          <t>Hard</t>
        </is>
      </c>
      <c r="F197" s="4" t="inlineStr">
        <is>
          <t>DP: LIS Family</t>
        </is>
      </c>
      <c r="G197" s="4" t="inlineStr">
        <is>
          <t>Compile Error</t>
        </is>
      </c>
      <c r="H197" s="4" t="inlineStr">
        <is>
          <t>C++</t>
        </is>
      </c>
      <c r="I197" s="4" t="inlineStr">
        <is>
          <t>N/A</t>
        </is>
      </c>
      <c r="J197" s="4" t="inlineStr">
        <is>
          <t>N/A</t>
        </is>
      </c>
      <c r="K197" s="4" t="n"/>
      <c r="L197" s="4" t="inlineStr"/>
      <c r="M197" s="9" t="inlineStr">
        <is>
          <t>Submission 920675714</t>
        </is>
      </c>
      <c r="N197" s="4" t="inlineStr">
        <is>
          <t>Yes</t>
        </is>
      </c>
    </row>
    <row r="198">
      <c r="A198" s="11" t="n">
        <v>45008.7181712963</v>
      </c>
      <c r="B198" s="4" t="inlineStr">
        <is>
          <t>2023-03</t>
        </is>
      </c>
      <c r="C198" s="4" t="n">
        <v>354</v>
      </c>
      <c r="D198" s="9" t="inlineStr">
        <is>
          <t>Russian Doll Envelopes</t>
        </is>
      </c>
      <c r="E198" s="4" t="inlineStr">
        <is>
          <t>Hard</t>
        </is>
      </c>
      <c r="F198" s="4" t="inlineStr">
        <is>
          <t>DP: LIS Family</t>
        </is>
      </c>
      <c r="G198" s="4" t="inlineStr">
        <is>
          <t>Wrong Answer</t>
        </is>
      </c>
      <c r="H198" s="4" t="inlineStr">
        <is>
          <t>C++</t>
        </is>
      </c>
      <c r="I198" s="4" t="inlineStr">
        <is>
          <t>N/A</t>
        </is>
      </c>
      <c r="J198" s="4" t="inlineStr">
        <is>
          <t>N/A</t>
        </is>
      </c>
      <c r="K198" s="4" t="n"/>
      <c r="L198" s="4" t="inlineStr">
        <is>
          <t>44/87</t>
        </is>
      </c>
      <c r="M198" s="9" t="inlineStr">
        <is>
          <t>Submission 920681036</t>
        </is>
      </c>
      <c r="N198" s="4" t="inlineStr">
        <is>
          <t>Yes</t>
        </is>
      </c>
    </row>
    <row r="199">
      <c r="A199" s="11" t="n">
        <v>45008.7296412037</v>
      </c>
      <c r="B199" s="4" t="inlineStr">
        <is>
          <t>2023-03</t>
        </is>
      </c>
      <c r="C199" s="4" t="n">
        <v>354</v>
      </c>
      <c r="D199" s="9" t="inlineStr">
        <is>
          <t>Russian Doll Envelopes</t>
        </is>
      </c>
      <c r="E199" s="4" t="inlineStr">
        <is>
          <t>Hard</t>
        </is>
      </c>
      <c r="F199" s="4" t="inlineStr">
        <is>
          <t>DP: LIS Family</t>
        </is>
      </c>
      <c r="G199" s="4" t="inlineStr">
        <is>
          <t>Wrong Answer</t>
        </is>
      </c>
      <c r="H199" s="4" t="inlineStr">
        <is>
          <t>C++</t>
        </is>
      </c>
      <c r="I199" s="4" t="inlineStr">
        <is>
          <t>N/A</t>
        </is>
      </c>
      <c r="J199" s="4" t="inlineStr">
        <is>
          <t>N/A</t>
        </is>
      </c>
      <c r="K199" s="4" t="n"/>
      <c r="L199" s="4" t="inlineStr">
        <is>
          <t>14/87</t>
        </is>
      </c>
      <c r="M199" s="9" t="inlineStr">
        <is>
          <t>Submission 920687210</t>
        </is>
      </c>
      <c r="N199" s="4" t="inlineStr">
        <is>
          <t>Yes</t>
        </is>
      </c>
    </row>
    <row r="200">
      <c r="A200" s="11" t="n">
        <v>45008.73854166667</v>
      </c>
      <c r="B200" s="4" t="inlineStr">
        <is>
          <t>2023-03</t>
        </is>
      </c>
      <c r="C200" s="4" t="n">
        <v>354</v>
      </c>
      <c r="D200" s="9" t="inlineStr">
        <is>
          <t>Russian Doll Envelopes</t>
        </is>
      </c>
      <c r="E200" s="4" t="inlineStr">
        <is>
          <t>Hard</t>
        </is>
      </c>
      <c r="F200" s="4" t="inlineStr">
        <is>
          <t>DP: LIS Family</t>
        </is>
      </c>
      <c r="G200" s="4" t="inlineStr">
        <is>
          <t>Accepted</t>
        </is>
      </c>
      <c r="H200" s="4" t="inlineStr">
        <is>
          <t>C++</t>
        </is>
      </c>
      <c r="I200" s="4" t="inlineStr">
        <is>
          <t>484 ms</t>
        </is>
      </c>
      <c r="J200" s="4" t="inlineStr">
        <is>
          <t>87.8 MB</t>
        </is>
      </c>
      <c r="K200" s="4" t="n">
        <v>8</v>
      </c>
      <c r="L200" s="4" t="inlineStr">
        <is>
          <t>87/87</t>
        </is>
      </c>
      <c r="M200" s="9" t="inlineStr">
        <is>
          <t>Submission 920692195</t>
        </is>
      </c>
      <c r="N200" s="4" t="inlineStr">
        <is>
          <t>Yes</t>
        </is>
      </c>
    </row>
    <row r="201">
      <c r="A201" s="11" t="n">
        <v>45008.75694444445</v>
      </c>
      <c r="B201" s="4" t="inlineStr">
        <is>
          <t>2023-03</t>
        </is>
      </c>
      <c r="C201" s="4" t="n">
        <v>354</v>
      </c>
      <c r="D201" s="9" t="inlineStr">
        <is>
          <t>Russian Doll Envelopes</t>
        </is>
      </c>
      <c r="E201" s="4" t="inlineStr">
        <is>
          <t>Hard</t>
        </is>
      </c>
      <c r="F201" s="4" t="inlineStr">
        <is>
          <t>DP: LIS Family</t>
        </is>
      </c>
      <c r="G201" s="4" t="inlineStr">
        <is>
          <t>Accepted</t>
        </is>
      </c>
      <c r="H201" s="4" t="inlineStr">
        <is>
          <t>C++</t>
        </is>
      </c>
      <c r="I201" s="4" t="inlineStr">
        <is>
          <t>511 ms</t>
        </is>
      </c>
      <c r="J201" s="4" t="inlineStr">
        <is>
          <t>87.9 MB</t>
        </is>
      </c>
      <c r="K201" s="4" t="n">
        <v>7.9</v>
      </c>
      <c r="L201" s="4" t="inlineStr">
        <is>
          <t>87/87</t>
        </is>
      </c>
      <c r="M201" s="9" t="inlineStr">
        <is>
          <t>Submission 920702885</t>
        </is>
      </c>
      <c r="N201" s="4" t="inlineStr">
        <is>
          <t>Yes</t>
        </is>
      </c>
    </row>
    <row r="202">
      <c r="A202" s="11" t="n">
        <v>45008.76133101852</v>
      </c>
      <c r="B202" s="4" t="inlineStr">
        <is>
          <t>2023-03</t>
        </is>
      </c>
      <c r="C202" s="4" t="n">
        <v>354</v>
      </c>
      <c r="D202" s="9" t="inlineStr">
        <is>
          <t>Russian Doll Envelopes</t>
        </is>
      </c>
      <c r="E202" s="4" t="inlineStr">
        <is>
          <t>Hard</t>
        </is>
      </c>
      <c r="F202" s="4" t="inlineStr">
        <is>
          <t>DP: LIS Family</t>
        </is>
      </c>
      <c r="G202" s="4" t="inlineStr">
        <is>
          <t>Accepted</t>
        </is>
      </c>
      <c r="H202" s="4" t="inlineStr">
        <is>
          <t>C++</t>
        </is>
      </c>
      <c r="I202" s="4" t="inlineStr">
        <is>
          <t>456 ms</t>
        </is>
      </c>
      <c r="J202" s="4" t="inlineStr">
        <is>
          <t>87.9 MB</t>
        </is>
      </c>
      <c r="K202" s="4" t="n">
        <v>8</v>
      </c>
      <c r="L202" s="4" t="inlineStr">
        <is>
          <t>87/87</t>
        </is>
      </c>
      <c r="M202" s="9" t="inlineStr">
        <is>
          <t>Submission 920705425</t>
        </is>
      </c>
      <c r="N202" s="4" t="inlineStr">
        <is>
          <t>Yes</t>
        </is>
      </c>
    </row>
    <row r="203">
      <c r="A203" s="11" t="n">
        <v>45008.78752314814</v>
      </c>
      <c r="B203" s="4" t="inlineStr">
        <is>
          <t>2023-03</t>
        </is>
      </c>
      <c r="C203" s="4" t="n">
        <v>568</v>
      </c>
      <c r="D203" s="9" t="inlineStr">
        <is>
          <t>Maximum Vacation Days</t>
        </is>
      </c>
      <c r="E203" s="4" t="inlineStr">
        <is>
          <t>Hard</t>
        </is>
      </c>
      <c r="F203" s="4" t="inlineStr">
        <is>
          <t>DP: Grid / 2D</t>
        </is>
      </c>
      <c r="G203" s="4" t="inlineStr">
        <is>
          <t>Time Limit Exceeded</t>
        </is>
      </c>
      <c r="H203" s="4" t="inlineStr">
        <is>
          <t>C++</t>
        </is>
      </c>
      <c r="I203" s="4" t="inlineStr">
        <is>
          <t>N/A</t>
        </is>
      </c>
      <c r="J203" s="4" t="inlineStr">
        <is>
          <t>N/A</t>
        </is>
      </c>
      <c r="K203" s="4" t="n"/>
      <c r="L203" s="4" t="inlineStr">
        <is>
          <t>37/57</t>
        </is>
      </c>
      <c r="M203" s="9" t="inlineStr">
        <is>
          <t>Submission 920722046</t>
        </is>
      </c>
      <c r="N203" s="4" t="inlineStr">
        <is>
          <t>Yes</t>
        </is>
      </c>
    </row>
    <row r="204">
      <c r="A204" s="11" t="n">
        <v>45008.78984953704</v>
      </c>
      <c r="B204" s="4" t="inlineStr">
        <is>
          <t>2023-03</t>
        </is>
      </c>
      <c r="C204" s="4" t="n">
        <v>568</v>
      </c>
      <c r="D204" s="9" t="inlineStr">
        <is>
          <t>Maximum Vacation Days</t>
        </is>
      </c>
      <c r="E204" s="4" t="inlineStr">
        <is>
          <t>Hard</t>
        </is>
      </c>
      <c r="F204" s="4" t="inlineStr">
        <is>
          <t>DP: Grid / 2D</t>
        </is>
      </c>
      <c r="G204" s="4" t="inlineStr">
        <is>
          <t>Accepted</t>
        </is>
      </c>
      <c r="H204" s="4" t="inlineStr">
        <is>
          <t>C++</t>
        </is>
      </c>
      <c r="I204" s="4" t="inlineStr">
        <is>
          <t>277 ms</t>
        </is>
      </c>
      <c r="J204" s="4" t="inlineStr">
        <is>
          <t>23.7 MB</t>
        </is>
      </c>
      <c r="K204" s="4" t="n">
        <v>9.1</v>
      </c>
      <c r="L204" s="4" t="inlineStr">
        <is>
          <t>57/57</t>
        </is>
      </c>
      <c r="M204" s="9" t="inlineStr">
        <is>
          <t>Submission 920723582</t>
        </is>
      </c>
      <c r="N204" s="4" t="inlineStr">
        <is>
          <t>Yes</t>
        </is>
      </c>
    </row>
    <row r="205">
      <c r="A205" s="11" t="n">
        <v>45008.79329861111</v>
      </c>
      <c r="B205" s="4" t="inlineStr">
        <is>
          <t>2023-03</t>
        </is>
      </c>
      <c r="C205" s="4" t="n">
        <v>568</v>
      </c>
      <c r="D205" s="9" t="inlineStr">
        <is>
          <t>Maximum Vacation Days</t>
        </is>
      </c>
      <c r="E205" s="4" t="inlineStr">
        <is>
          <t>Hard</t>
        </is>
      </c>
      <c r="F205" s="4" t="inlineStr">
        <is>
          <t>DP: Grid / 2D</t>
        </is>
      </c>
      <c r="G205" s="4" t="inlineStr">
        <is>
          <t>Accepted</t>
        </is>
      </c>
      <c r="H205" s="4" t="inlineStr">
        <is>
          <t>C++</t>
        </is>
      </c>
      <c r="I205" s="4" t="inlineStr">
        <is>
          <t>253 ms</t>
        </is>
      </c>
      <c r="J205" s="4" t="inlineStr">
        <is>
          <t>23.8 MB</t>
        </is>
      </c>
      <c r="K205" s="4" t="n">
        <v>9.1</v>
      </c>
      <c r="L205" s="4" t="inlineStr">
        <is>
          <t>57/57</t>
        </is>
      </c>
      <c r="M205" s="9" t="inlineStr">
        <is>
          <t>Submission 920726001</t>
        </is>
      </c>
      <c r="N205" s="4" t="inlineStr">
        <is>
          <t>Yes</t>
        </is>
      </c>
    </row>
    <row r="206">
      <c r="A206" s="11" t="n">
        <v>45008.81859953704</v>
      </c>
      <c r="B206" s="4" t="inlineStr">
        <is>
          <t>2023-03</t>
        </is>
      </c>
      <c r="C206" s="4" t="n">
        <v>741</v>
      </c>
      <c r="D206" s="9" t="inlineStr">
        <is>
          <t>Cherry Pickup</t>
        </is>
      </c>
      <c r="E206" s="4" t="inlineStr">
        <is>
          <t>Hard</t>
        </is>
      </c>
      <c r="F206" s="4" t="inlineStr">
        <is>
          <t>DP: Grid / 2D</t>
        </is>
      </c>
      <c r="G206" s="4" t="inlineStr">
        <is>
          <t>Accepted</t>
        </is>
      </c>
      <c r="H206" s="4" t="inlineStr">
        <is>
          <t>C++</t>
        </is>
      </c>
      <c r="I206" s="4" t="inlineStr">
        <is>
          <t>754 ms</t>
        </is>
      </c>
      <c r="J206" s="4" t="inlineStr">
        <is>
          <t>587.2 MB</t>
        </is>
      </c>
      <c r="K206" s="4" t="n">
        <v>5.1</v>
      </c>
      <c r="L206" s="4" t="inlineStr">
        <is>
          <t>59/59</t>
        </is>
      </c>
      <c r="M206" s="9" t="inlineStr">
        <is>
          <t>Submission 920744257</t>
        </is>
      </c>
      <c r="N206" s="4" t="inlineStr">
        <is>
          <t>Yes</t>
        </is>
      </c>
    </row>
    <row r="207">
      <c r="A207" s="11" t="n">
        <v>45008.84671296296</v>
      </c>
      <c r="B207" s="4" t="inlineStr">
        <is>
          <t>2023-03</t>
        </is>
      </c>
      <c r="C207" s="4" t="n">
        <v>741</v>
      </c>
      <c r="D207" s="9" t="inlineStr">
        <is>
          <t>Cherry Pickup</t>
        </is>
      </c>
      <c r="E207" s="4" t="inlineStr">
        <is>
          <t>Hard</t>
        </is>
      </c>
      <c r="F207" s="4" t="inlineStr">
        <is>
          <t>DP: Grid / 2D</t>
        </is>
      </c>
      <c r="G207" s="4" t="inlineStr">
        <is>
          <t>Wrong Answer</t>
        </is>
      </c>
      <c r="H207" s="4" t="inlineStr">
        <is>
          <t>C++</t>
        </is>
      </c>
      <c r="I207" s="4" t="inlineStr">
        <is>
          <t>N/A</t>
        </is>
      </c>
      <c r="J207" s="4" t="inlineStr">
        <is>
          <t>N/A</t>
        </is>
      </c>
      <c r="K207" s="4" t="n"/>
      <c r="L207" s="4" t="inlineStr">
        <is>
          <t>3/59</t>
        </is>
      </c>
      <c r="M207" s="9" t="inlineStr">
        <is>
          <t>Submission 920765466</t>
        </is>
      </c>
      <c r="N207" s="4" t="inlineStr">
        <is>
          <t>Yes</t>
        </is>
      </c>
    </row>
    <row r="208">
      <c r="A208" s="11" t="n">
        <v>45008.84763888889</v>
      </c>
      <c r="B208" s="4" t="inlineStr">
        <is>
          <t>2023-03</t>
        </is>
      </c>
      <c r="C208" s="4" t="n">
        <v>741</v>
      </c>
      <c r="D208" s="9" t="inlineStr">
        <is>
          <t>Cherry Pickup</t>
        </is>
      </c>
      <c r="E208" s="4" t="inlineStr">
        <is>
          <t>Hard</t>
        </is>
      </c>
      <c r="F208" s="4" t="inlineStr">
        <is>
          <t>DP: Grid / 2D</t>
        </is>
      </c>
      <c r="G208" s="4" t="inlineStr">
        <is>
          <t>Runtime Error</t>
        </is>
      </c>
      <c r="H208" s="4" t="inlineStr">
        <is>
          <t>C++</t>
        </is>
      </c>
      <c r="I208" s="4" t="inlineStr">
        <is>
          <t>N/A</t>
        </is>
      </c>
      <c r="J208" s="4" t="inlineStr">
        <is>
          <t>N/A</t>
        </is>
      </c>
      <c r="K208" s="4" t="n"/>
      <c r="L208" s="4" t="inlineStr">
        <is>
          <t>4/59</t>
        </is>
      </c>
      <c r="M208" s="9" t="inlineStr">
        <is>
          <t>Submission 920766139</t>
        </is>
      </c>
      <c r="N208" s="4" t="inlineStr">
        <is>
          <t>Yes</t>
        </is>
      </c>
    </row>
    <row r="209">
      <c r="A209" s="11" t="n">
        <v>45008.86512731481</v>
      </c>
      <c r="B209" s="4" t="inlineStr">
        <is>
          <t>2023-03</t>
        </is>
      </c>
      <c r="C209" s="4" t="n">
        <v>741</v>
      </c>
      <c r="D209" s="9" t="inlineStr">
        <is>
          <t>Cherry Pickup</t>
        </is>
      </c>
      <c r="E209" s="4" t="inlineStr">
        <is>
          <t>Hard</t>
        </is>
      </c>
      <c r="F209" s="4" t="inlineStr">
        <is>
          <t>DP: Grid / 2D</t>
        </is>
      </c>
      <c r="G209" s="4" t="inlineStr">
        <is>
          <t>Runtime Error</t>
        </is>
      </c>
      <c r="H209" s="4" t="inlineStr">
        <is>
          <t>C++</t>
        </is>
      </c>
      <c r="I209" s="4" t="inlineStr">
        <is>
          <t>N/A</t>
        </is>
      </c>
      <c r="J209" s="4" t="inlineStr">
        <is>
          <t>N/A</t>
        </is>
      </c>
      <c r="K209" s="4" t="n"/>
      <c r="L209" s="4" t="inlineStr">
        <is>
          <t>4/59</t>
        </is>
      </c>
      <c r="M209" s="9" t="inlineStr">
        <is>
          <t>Submission 920779356</t>
        </is>
      </c>
      <c r="N209" s="4" t="inlineStr">
        <is>
          <t>Yes</t>
        </is>
      </c>
    </row>
    <row r="210">
      <c r="A210" s="11" t="n">
        <v>45008.86644675926</v>
      </c>
      <c r="B210" s="4" t="inlineStr">
        <is>
          <t>2023-03</t>
        </is>
      </c>
      <c r="C210" s="4" t="n">
        <v>741</v>
      </c>
      <c r="D210" s="9" t="inlineStr">
        <is>
          <t>Cherry Pickup</t>
        </is>
      </c>
      <c r="E210" s="4" t="inlineStr">
        <is>
          <t>Hard</t>
        </is>
      </c>
      <c r="F210" s="4" t="inlineStr">
        <is>
          <t>DP: Grid / 2D</t>
        </is>
      </c>
      <c r="G210" s="4" t="inlineStr">
        <is>
          <t>Runtime Error</t>
        </is>
      </c>
      <c r="H210" s="4" t="inlineStr">
        <is>
          <t>C++</t>
        </is>
      </c>
      <c r="I210" s="4" t="inlineStr">
        <is>
          <t>N/A</t>
        </is>
      </c>
      <c r="J210" s="4" t="inlineStr">
        <is>
          <t>N/A</t>
        </is>
      </c>
      <c r="K210" s="4" t="n"/>
      <c r="L210" s="4" t="inlineStr">
        <is>
          <t>4/59</t>
        </is>
      </c>
      <c r="M210" s="9" t="inlineStr">
        <is>
          <t>Submission 920780304</t>
        </is>
      </c>
      <c r="N210" s="4" t="inlineStr">
        <is>
          <t>Yes</t>
        </is>
      </c>
    </row>
    <row r="211">
      <c r="A211" s="11" t="n">
        <v>45008.96503472222</v>
      </c>
      <c r="B211" s="4" t="inlineStr">
        <is>
          <t>2023-03</t>
        </is>
      </c>
      <c r="C211" s="4" t="n">
        <v>2421</v>
      </c>
      <c r="D211" s="9" t="inlineStr">
        <is>
          <t>Number of Good Paths</t>
        </is>
      </c>
      <c r="E211" s="4" t="inlineStr">
        <is>
          <t>Hard</t>
        </is>
      </c>
      <c r="F211" s="4" t="inlineStr">
        <is>
          <t>Graph: Union-Find</t>
        </is>
      </c>
      <c r="G211" s="4" t="inlineStr">
        <is>
          <t>Accepted</t>
        </is>
      </c>
      <c r="H211" s="4" t="inlineStr">
        <is>
          <t>C++</t>
        </is>
      </c>
      <c r="I211" s="4" t="inlineStr">
        <is>
          <t>684 ms</t>
        </is>
      </c>
      <c r="J211" s="4" t="inlineStr">
        <is>
          <t>200.4 MB</t>
        </is>
      </c>
      <c r="K211" s="4" t="n">
        <v>5.1</v>
      </c>
      <c r="L211" s="4" t="inlineStr">
        <is>
          <t>134/134</t>
        </is>
      </c>
      <c r="M211" s="9" t="inlineStr">
        <is>
          <t>Submission 920861130</t>
        </is>
      </c>
      <c r="N211" s="4" t="inlineStr">
        <is>
          <t>Yes</t>
        </is>
      </c>
    </row>
    <row r="212">
      <c r="A212" s="11" t="n">
        <v>45009.01693287037</v>
      </c>
      <c r="B212" s="4" t="inlineStr">
        <is>
          <t>2023-03</t>
        </is>
      </c>
      <c r="C212" s="4" t="n">
        <v>2402</v>
      </c>
      <c r="D212" s="9" t="inlineStr">
        <is>
          <t>Meeting Rooms III</t>
        </is>
      </c>
      <c r="E212" s="4" t="inlineStr">
        <is>
          <t>Hard</t>
        </is>
      </c>
      <c r="F212" s="4" t="inlineStr">
        <is>
          <t>Heap / Top-K</t>
        </is>
      </c>
      <c r="G212" s="4" t="inlineStr">
        <is>
          <t>Time Limit Exceeded</t>
        </is>
      </c>
      <c r="H212" s="4" t="inlineStr">
        <is>
          <t>C++</t>
        </is>
      </c>
      <c r="I212" s="4" t="inlineStr">
        <is>
          <t>N/A</t>
        </is>
      </c>
      <c r="J212" s="4" t="inlineStr">
        <is>
          <t>N/A</t>
        </is>
      </c>
      <c r="K212" s="4" t="n"/>
      <c r="L212" s="4" t="inlineStr">
        <is>
          <t>0/82</t>
        </is>
      </c>
      <c r="M212" s="9" t="inlineStr">
        <is>
          <t>Submission 920905017</t>
        </is>
      </c>
      <c r="N212" s="4" t="inlineStr">
        <is>
          <t>Yes</t>
        </is>
      </c>
    </row>
    <row r="213">
      <c r="A213" s="11" t="n">
        <v>45009.01920138889</v>
      </c>
      <c r="B213" s="4" t="inlineStr">
        <is>
          <t>2023-03</t>
        </is>
      </c>
      <c r="C213" s="4" t="n">
        <v>2402</v>
      </c>
      <c r="D213" s="9" t="inlineStr">
        <is>
          <t>Meeting Rooms III</t>
        </is>
      </c>
      <c r="E213" s="4" t="inlineStr">
        <is>
          <t>Hard</t>
        </is>
      </c>
      <c r="F213" s="4" t="inlineStr">
        <is>
          <t>Heap / Top-K</t>
        </is>
      </c>
      <c r="G213" s="4" t="inlineStr">
        <is>
          <t>Accepted</t>
        </is>
      </c>
      <c r="H213" s="4" t="inlineStr">
        <is>
          <t>C++</t>
        </is>
      </c>
      <c r="I213" s="4" t="inlineStr">
        <is>
          <t>639 ms</t>
        </is>
      </c>
      <c r="J213" s="4" t="inlineStr">
        <is>
          <t>110.4 MB</t>
        </is>
      </c>
      <c r="K213" s="4" t="n">
        <v>5</v>
      </c>
      <c r="L213" s="4" t="inlineStr">
        <is>
          <t>82/82</t>
        </is>
      </c>
      <c r="M213" s="9" t="inlineStr">
        <is>
          <t>Submission 920906718</t>
        </is>
      </c>
      <c r="N213" s="4" t="inlineStr">
        <is>
          <t>Yes</t>
        </is>
      </c>
    </row>
    <row r="214">
      <c r="A214" s="11" t="n">
        <v>45009.04053240741</v>
      </c>
      <c r="B214" s="4" t="inlineStr">
        <is>
          <t>2023-03</t>
        </is>
      </c>
      <c r="C214" s="4" t="n">
        <v>818</v>
      </c>
      <c r="D214" s="9" t="inlineStr">
        <is>
          <t>Race Car</t>
        </is>
      </c>
      <c r="E214" s="4" t="inlineStr">
        <is>
          <t>Hard</t>
        </is>
      </c>
      <c r="F214" s="4" t="inlineStr">
        <is>
          <t>Graph: Shortest Path</t>
        </is>
      </c>
      <c r="G214" s="4" t="inlineStr">
        <is>
          <t>Accepted</t>
        </is>
      </c>
      <c r="H214" s="4" t="inlineStr">
        <is>
          <t>C++</t>
        </is>
      </c>
      <c r="I214" s="4" t="inlineStr">
        <is>
          <t>15 ms</t>
        </is>
      </c>
      <c r="J214" s="4" t="inlineStr">
        <is>
          <t>9.2 MB</t>
        </is>
      </c>
      <c r="K214" s="4" t="n">
        <v>45.6</v>
      </c>
      <c r="L214" s="4" t="inlineStr">
        <is>
          <t>55/55</t>
        </is>
      </c>
      <c r="M214" s="9" t="inlineStr">
        <is>
          <t>Submission 920921933</t>
        </is>
      </c>
      <c r="N214" s="4" t="inlineStr">
        <is>
          <t>Yes</t>
        </is>
      </c>
    </row>
    <row r="215">
      <c r="A215" s="11" t="n">
        <v>45009.08947916667</v>
      </c>
      <c r="B215" s="4" t="inlineStr">
        <is>
          <t>2023-03</t>
        </is>
      </c>
      <c r="C215" s="4" t="n">
        <v>1293</v>
      </c>
      <c r="D215" s="9" t="inlineStr">
        <is>
          <t>Shortest Path in a Grid with Obstacles Elimination</t>
        </is>
      </c>
      <c r="E215" s="4" t="inlineStr">
        <is>
          <t>Hard</t>
        </is>
      </c>
      <c r="F215" s="4" t="inlineStr">
        <is>
          <t>Graph: Shortest Path</t>
        </is>
      </c>
      <c r="G215" s="4" t="inlineStr">
        <is>
          <t>Time Limit Exceeded</t>
        </is>
      </c>
      <c r="H215" s="4" t="inlineStr">
        <is>
          <t>C++</t>
        </is>
      </c>
      <c r="I215" s="4" t="inlineStr">
        <is>
          <t>N/A</t>
        </is>
      </c>
      <c r="J215" s="4" t="inlineStr">
        <is>
          <t>N/A</t>
        </is>
      </c>
      <c r="K215" s="4" t="n"/>
      <c r="L215" s="4" t="inlineStr">
        <is>
          <t>22/53</t>
        </is>
      </c>
      <c r="M215" s="9" t="inlineStr">
        <is>
          <t>Submission 920951219</t>
        </is>
      </c>
      <c r="N215" s="4" t="inlineStr">
        <is>
          <t>Yes</t>
        </is>
      </c>
    </row>
    <row r="216">
      <c r="A216" s="11" t="n">
        <v>45009.09199074074</v>
      </c>
      <c r="B216" s="4" t="inlineStr">
        <is>
          <t>2023-03</t>
        </is>
      </c>
      <c r="C216" s="4" t="n">
        <v>1293</v>
      </c>
      <c r="D216" s="9" t="inlineStr">
        <is>
          <t>Shortest Path in a Grid with Obstacles Elimination</t>
        </is>
      </c>
      <c r="E216" s="4" t="inlineStr">
        <is>
          <t>Hard</t>
        </is>
      </c>
      <c r="F216" s="4" t="inlineStr">
        <is>
          <t>Graph: Shortest Path</t>
        </is>
      </c>
      <c r="G216" s="4" t="inlineStr">
        <is>
          <t>Time Limit Exceeded</t>
        </is>
      </c>
      <c r="H216" s="4" t="inlineStr">
        <is>
          <t>C++</t>
        </is>
      </c>
      <c r="I216" s="4" t="inlineStr">
        <is>
          <t>N/A</t>
        </is>
      </c>
      <c r="J216" s="4" t="inlineStr">
        <is>
          <t>N/A</t>
        </is>
      </c>
      <c r="K216" s="4" t="n"/>
      <c r="L216" s="4" t="inlineStr">
        <is>
          <t>23/53</t>
        </is>
      </c>
      <c r="M216" s="9" t="inlineStr">
        <is>
          <t>Submission 920952432</t>
        </is>
      </c>
      <c r="N216" s="4" t="inlineStr">
        <is>
          <t>Yes</t>
        </is>
      </c>
    </row>
    <row r="217">
      <c r="A217" s="11" t="n">
        <v>45009.09811342593</v>
      </c>
      <c r="B217" s="4" t="inlineStr">
        <is>
          <t>2023-03</t>
        </is>
      </c>
      <c r="C217" s="4" t="n">
        <v>1293</v>
      </c>
      <c r="D217" s="9" t="inlineStr">
        <is>
          <t>Shortest Path in a Grid with Obstacles Elimination</t>
        </is>
      </c>
      <c r="E217" s="4" t="inlineStr">
        <is>
          <t>Hard</t>
        </is>
      </c>
      <c r="F217" s="4" t="inlineStr">
        <is>
          <t>Graph: Shortest Path</t>
        </is>
      </c>
      <c r="G217" s="4" t="inlineStr">
        <is>
          <t>Accepted</t>
        </is>
      </c>
      <c r="H217" s="4" t="inlineStr">
        <is>
          <t>C++</t>
        </is>
      </c>
      <c r="I217" s="4" t="inlineStr">
        <is>
          <t>200 ms</t>
        </is>
      </c>
      <c r="J217" s="4" t="inlineStr">
        <is>
          <t>50.8 MB</t>
        </is>
      </c>
      <c r="K217" s="4" t="n">
        <v>25</v>
      </c>
      <c r="L217" s="4" t="inlineStr">
        <is>
          <t>53/53</t>
        </is>
      </c>
      <c r="M217" s="9" t="inlineStr">
        <is>
          <t>Submission 920955793</t>
        </is>
      </c>
      <c r="N217" s="4" t="inlineStr">
        <is>
          <t>Yes</t>
        </is>
      </c>
    </row>
    <row r="218">
      <c r="A218" s="11" t="n">
        <v>45009.10822916667</v>
      </c>
      <c r="B218" s="4" t="inlineStr">
        <is>
          <t>2023-03</t>
        </is>
      </c>
      <c r="C218" s="4" t="n">
        <v>1730</v>
      </c>
      <c r="D218" s="9" t="inlineStr">
        <is>
          <t>Shortest Path to Get Food</t>
        </is>
      </c>
      <c r="E218" s="4" t="inlineStr">
        <is>
          <t>Medium</t>
        </is>
      </c>
      <c r="F218" s="4" t="inlineStr">
        <is>
          <t>Graph: Grid BFS/DFS</t>
        </is>
      </c>
      <c r="G218" s="4" t="inlineStr">
        <is>
          <t>Accepted</t>
        </is>
      </c>
      <c r="H218" s="4" t="inlineStr">
        <is>
          <t>C++</t>
        </is>
      </c>
      <c r="I218" s="4" t="inlineStr">
        <is>
          <t>267 ms</t>
        </is>
      </c>
      <c r="J218" s="4" t="inlineStr">
        <is>
          <t>62.9 MB</t>
        </is>
      </c>
      <c r="K218" s="4" t="n">
        <v>5.2</v>
      </c>
      <c r="L218" s="4" t="inlineStr">
        <is>
          <t>85/85</t>
        </is>
      </c>
      <c r="M218" s="9" t="inlineStr">
        <is>
          <t>Submission 920961036</t>
        </is>
      </c>
      <c r="N218" s="4" t="inlineStr">
        <is>
          <t>Yes</t>
        </is>
      </c>
    </row>
    <row r="219">
      <c r="A219" s="11" t="n">
        <v>45009.1203125</v>
      </c>
      <c r="B219" s="4" t="inlineStr">
        <is>
          <t>2023-03</t>
        </is>
      </c>
      <c r="C219" s="4" t="n">
        <v>2458</v>
      </c>
      <c r="D219" s="9" t="inlineStr">
        <is>
          <t>Height of Binary Tree After Subtree Removal Queries</t>
        </is>
      </c>
      <c r="E219" s="4" t="inlineStr">
        <is>
          <t>Hard</t>
        </is>
      </c>
      <c r="F219" s="4" t="inlineStr">
        <is>
          <t>Binary Tree (DFS &amp; Recursion)</t>
        </is>
      </c>
      <c r="G219" s="4" t="inlineStr">
        <is>
          <t>Accepted</t>
        </is>
      </c>
      <c r="H219" s="4" t="inlineStr">
        <is>
          <t>C++</t>
        </is>
      </c>
      <c r="I219" s="4" t="inlineStr">
        <is>
          <t>714 ms</t>
        </is>
      </c>
      <c r="J219" s="4" t="inlineStr">
        <is>
          <t>255.7 MB</t>
        </is>
      </c>
      <c r="K219" s="4" t="n">
        <v>10.3</v>
      </c>
      <c r="L219" s="4" t="inlineStr">
        <is>
          <t>40/40</t>
        </is>
      </c>
      <c r="M219" s="9" t="inlineStr">
        <is>
          <t>Submission 920966897</t>
        </is>
      </c>
      <c r="N219" s="4" t="inlineStr">
        <is>
          <t>Yes</t>
        </is>
      </c>
    </row>
    <row r="220">
      <c r="A220" s="11" t="n">
        <v>45009.48621527778</v>
      </c>
      <c r="B220" s="4" t="inlineStr">
        <is>
          <t>2023-03</t>
        </is>
      </c>
      <c r="C220" s="4" t="n">
        <v>2345</v>
      </c>
      <c r="D220" s="9" t="inlineStr">
        <is>
          <t>Finding the Number of Visible Mountains</t>
        </is>
      </c>
      <c r="E220" s="4" t="inlineStr">
        <is>
          <t>Medium</t>
        </is>
      </c>
      <c r="F220" s="4" t="inlineStr">
        <is>
          <t>Monotonic Stack / Deque</t>
        </is>
      </c>
      <c r="G220" s="4" t="inlineStr">
        <is>
          <t>Wrong Answer</t>
        </is>
      </c>
      <c r="H220" s="4" t="inlineStr">
        <is>
          <t>C++</t>
        </is>
      </c>
      <c r="I220" s="4" t="inlineStr">
        <is>
          <t>N/A</t>
        </is>
      </c>
      <c r="J220" s="4" t="inlineStr">
        <is>
          <t>N/A</t>
        </is>
      </c>
      <c r="K220" s="4" t="n"/>
      <c r="L220" s="4" t="inlineStr">
        <is>
          <t>6/46</t>
        </is>
      </c>
      <c r="M220" s="9" t="inlineStr">
        <is>
          <t>Submission 921134643</t>
        </is>
      </c>
      <c r="N220" s="4" t="inlineStr">
        <is>
          <t>Yes</t>
        </is>
      </c>
    </row>
    <row r="221">
      <c r="A221" s="11" t="n">
        <v>45009.56458333333</v>
      </c>
      <c r="B221" s="4" t="inlineStr">
        <is>
          <t>2023-03</t>
        </is>
      </c>
      <c r="C221" s="4" t="n">
        <v>2345</v>
      </c>
      <c r="D221" s="9" t="inlineStr">
        <is>
          <t>Finding the Number of Visible Mountains</t>
        </is>
      </c>
      <c r="E221" s="4" t="inlineStr">
        <is>
          <t>Medium</t>
        </is>
      </c>
      <c r="F221" s="4" t="inlineStr">
        <is>
          <t>Monotonic Stack / Deque</t>
        </is>
      </c>
      <c r="G221" s="4" t="inlineStr">
        <is>
          <t>Accepted</t>
        </is>
      </c>
      <c r="H221" s="4" t="inlineStr">
        <is>
          <t>C++</t>
        </is>
      </c>
      <c r="I221" s="4" t="inlineStr">
        <is>
          <t>743 ms</t>
        </is>
      </c>
      <c r="J221" s="4" t="inlineStr">
        <is>
          <t>166.4 MB</t>
        </is>
      </c>
      <c r="K221" s="4" t="n">
        <v>13.2</v>
      </c>
      <c r="L221" s="4" t="inlineStr">
        <is>
          <t>46/46</t>
        </is>
      </c>
      <c r="M221" s="9" t="inlineStr">
        <is>
          <t>Submission 921180925</t>
        </is>
      </c>
      <c r="N221" s="4" t="inlineStr">
        <is>
          <t>Yes</t>
        </is>
      </c>
    </row>
    <row r="222">
      <c r="A222" s="11" t="n">
        <v>45009.60511574074</v>
      </c>
      <c r="B222" s="4" t="inlineStr">
        <is>
          <t>2023-03</t>
        </is>
      </c>
      <c r="C222" s="4" t="n">
        <v>2426</v>
      </c>
      <c r="D222" s="9" t="inlineStr">
        <is>
          <t>Number of Pairs Satisfying Inequality</t>
        </is>
      </c>
      <c r="E222" s="4" t="inlineStr">
        <is>
          <t>Hard</t>
        </is>
      </c>
      <c r="F222" s="4" t="inlineStr">
        <is>
          <t>Segment Tree / BIT / Ordered Set</t>
        </is>
      </c>
      <c r="G222" s="4" t="inlineStr">
        <is>
          <t>Accepted</t>
        </is>
      </c>
      <c r="H222" s="4" t="inlineStr">
        <is>
          <t>C++</t>
        </is>
      </c>
      <c r="I222" s="4" t="inlineStr">
        <is>
          <t>394 ms</t>
        </is>
      </c>
      <c r="J222" s="4" t="inlineStr">
        <is>
          <t>77.1 MB</t>
        </is>
      </c>
      <c r="K222" s="4" t="n">
        <v>23.8</v>
      </c>
      <c r="L222" s="4" t="inlineStr">
        <is>
          <t>61/61</t>
        </is>
      </c>
      <c r="M222" s="9" t="inlineStr">
        <is>
          <t>Submission 921202242</t>
        </is>
      </c>
      <c r="N222" s="4" t="inlineStr">
        <is>
          <t>Yes</t>
        </is>
      </c>
    </row>
    <row r="223">
      <c r="A223" s="11" t="n">
        <v>45009.61924768519</v>
      </c>
      <c r="B223" s="4" t="inlineStr">
        <is>
          <t>2023-03</t>
        </is>
      </c>
      <c r="C223" s="4" t="n">
        <v>729</v>
      </c>
      <c r="D223" s="9" t="inlineStr">
        <is>
          <t>My Calendar I</t>
        </is>
      </c>
      <c r="E223" s="4" t="inlineStr">
        <is>
          <t>Medium</t>
        </is>
      </c>
      <c r="F223" s="4" t="inlineStr">
        <is>
          <t>Intervals &amp; Sweep Line</t>
        </is>
      </c>
      <c r="G223" s="4" t="inlineStr">
        <is>
          <t>Wrong Answer</t>
        </is>
      </c>
      <c r="H223" s="4" t="inlineStr">
        <is>
          <t>C++</t>
        </is>
      </c>
      <c r="I223" s="4" t="inlineStr">
        <is>
          <t>N/A</t>
        </is>
      </c>
      <c r="J223" s="4" t="inlineStr">
        <is>
          <t>N/A</t>
        </is>
      </c>
      <c r="K223" s="4" t="n"/>
      <c r="L223" s="4" t="inlineStr">
        <is>
          <t>1/107</t>
        </is>
      </c>
      <c r="M223" s="9" t="inlineStr">
        <is>
          <t>Submission 921210126</t>
        </is>
      </c>
      <c r="N223" s="4" t="inlineStr">
        <is>
          <t>Yes</t>
        </is>
      </c>
    </row>
    <row r="224">
      <c r="A224" s="11" t="n">
        <v>45009.62542824074</v>
      </c>
      <c r="B224" s="4" t="inlineStr">
        <is>
          <t>2023-03</t>
        </is>
      </c>
      <c r="C224" s="4" t="n">
        <v>729</v>
      </c>
      <c r="D224" s="9" t="inlineStr">
        <is>
          <t>My Calendar I</t>
        </is>
      </c>
      <c r="E224" s="4" t="inlineStr">
        <is>
          <t>Medium</t>
        </is>
      </c>
      <c r="F224" s="4" t="inlineStr">
        <is>
          <t>Intervals &amp; Sweep Line</t>
        </is>
      </c>
      <c r="G224" s="4" t="inlineStr">
        <is>
          <t>Accepted</t>
        </is>
      </c>
      <c r="H224" s="4" t="inlineStr">
        <is>
          <t>C++</t>
        </is>
      </c>
      <c r="I224" s="4" t="inlineStr">
        <is>
          <t>59 ms</t>
        </is>
      </c>
      <c r="J224" s="4" t="inlineStr">
        <is>
          <t>38.8 MB</t>
        </is>
      </c>
      <c r="K224" s="4" t="n">
        <v>18.9</v>
      </c>
      <c r="L224" s="4" t="inlineStr">
        <is>
          <t>107/107</t>
        </is>
      </c>
      <c r="M224" s="9" t="inlineStr">
        <is>
          <t>Submission 921213542</t>
        </is>
      </c>
      <c r="N224" s="4" t="inlineStr">
        <is>
          <t>Yes</t>
        </is>
      </c>
    </row>
    <row r="225">
      <c r="A225" s="11" t="n">
        <v>45009.65811342592</v>
      </c>
      <c r="B225" s="4" t="inlineStr">
        <is>
          <t>2023-03</t>
        </is>
      </c>
      <c r="C225" s="4" t="n">
        <v>1102</v>
      </c>
      <c r="D225" s="9" t="inlineStr">
        <is>
          <t>Path With Maximum Minimum Value</t>
        </is>
      </c>
      <c r="E225" s="4" t="inlineStr">
        <is>
          <t>Medium</t>
        </is>
      </c>
      <c r="F225" s="4" t="inlineStr">
        <is>
          <t>Graph: Shortest Path</t>
        </is>
      </c>
      <c r="G225" s="4" t="inlineStr">
        <is>
          <t>Accepted</t>
        </is>
      </c>
      <c r="H225" s="4" t="inlineStr">
        <is>
          <t>C++</t>
        </is>
      </c>
      <c r="I225" s="4" t="inlineStr">
        <is>
          <t>370 ms</t>
        </is>
      </c>
      <c r="J225" s="4" t="inlineStr">
        <is>
          <t>36.9 MB</t>
        </is>
      </c>
      <c r="K225" s="4" t="n">
        <v>14.7</v>
      </c>
      <c r="L225" s="4" t="inlineStr">
        <is>
          <t>85/85</t>
        </is>
      </c>
      <c r="M225" s="9" t="inlineStr">
        <is>
          <t>Submission 921232137</t>
        </is>
      </c>
      <c r="N225" s="4" t="inlineStr">
        <is>
          <t>Yes</t>
        </is>
      </c>
    </row>
    <row r="226">
      <c r="A226" s="11" t="n">
        <v>45009.7212037037</v>
      </c>
      <c r="B226" s="4" t="inlineStr">
        <is>
          <t>2023-03</t>
        </is>
      </c>
      <c r="C226" s="4" t="n">
        <v>1102</v>
      </c>
      <c r="D226" s="9" t="inlineStr">
        <is>
          <t>Path With Maximum Minimum Value</t>
        </is>
      </c>
      <c r="E226" s="4" t="inlineStr">
        <is>
          <t>Medium</t>
        </is>
      </c>
      <c r="F226" s="4" t="inlineStr">
        <is>
          <t>Graph: Shortest Path</t>
        </is>
      </c>
      <c r="G226" s="4" t="inlineStr">
        <is>
          <t>Accepted</t>
        </is>
      </c>
      <c r="H226" s="4" t="inlineStr">
        <is>
          <t>C++</t>
        </is>
      </c>
      <c r="I226" s="4" t="inlineStr">
        <is>
          <t>379 ms</t>
        </is>
      </c>
      <c r="J226" s="4" t="inlineStr">
        <is>
          <t>39.2 MB</t>
        </is>
      </c>
      <c r="K226" s="4" t="n">
        <v>14.7</v>
      </c>
      <c r="L226" s="4" t="inlineStr">
        <is>
          <t>85/85</t>
        </is>
      </c>
      <c r="M226" s="9" t="inlineStr">
        <is>
          <t>Submission 921265807</t>
        </is>
      </c>
      <c r="N226" s="4" t="inlineStr">
        <is>
          <t>Yes</t>
        </is>
      </c>
    </row>
    <row r="227">
      <c r="A227" s="11" t="n">
        <v>45009.76241898148</v>
      </c>
      <c r="B227" s="4" t="inlineStr">
        <is>
          <t>2023-03</t>
        </is>
      </c>
      <c r="C227" s="4" t="n">
        <v>2101</v>
      </c>
      <c r="D227" s="9" t="inlineStr">
        <is>
          <t>Detonate the Maximum Bombs</t>
        </is>
      </c>
      <c r="E227" s="4" t="inlineStr">
        <is>
          <t>Medium</t>
        </is>
      </c>
      <c r="F227" s="4" t="inlineStr">
        <is>
          <t>Graph: General BFS/DFS</t>
        </is>
      </c>
      <c r="G227" s="4" t="inlineStr">
        <is>
          <t>Accepted</t>
        </is>
      </c>
      <c r="H227" s="4" t="inlineStr">
        <is>
          <t>C++</t>
        </is>
      </c>
      <c r="I227" s="4" t="inlineStr">
        <is>
          <t>465 ms</t>
        </is>
      </c>
      <c r="J227" s="4" t="inlineStr">
        <is>
          <t>12.1 MB</t>
        </is>
      </c>
      <c r="K227" s="4" t="n">
        <v>5.1</v>
      </c>
      <c r="L227" s="4" t="inlineStr">
        <is>
          <t>160/160</t>
        </is>
      </c>
      <c r="M227" s="9" t="inlineStr">
        <is>
          <t>Submission 921287381</t>
        </is>
      </c>
      <c r="N227" s="4" t="inlineStr">
        <is>
          <t>Yes</t>
        </is>
      </c>
    </row>
    <row r="228">
      <c r="A228" s="11" t="n">
        <v>45009.78828703704</v>
      </c>
      <c r="B228" s="4" t="inlineStr">
        <is>
          <t>2023-03</t>
        </is>
      </c>
      <c r="C228" s="4" t="n">
        <v>528</v>
      </c>
      <c r="D228" s="9" t="inlineStr">
        <is>
          <t>Random Pick with Weight</t>
        </is>
      </c>
      <c r="E228" s="4" t="inlineStr">
        <is>
          <t>Medium</t>
        </is>
      </c>
      <c r="F228" s="4" t="inlineStr">
        <is>
          <t>Prefix Sum &amp; Difference Array</t>
        </is>
      </c>
      <c r="G228" s="4" t="inlineStr">
        <is>
          <t>Wrong Answer</t>
        </is>
      </c>
      <c r="H228" s="4" t="inlineStr">
        <is>
          <t>C++</t>
        </is>
      </c>
      <c r="I228" s="4" t="inlineStr">
        <is>
          <t>N/A</t>
        </is>
      </c>
      <c r="J228" s="4" t="inlineStr">
        <is>
          <t>N/A</t>
        </is>
      </c>
      <c r="K228" s="4" t="n"/>
      <c r="L228" s="4" t="inlineStr">
        <is>
          <t>19/57</t>
        </is>
      </c>
      <c r="M228" s="9" t="inlineStr">
        <is>
          <t>Submission 921302854</t>
        </is>
      </c>
      <c r="N228" s="4" t="inlineStr">
        <is>
          <t>Yes</t>
        </is>
      </c>
    </row>
    <row r="229">
      <c r="A229" s="11" t="n">
        <v>45009.79133101852</v>
      </c>
      <c r="B229" s="4" t="inlineStr">
        <is>
          <t>2023-03</t>
        </is>
      </c>
      <c r="C229" s="4" t="n">
        <v>528</v>
      </c>
      <c r="D229" s="9" t="inlineStr">
        <is>
          <t>Random Pick with Weight</t>
        </is>
      </c>
      <c r="E229" s="4" t="inlineStr">
        <is>
          <t>Medium</t>
        </is>
      </c>
      <c r="F229" s="4" t="inlineStr">
        <is>
          <t>Prefix Sum &amp; Difference Array</t>
        </is>
      </c>
      <c r="G229" s="4" t="inlineStr">
        <is>
          <t>Accepted</t>
        </is>
      </c>
      <c r="H229" s="4" t="inlineStr">
        <is>
          <t>C++</t>
        </is>
      </c>
      <c r="I229" s="4" t="inlineStr">
        <is>
          <t>89 ms</t>
        </is>
      </c>
      <c r="J229" s="4" t="inlineStr">
        <is>
          <t>40.6 MB</t>
        </is>
      </c>
      <c r="K229" s="4" t="n">
        <v>12.2</v>
      </c>
      <c r="L229" s="4" t="inlineStr">
        <is>
          <t>57/57</t>
        </is>
      </c>
      <c r="M229" s="9" t="inlineStr">
        <is>
          <t>Submission 921304705</t>
        </is>
      </c>
      <c r="N229" s="4" t="inlineStr">
        <is>
          <t>Yes</t>
        </is>
      </c>
    </row>
    <row r="230">
      <c r="A230" s="11" t="n">
        <v>45009.8109375</v>
      </c>
      <c r="B230" s="4" t="inlineStr">
        <is>
          <t>2023-03</t>
        </is>
      </c>
      <c r="C230" s="4" t="n">
        <v>1101</v>
      </c>
      <c r="D230" s="9" t="inlineStr">
        <is>
          <t>The Earliest Moment When Everyone Become Friends</t>
        </is>
      </c>
      <c r="E230" s="4" t="inlineStr">
        <is>
          <t>Medium</t>
        </is>
      </c>
      <c r="F230" s="4" t="inlineStr">
        <is>
          <t>Graph: Union-Find</t>
        </is>
      </c>
      <c r="G230" s="4" t="inlineStr">
        <is>
          <t>Accepted</t>
        </is>
      </c>
      <c r="H230" s="4" t="inlineStr">
        <is>
          <t>C++</t>
        </is>
      </c>
      <c r="I230" s="4" t="inlineStr">
        <is>
          <t>32 ms</t>
        </is>
      </c>
      <c r="J230" s="4" t="inlineStr">
        <is>
          <t>13.1 MB</t>
        </is>
      </c>
      <c r="K230" s="4" t="n">
        <v>5.2</v>
      </c>
      <c r="L230" s="4" t="inlineStr">
        <is>
          <t>67/67</t>
        </is>
      </c>
      <c r="M230" s="9" t="inlineStr">
        <is>
          <t>Submission 921317555</t>
        </is>
      </c>
      <c r="N230" s="4" t="inlineStr">
        <is>
          <t>Yes</t>
        </is>
      </c>
    </row>
    <row r="231">
      <c r="A231" s="11" t="n">
        <v>45009.83814814815</v>
      </c>
      <c r="B231" s="4" t="inlineStr">
        <is>
          <t>2023-03</t>
        </is>
      </c>
      <c r="C231" s="4" t="n">
        <v>1136</v>
      </c>
      <c r="D231" s="9" t="inlineStr">
        <is>
          <t>Parallel Courses</t>
        </is>
      </c>
      <c r="E231" s="4" t="inlineStr">
        <is>
          <t>Medium</t>
        </is>
      </c>
      <c r="F231" s="4" t="inlineStr">
        <is>
          <t>Graph: Topological Sort</t>
        </is>
      </c>
      <c r="G231" s="4" t="inlineStr">
        <is>
          <t>Accepted</t>
        </is>
      </c>
      <c r="H231" s="4" t="inlineStr">
        <is>
          <t>C++</t>
        </is>
      </c>
      <c r="I231" s="4" t="inlineStr">
        <is>
          <t>78 ms</t>
        </is>
      </c>
      <c r="J231" s="4" t="inlineStr">
        <is>
          <t>29.2 MB</t>
        </is>
      </c>
      <c r="K231" s="4" t="n">
        <v>5.1</v>
      </c>
      <c r="L231" s="4" t="inlineStr">
        <is>
          <t>39/39</t>
        </is>
      </c>
      <c r="M231" s="9" t="inlineStr">
        <is>
          <t>Submission 921336511</t>
        </is>
      </c>
      <c r="N231" s="4" t="inlineStr">
        <is>
          <t>Yes</t>
        </is>
      </c>
    </row>
    <row r="232">
      <c r="A232" s="11" t="n">
        <v>45009.84766203703</v>
      </c>
      <c r="B232" s="4" t="inlineStr">
        <is>
          <t>2023-03</t>
        </is>
      </c>
      <c r="C232" s="4" t="n">
        <v>1136</v>
      </c>
      <c r="D232" s="9" t="inlineStr">
        <is>
          <t>Parallel Courses</t>
        </is>
      </c>
      <c r="E232" s="4" t="inlineStr">
        <is>
          <t>Medium</t>
        </is>
      </c>
      <c r="F232" s="4" t="inlineStr">
        <is>
          <t>Graph: Topological Sort</t>
        </is>
      </c>
      <c r="G232" s="4" t="inlineStr">
        <is>
          <t>Accepted</t>
        </is>
      </c>
      <c r="H232" s="4" t="inlineStr">
        <is>
          <t>C++</t>
        </is>
      </c>
      <c r="I232" s="4" t="inlineStr">
        <is>
          <t>72 ms</t>
        </is>
      </c>
      <c r="J232" s="4" t="inlineStr">
        <is>
          <t>29.1 MB</t>
        </is>
      </c>
      <c r="K232" s="4" t="n">
        <v>5.1</v>
      </c>
      <c r="L232" s="4" t="inlineStr">
        <is>
          <t>39/39</t>
        </is>
      </c>
      <c r="M232" s="9" t="inlineStr">
        <is>
          <t>Submission 921343418</t>
        </is>
      </c>
      <c r="N232" s="4" t="inlineStr">
        <is>
          <t>Yes</t>
        </is>
      </c>
    </row>
    <row r="233">
      <c r="A233" s="11" t="n">
        <v>45009.90545138889</v>
      </c>
      <c r="B233" s="4" t="inlineStr">
        <is>
          <t>2023-03</t>
        </is>
      </c>
      <c r="C233" s="4" t="n">
        <v>1494</v>
      </c>
      <c r="D233" s="9" t="inlineStr">
        <is>
          <t>Parallel Courses II</t>
        </is>
      </c>
      <c r="E233" s="4" t="inlineStr">
        <is>
          <t>Hard</t>
        </is>
      </c>
      <c r="F233" s="4" t="inlineStr">
        <is>
          <t>DP: Bitmask</t>
        </is>
      </c>
      <c r="G233" s="4" t="inlineStr">
        <is>
          <t>Wrong Answer</t>
        </is>
      </c>
      <c r="H233" s="4" t="inlineStr">
        <is>
          <t>C++</t>
        </is>
      </c>
      <c r="I233" s="4" t="inlineStr">
        <is>
          <t>N/A</t>
        </is>
      </c>
      <c r="J233" s="4" t="inlineStr">
        <is>
          <t>N/A</t>
        </is>
      </c>
      <c r="K233" s="4" t="n"/>
      <c r="L233" s="4" t="inlineStr">
        <is>
          <t>69/81</t>
        </is>
      </c>
      <c r="M233" s="9" t="inlineStr">
        <is>
          <t>Submission 921383571</t>
        </is>
      </c>
      <c r="N233" s="4" t="inlineStr">
        <is>
          <t>Yes</t>
        </is>
      </c>
    </row>
    <row r="234">
      <c r="A234" s="11" t="n">
        <v>45010.02641203703</v>
      </c>
      <c r="B234" s="4" t="inlineStr">
        <is>
          <t>2023-03</t>
        </is>
      </c>
      <c r="C234" s="4" t="n">
        <v>1105</v>
      </c>
      <c r="D234" s="9" t="inlineStr">
        <is>
          <t>Filling Bookcase Shelves</t>
        </is>
      </c>
      <c r="E234" s="4" t="inlineStr">
        <is>
          <t>Medium</t>
        </is>
      </c>
      <c r="F234" s="4" t="inlineStr">
        <is>
          <t>DP: Partition / Interval (MCM)</t>
        </is>
      </c>
      <c r="G234" s="4" t="inlineStr">
        <is>
          <t>Time Limit Exceeded</t>
        </is>
      </c>
      <c r="H234" s="4" t="inlineStr">
        <is>
          <t>C++</t>
        </is>
      </c>
      <c r="I234" s="4" t="inlineStr">
        <is>
          <t>N/A</t>
        </is>
      </c>
      <c r="J234" s="4" t="inlineStr">
        <is>
          <t>N/A</t>
        </is>
      </c>
      <c r="K234" s="4" t="n"/>
      <c r="L234" s="4" t="inlineStr">
        <is>
          <t>7/20</t>
        </is>
      </c>
      <c r="M234" s="9" t="inlineStr">
        <is>
          <t>Submission 921475765</t>
        </is>
      </c>
      <c r="N234" s="4" t="inlineStr">
        <is>
          <t>Yes</t>
        </is>
      </c>
    </row>
    <row r="235">
      <c r="A235" s="11" t="n">
        <v>45010.03125</v>
      </c>
      <c r="B235" s="4" t="inlineStr">
        <is>
          <t>2023-03</t>
        </is>
      </c>
      <c r="C235" s="4" t="n">
        <v>1105</v>
      </c>
      <c r="D235" s="9" t="inlineStr">
        <is>
          <t>Filling Bookcase Shelves</t>
        </is>
      </c>
      <c r="E235" s="4" t="inlineStr">
        <is>
          <t>Medium</t>
        </is>
      </c>
      <c r="F235" s="4" t="inlineStr">
        <is>
          <t>DP: Partition / Interval (MCM)</t>
        </is>
      </c>
      <c r="G235" s="4" t="inlineStr">
        <is>
          <t>Accepted</t>
        </is>
      </c>
      <c r="H235" s="4" t="inlineStr">
        <is>
          <t>C++</t>
        </is>
      </c>
      <c r="I235" s="4" t="inlineStr">
        <is>
          <t>12 ms</t>
        </is>
      </c>
      <c r="J235" s="4" t="inlineStr">
        <is>
          <t>28.7 MB</t>
        </is>
      </c>
      <c r="K235" s="4" t="n">
        <v>5</v>
      </c>
      <c r="L235" s="4" t="inlineStr">
        <is>
          <t>20/20</t>
        </is>
      </c>
      <c r="M235" s="9" t="inlineStr">
        <is>
          <t>Submission 921478900</t>
        </is>
      </c>
      <c r="N235" s="4" t="inlineStr">
        <is>
          <t>Yes</t>
        </is>
      </c>
    </row>
    <row r="236">
      <c r="A236" s="11" t="n">
        <v>45010.03344907407</v>
      </c>
      <c r="B236" s="4" t="inlineStr">
        <is>
          <t>2023-03</t>
        </is>
      </c>
      <c r="C236" s="4" t="n">
        <v>1105</v>
      </c>
      <c r="D236" s="9" t="inlineStr">
        <is>
          <t>Filling Bookcase Shelves</t>
        </is>
      </c>
      <c r="E236" s="4" t="inlineStr">
        <is>
          <t>Medium</t>
        </is>
      </c>
      <c r="F236" s="4" t="inlineStr">
        <is>
          <t>DP: Partition / Interval (MCM)</t>
        </is>
      </c>
      <c r="G236" s="4" t="inlineStr">
        <is>
          <t>Time Limit Exceeded</t>
        </is>
      </c>
      <c r="H236" s="4" t="inlineStr">
        <is>
          <t>C++</t>
        </is>
      </c>
      <c r="I236" s="4" t="inlineStr">
        <is>
          <t>N/A</t>
        </is>
      </c>
      <c r="J236" s="4" t="inlineStr">
        <is>
          <t>N/A</t>
        </is>
      </c>
      <c r="K236" s="4" t="n"/>
      <c r="L236" s="4" t="inlineStr">
        <is>
          <t>7/20</t>
        </is>
      </c>
      <c r="M236" s="9" t="inlineStr">
        <is>
          <t>Submission 921480328</t>
        </is>
      </c>
      <c r="N236" s="4" t="inlineStr">
        <is>
          <t>Yes</t>
        </is>
      </c>
    </row>
    <row r="237">
      <c r="A237" s="11" t="n">
        <v>45010.04006944445</v>
      </c>
      <c r="B237" s="4" t="inlineStr">
        <is>
          <t>2023-03</t>
        </is>
      </c>
      <c r="C237" s="4" t="n">
        <v>1105</v>
      </c>
      <c r="D237" s="9" t="inlineStr">
        <is>
          <t>Filling Bookcase Shelves</t>
        </is>
      </c>
      <c r="E237" s="4" t="inlineStr">
        <is>
          <t>Medium</t>
        </is>
      </c>
      <c r="F237" s="4" t="inlineStr">
        <is>
          <t>DP: Partition / Interval (MCM)</t>
        </is>
      </c>
      <c r="G237" s="4" t="inlineStr">
        <is>
          <t>Time Limit Exceeded</t>
        </is>
      </c>
      <c r="H237" s="4" t="inlineStr">
        <is>
          <t>C++</t>
        </is>
      </c>
      <c r="I237" s="4" t="inlineStr">
        <is>
          <t>N/A</t>
        </is>
      </c>
      <c r="J237" s="4" t="inlineStr">
        <is>
          <t>N/A</t>
        </is>
      </c>
      <c r="K237" s="4" t="n"/>
      <c r="L237" s="4" t="inlineStr">
        <is>
          <t>7/20</t>
        </is>
      </c>
      <c r="M237" s="9" t="inlineStr">
        <is>
          <t>Submission 921484449</t>
        </is>
      </c>
      <c r="N237" s="4" t="inlineStr">
        <is>
          <t>Yes</t>
        </is>
      </c>
    </row>
    <row r="238">
      <c r="A238" s="11" t="n">
        <v>45010.05064814815</v>
      </c>
      <c r="B238" s="4" t="inlineStr">
        <is>
          <t>2023-03</t>
        </is>
      </c>
      <c r="C238" s="4" t="n">
        <v>366</v>
      </c>
      <c r="D238" s="9" t="inlineStr">
        <is>
          <t>Find Leaves of Binary Tree</t>
        </is>
      </c>
      <c r="E238" s="4" t="inlineStr">
        <is>
          <t>Medium</t>
        </is>
      </c>
      <c r="F238" s="4" t="inlineStr">
        <is>
          <t>Binary Tree (DFS &amp; Recursion)</t>
        </is>
      </c>
      <c r="G238" s="4" t="inlineStr">
        <is>
          <t>Accepted</t>
        </is>
      </c>
      <c r="H238" s="4" t="inlineStr">
        <is>
          <t>C++</t>
        </is>
      </c>
      <c r="I238" s="4" t="inlineStr">
        <is>
          <t>6 ms</t>
        </is>
      </c>
      <c r="J238" s="4" t="inlineStr">
        <is>
          <t>8.1 MB</t>
        </is>
      </c>
      <c r="K238" s="4" t="n">
        <v>0</v>
      </c>
      <c r="L238" s="4" t="inlineStr">
        <is>
          <t>67/67</t>
        </is>
      </c>
      <c r="M238" s="9" t="inlineStr">
        <is>
          <t>Submission 921490889</t>
        </is>
      </c>
      <c r="N238" s="4" t="inlineStr">
        <is>
          <t>Yes</t>
        </is>
      </c>
    </row>
    <row r="239">
      <c r="A239" s="11" t="n">
        <v>45010.08113425926</v>
      </c>
      <c r="B239" s="4" t="inlineStr">
        <is>
          <t>2023-03</t>
        </is>
      </c>
      <c r="C239" s="4" t="n">
        <v>1202</v>
      </c>
      <c r="D239" s="9" t="inlineStr">
        <is>
          <t>Smallest String With Swaps</t>
        </is>
      </c>
      <c r="E239" s="4" t="inlineStr">
        <is>
          <t>Medium</t>
        </is>
      </c>
      <c r="F239" s="4" t="inlineStr">
        <is>
          <t>Graph: Union-Find</t>
        </is>
      </c>
      <c r="G239" s="4" t="inlineStr">
        <is>
          <t>Accepted</t>
        </is>
      </c>
      <c r="H239" s="4" t="inlineStr">
        <is>
          <t>C++</t>
        </is>
      </c>
      <c r="I239" s="4" t="inlineStr">
        <is>
          <t>307 ms</t>
        </is>
      </c>
      <c r="J239" s="4" t="inlineStr">
        <is>
          <t>73.1 MB</t>
        </is>
      </c>
      <c r="K239" s="4" t="n">
        <v>5</v>
      </c>
      <c r="L239" s="4" t="inlineStr">
        <is>
          <t>36/36</t>
        </is>
      </c>
      <c r="M239" s="9" t="inlineStr">
        <is>
          <t>Submission 921506988</t>
        </is>
      </c>
      <c r="N239" s="4" t="inlineStr">
        <is>
          <t>Yes</t>
        </is>
      </c>
    </row>
    <row r="240">
      <c r="A240" s="11" t="n">
        <v>45010.0977199074</v>
      </c>
      <c r="B240" s="4" t="inlineStr">
        <is>
          <t>2023-03</t>
        </is>
      </c>
      <c r="C240" s="4" t="n">
        <v>2034</v>
      </c>
      <c r="D240" s="9" t="inlineStr">
        <is>
          <t xml:space="preserve">Stock Price Fluctuation </t>
        </is>
      </c>
      <c r="E240" s="4" t="inlineStr">
        <is>
          <t>Medium</t>
        </is>
      </c>
      <c r="F240" s="4" t="inlineStr">
        <is>
          <t>Design</t>
        </is>
      </c>
      <c r="G240" s="4" t="inlineStr">
        <is>
          <t>Accepted</t>
        </is>
      </c>
      <c r="H240" s="4" t="inlineStr">
        <is>
          <t>C++</t>
        </is>
      </c>
      <c r="I240" s="4" t="inlineStr">
        <is>
          <t>529 ms</t>
        </is>
      </c>
      <c r="J240" s="4" t="inlineStr">
        <is>
          <t>165.7 MB</t>
        </is>
      </c>
      <c r="K240" s="4" t="n">
        <v>5.1</v>
      </c>
      <c r="L240" s="4" t="inlineStr">
        <is>
          <t>18/18</t>
        </is>
      </c>
      <c r="M240" s="9" t="inlineStr">
        <is>
          <t>Submission 921515192</t>
        </is>
      </c>
      <c r="N240" s="4" t="inlineStr">
        <is>
          <t>Yes</t>
        </is>
      </c>
    </row>
    <row r="241">
      <c r="A241" s="11" t="n">
        <v>45010.10050925926</v>
      </c>
      <c r="B241" s="4" t="inlineStr">
        <is>
          <t>2023-03</t>
        </is>
      </c>
      <c r="C241" s="4" t="n">
        <v>741</v>
      </c>
      <c r="D241" s="9" t="inlineStr">
        <is>
          <t>Cherry Pickup</t>
        </is>
      </c>
      <c r="E241" s="4" t="inlineStr">
        <is>
          <t>Hard</t>
        </is>
      </c>
      <c r="F241" s="4" t="inlineStr">
        <is>
          <t>DP: Grid / 2D</t>
        </is>
      </c>
      <c r="G241" s="4" t="inlineStr">
        <is>
          <t>Runtime Error</t>
        </is>
      </c>
      <c r="H241" s="4" t="inlineStr">
        <is>
          <t>C++</t>
        </is>
      </c>
      <c r="I241" s="4" t="inlineStr">
        <is>
          <t>N/A</t>
        </is>
      </c>
      <c r="J241" s="4" t="inlineStr">
        <is>
          <t>N/A</t>
        </is>
      </c>
      <c r="K241" s="4" t="n"/>
      <c r="L241" s="4" t="inlineStr">
        <is>
          <t>4/59</t>
        </is>
      </c>
      <c r="M241" s="9" t="inlineStr">
        <is>
          <t>Submission 921516464</t>
        </is>
      </c>
      <c r="N241" s="4" t="inlineStr">
        <is>
          <t>Yes</t>
        </is>
      </c>
    </row>
    <row r="242">
      <c r="A242" s="11" t="n">
        <v>45010.13898148148</v>
      </c>
      <c r="B242" s="4" t="inlineStr">
        <is>
          <t>2023-03</t>
        </is>
      </c>
      <c r="C242" s="4" t="n">
        <v>22</v>
      </c>
      <c r="D242" s="9" t="inlineStr">
        <is>
          <t>Generate Parentheses</t>
        </is>
      </c>
      <c r="E242" s="4" t="inlineStr">
        <is>
          <t>Medium</t>
        </is>
      </c>
      <c r="F242" s="4" t="inlineStr">
        <is>
          <t>Backtracking</t>
        </is>
      </c>
      <c r="G242" s="4" t="inlineStr">
        <is>
          <t>Accepted</t>
        </is>
      </c>
      <c r="H242" s="4" t="inlineStr">
        <is>
          <t>C++</t>
        </is>
      </c>
      <c r="I242" s="4" t="inlineStr">
        <is>
          <t>11 ms</t>
        </is>
      </c>
      <c r="J242" s="4" t="inlineStr">
        <is>
          <t>13.8 MB</t>
        </is>
      </c>
      <c r="K242" s="4" t="n">
        <v>7</v>
      </c>
      <c r="L242" s="4" t="inlineStr">
        <is>
          <t>8/8</t>
        </is>
      </c>
      <c r="M242" s="9" t="inlineStr">
        <is>
          <t>Submission 921532455</t>
        </is>
      </c>
      <c r="N242" s="4" t="inlineStr">
        <is>
          <t>Yes</t>
        </is>
      </c>
    </row>
    <row r="243">
      <c r="A243" s="11" t="n">
        <v>45010.1427662037</v>
      </c>
      <c r="B243" s="4" t="inlineStr">
        <is>
          <t>2023-03</t>
        </is>
      </c>
      <c r="C243" s="4" t="n">
        <v>22</v>
      </c>
      <c r="D243" s="9" t="inlineStr">
        <is>
          <t>Generate Parentheses</t>
        </is>
      </c>
      <c r="E243" s="4" t="inlineStr">
        <is>
          <t>Medium</t>
        </is>
      </c>
      <c r="F243" s="4" t="inlineStr">
        <is>
          <t>Backtracking</t>
        </is>
      </c>
      <c r="G243" s="4" t="inlineStr">
        <is>
          <t>Accepted</t>
        </is>
      </c>
      <c r="H243" s="4" t="inlineStr">
        <is>
          <t>C++</t>
        </is>
      </c>
      <c r="I243" s="4" t="inlineStr">
        <is>
          <t>12 ms</t>
        </is>
      </c>
      <c r="J243" s="4" t="inlineStr">
        <is>
          <t>11.4 MB</t>
        </is>
      </c>
      <c r="K243" s="4" t="n">
        <v>6.2</v>
      </c>
      <c r="L243" s="4" t="inlineStr">
        <is>
          <t>8/8</t>
        </is>
      </c>
      <c r="M243" s="9" t="inlineStr">
        <is>
          <t>Submission 921533825</t>
        </is>
      </c>
      <c r="N243" s="4" t="inlineStr">
        <is>
          <t>Yes</t>
        </is>
      </c>
    </row>
    <row r="244">
      <c r="A244" s="11" t="n">
        <v>45010.50745370371</v>
      </c>
      <c r="B244" s="4" t="inlineStr">
        <is>
          <t>2023-03</t>
        </is>
      </c>
      <c r="C244" s="4" t="n">
        <v>3</v>
      </c>
      <c r="D244" s="9" t="inlineStr">
        <is>
          <t>Longest Substring Without Repeating Characters</t>
        </is>
      </c>
      <c r="E244" s="4" t="inlineStr">
        <is>
          <t>Medium</t>
        </is>
      </c>
      <c r="F244" s="4" t="inlineStr">
        <is>
          <t>Sliding Window</t>
        </is>
      </c>
      <c r="G244" s="4" t="inlineStr">
        <is>
          <t>Accepted</t>
        </is>
      </c>
      <c r="H244" s="4" t="inlineStr">
        <is>
          <t>C++</t>
        </is>
      </c>
      <c r="I244" s="4" t="inlineStr">
        <is>
          <t>31 ms</t>
        </is>
      </c>
      <c r="J244" s="4" t="inlineStr">
        <is>
          <t>8.6 MB</t>
        </is>
      </c>
      <c r="K244" s="4" t="n">
        <v>71.3</v>
      </c>
      <c r="L244" s="4" t="inlineStr">
        <is>
          <t>987/987</t>
        </is>
      </c>
      <c r="M244" s="9" t="inlineStr">
        <is>
          <t>Submission 921690096</t>
        </is>
      </c>
      <c r="N244" s="4" t="inlineStr">
        <is>
          <t>Yes</t>
        </is>
      </c>
    </row>
    <row r="245">
      <c r="A245" s="11" t="n">
        <v>45010.54008101852</v>
      </c>
      <c r="B245" s="4" t="inlineStr">
        <is>
          <t>2023-03</t>
        </is>
      </c>
      <c r="C245" s="4" t="n">
        <v>33</v>
      </c>
      <c r="D245" s="9" t="inlineStr">
        <is>
          <t>Search in Rotated Sorted Array</t>
        </is>
      </c>
      <c r="E245" s="4" t="inlineStr">
        <is>
          <t>Medium</t>
        </is>
      </c>
      <c r="F245" s="4" t="inlineStr">
        <is>
          <t>Binary Search</t>
        </is>
      </c>
      <c r="G245" s="4" t="inlineStr">
        <is>
          <t>Accepted</t>
        </is>
      </c>
      <c r="H245" s="4" t="inlineStr">
        <is>
          <t>C++</t>
        </is>
      </c>
      <c r="I245" s="4" t="inlineStr">
        <is>
          <t>7 ms</t>
        </is>
      </c>
      <c r="J245" s="4" t="inlineStr">
        <is>
          <t>11.1 MB</t>
        </is>
      </c>
      <c r="K245" s="4" t="n">
        <v>0.4</v>
      </c>
      <c r="L245" s="4" t="inlineStr">
        <is>
          <t>195/195</t>
        </is>
      </c>
      <c r="M245" s="9" t="inlineStr">
        <is>
          <t>Submission 921712032</t>
        </is>
      </c>
      <c r="N245" s="4" t="inlineStr">
        <is>
          <t>Yes</t>
        </is>
      </c>
    </row>
    <row r="246">
      <c r="A246" s="11" t="n">
        <v>45010.56799768518</v>
      </c>
      <c r="B246" s="4" t="inlineStr">
        <is>
          <t>2023-03</t>
        </is>
      </c>
      <c r="C246" s="4" t="n">
        <v>210</v>
      </c>
      <c r="D246" s="9" t="inlineStr">
        <is>
          <t>Course Schedule II</t>
        </is>
      </c>
      <c r="E246" s="4" t="inlineStr">
        <is>
          <t>Medium</t>
        </is>
      </c>
      <c r="F246" s="4" t="inlineStr">
        <is>
          <t>Graph: Topological Sort</t>
        </is>
      </c>
      <c r="G246" s="4" t="inlineStr">
        <is>
          <t>Accepted</t>
        </is>
      </c>
      <c r="H246" s="4" t="inlineStr">
        <is>
          <t>C++</t>
        </is>
      </c>
      <c r="I246" s="4" t="inlineStr">
        <is>
          <t>32 ms</t>
        </is>
      </c>
      <c r="J246" s="4" t="inlineStr">
        <is>
          <t>14.1 MB</t>
        </is>
      </c>
      <c r="K246" s="4" t="n">
        <v>5.1</v>
      </c>
      <c r="L246" s="4" t="inlineStr">
        <is>
          <t>45/45</t>
        </is>
      </c>
      <c r="M246" s="9" t="inlineStr">
        <is>
          <t>Submission 921728668</t>
        </is>
      </c>
      <c r="N246" s="4" t="inlineStr">
        <is>
          <t>Yes</t>
        </is>
      </c>
    </row>
    <row r="247">
      <c r="A247" s="11" t="n">
        <v>45010.60443287037</v>
      </c>
      <c r="B247" s="4" t="inlineStr">
        <is>
          <t>2023-03</t>
        </is>
      </c>
      <c r="C247" s="4" t="n">
        <v>328</v>
      </c>
      <c r="D247" s="9" t="inlineStr">
        <is>
          <t>Odd Even Linked List</t>
        </is>
      </c>
      <c r="E247" s="4" t="inlineStr">
        <is>
          <t>Medium</t>
        </is>
      </c>
      <c r="F247" s="4" t="inlineStr">
        <is>
          <t>Linked List</t>
        </is>
      </c>
      <c r="G247" s="4" t="inlineStr">
        <is>
          <t>Accepted</t>
        </is>
      </c>
      <c r="H247" s="4" t="inlineStr">
        <is>
          <t>C++</t>
        </is>
      </c>
      <c r="I247" s="4" t="inlineStr">
        <is>
          <t>18 ms</t>
        </is>
      </c>
      <c r="J247" s="4" t="inlineStr">
        <is>
          <t>10.6 MB</t>
        </is>
      </c>
      <c r="K247" s="4" t="n">
        <v>0.7</v>
      </c>
      <c r="L247" s="4" t="inlineStr">
        <is>
          <t>70/70</t>
        </is>
      </c>
      <c r="M247" s="9" t="inlineStr">
        <is>
          <t>Submission 921750222</t>
        </is>
      </c>
      <c r="N247" s="4" t="inlineStr">
        <is>
          <t>Yes</t>
        </is>
      </c>
    </row>
    <row r="248">
      <c r="A248" s="11" t="n">
        <v>45010.62490740741</v>
      </c>
      <c r="B248" s="4" t="inlineStr">
        <is>
          <t>2023-03</t>
        </is>
      </c>
      <c r="C248" s="4" t="n">
        <v>725</v>
      </c>
      <c r="D248" s="9" t="inlineStr">
        <is>
          <t>Split Linked List in Parts</t>
        </is>
      </c>
      <c r="E248" s="4" t="inlineStr">
        <is>
          <t>Medium</t>
        </is>
      </c>
      <c r="F248" s="4" t="inlineStr">
        <is>
          <t>Linked List</t>
        </is>
      </c>
      <c r="G248" s="4" t="inlineStr">
        <is>
          <t>Wrong Answer</t>
        </is>
      </c>
      <c r="H248" s="4" t="inlineStr">
        <is>
          <t>C++</t>
        </is>
      </c>
      <c r="I248" s="4" t="inlineStr">
        <is>
          <t>N/A</t>
        </is>
      </c>
      <c r="J248" s="4" t="inlineStr">
        <is>
          <t>N/A</t>
        </is>
      </c>
      <c r="K248" s="4" t="n"/>
      <c r="L248" s="4" t="inlineStr"/>
      <c r="M248" s="9" t="inlineStr">
        <is>
          <t>Submission 921762395</t>
        </is>
      </c>
      <c r="N248" s="4" t="inlineStr">
        <is>
          <t>Yes</t>
        </is>
      </c>
    </row>
    <row r="249">
      <c r="A249" s="11" t="n">
        <v>45010.62516203704</v>
      </c>
      <c r="B249" s="4" t="inlineStr">
        <is>
          <t>2023-03</t>
        </is>
      </c>
      <c r="C249" s="4" t="n">
        <v>725</v>
      </c>
      <c r="D249" s="9" t="inlineStr">
        <is>
          <t>Split Linked List in Parts</t>
        </is>
      </c>
      <c r="E249" s="4" t="inlineStr">
        <is>
          <t>Medium</t>
        </is>
      </c>
      <c r="F249" s="4" t="inlineStr">
        <is>
          <t>Linked List</t>
        </is>
      </c>
      <c r="G249" s="4" t="inlineStr">
        <is>
          <t>Accepted</t>
        </is>
      </c>
      <c r="H249" s="4" t="inlineStr">
        <is>
          <t>C++</t>
        </is>
      </c>
      <c r="I249" s="4" t="inlineStr">
        <is>
          <t>8 ms</t>
        </is>
      </c>
      <c r="J249" s="4" t="inlineStr">
        <is>
          <t>8.9 MB</t>
        </is>
      </c>
      <c r="K249" s="4" t="n">
        <v>0.1</v>
      </c>
      <c r="L249" s="4" t="inlineStr">
        <is>
          <t>43/43</t>
        </is>
      </c>
      <c r="M249" s="9" t="inlineStr">
        <is>
          <t>Submission 921762544</t>
        </is>
      </c>
      <c r="N249" s="4" t="inlineStr">
        <is>
          <t>Yes</t>
        </is>
      </c>
    </row>
    <row r="250">
      <c r="A250" s="11" t="n">
        <v>45010.63520833333</v>
      </c>
      <c r="B250" s="4" t="inlineStr">
        <is>
          <t>2023-03</t>
        </is>
      </c>
      <c r="C250" s="4" t="n">
        <v>61</v>
      </c>
      <c r="D250" s="9" t="inlineStr">
        <is>
          <t>Rotate List</t>
        </is>
      </c>
      <c r="E250" s="4" t="inlineStr">
        <is>
          <t>Medium</t>
        </is>
      </c>
      <c r="F250" s="4" t="inlineStr">
        <is>
          <t>Linked List</t>
        </is>
      </c>
      <c r="G250" s="4" t="inlineStr">
        <is>
          <t>Runtime Error</t>
        </is>
      </c>
      <c r="H250" s="4" t="inlineStr">
        <is>
          <t>C++</t>
        </is>
      </c>
      <c r="I250" s="4" t="inlineStr">
        <is>
          <t>N/A</t>
        </is>
      </c>
      <c r="J250" s="4" t="inlineStr">
        <is>
          <t>N/A</t>
        </is>
      </c>
      <c r="K250" s="4" t="n"/>
      <c r="L250" s="4" t="inlineStr">
        <is>
          <t>2/231</t>
        </is>
      </c>
      <c r="M250" s="9" t="inlineStr">
        <is>
          <t>Submission 921768791</t>
        </is>
      </c>
      <c r="N250" s="4" t="inlineStr">
        <is>
          <t>Yes</t>
        </is>
      </c>
    </row>
    <row r="251">
      <c r="A251" s="11" t="n">
        <v>45010.63577546296</v>
      </c>
      <c r="B251" s="4" t="inlineStr">
        <is>
          <t>2023-03</t>
        </is>
      </c>
      <c r="C251" s="4" t="n">
        <v>61</v>
      </c>
      <c r="D251" s="9" t="inlineStr">
        <is>
          <t>Rotate List</t>
        </is>
      </c>
      <c r="E251" s="4" t="inlineStr">
        <is>
          <t>Medium</t>
        </is>
      </c>
      <c r="F251" s="4" t="inlineStr">
        <is>
          <t>Linked List</t>
        </is>
      </c>
      <c r="G251" s="4" t="inlineStr">
        <is>
          <t>Runtime Error</t>
        </is>
      </c>
      <c r="H251" s="4" t="inlineStr">
        <is>
          <t>C++</t>
        </is>
      </c>
      <c r="I251" s="4" t="inlineStr">
        <is>
          <t>N/A</t>
        </is>
      </c>
      <c r="J251" s="4" t="inlineStr">
        <is>
          <t>N/A</t>
        </is>
      </c>
      <c r="K251" s="4" t="n"/>
      <c r="L251" s="4" t="inlineStr">
        <is>
          <t>3/231</t>
        </is>
      </c>
      <c r="M251" s="9" t="inlineStr">
        <is>
          <t>Submission 921769122</t>
        </is>
      </c>
      <c r="N251" s="4" t="inlineStr">
        <is>
          <t>Yes</t>
        </is>
      </c>
    </row>
    <row r="252">
      <c r="A252" s="11" t="n">
        <v>45010.63649305556</v>
      </c>
      <c r="B252" s="4" t="inlineStr">
        <is>
          <t>2023-03</t>
        </is>
      </c>
      <c r="C252" s="4" t="n">
        <v>61</v>
      </c>
      <c r="D252" s="9" t="inlineStr">
        <is>
          <t>Rotate List</t>
        </is>
      </c>
      <c r="E252" s="4" t="inlineStr">
        <is>
          <t>Medium</t>
        </is>
      </c>
      <c r="F252" s="4" t="inlineStr">
        <is>
          <t>Linked List</t>
        </is>
      </c>
      <c r="G252" s="4" t="inlineStr">
        <is>
          <t>Runtime Error</t>
        </is>
      </c>
      <c r="H252" s="4" t="inlineStr">
        <is>
          <t>C++</t>
        </is>
      </c>
      <c r="I252" s="4" t="inlineStr">
        <is>
          <t>N/A</t>
        </is>
      </c>
      <c r="J252" s="4" t="inlineStr">
        <is>
          <t>N/A</t>
        </is>
      </c>
      <c r="K252" s="4" t="n"/>
      <c r="L252" s="4" t="inlineStr">
        <is>
          <t>5/231</t>
        </is>
      </c>
      <c r="M252" s="9" t="inlineStr">
        <is>
          <t>Submission 921769552</t>
        </is>
      </c>
      <c r="N252" s="4" t="inlineStr">
        <is>
          <t>Yes</t>
        </is>
      </c>
    </row>
    <row r="253">
      <c r="A253" s="11" t="n">
        <v>45010.63804398148</v>
      </c>
      <c r="B253" s="4" t="inlineStr">
        <is>
          <t>2023-03</t>
        </is>
      </c>
      <c r="C253" s="4" t="n">
        <v>61</v>
      </c>
      <c r="D253" s="9" t="inlineStr">
        <is>
          <t>Rotate List</t>
        </is>
      </c>
      <c r="E253" s="4" t="inlineStr">
        <is>
          <t>Medium</t>
        </is>
      </c>
      <c r="F253" s="4" t="inlineStr">
        <is>
          <t>Linked List</t>
        </is>
      </c>
      <c r="G253" s="4" t="inlineStr">
        <is>
          <t>Accepted</t>
        </is>
      </c>
      <c r="H253" s="4" t="inlineStr">
        <is>
          <t>C++</t>
        </is>
      </c>
      <c r="I253" s="4" t="inlineStr">
        <is>
          <t>11 ms</t>
        </is>
      </c>
      <c r="J253" s="4" t="inlineStr">
        <is>
          <t>11.7 MB</t>
        </is>
      </c>
      <c r="K253" s="4" t="n">
        <v>0.7</v>
      </c>
      <c r="L253" s="4" t="inlineStr">
        <is>
          <t>231/231</t>
        </is>
      </c>
      <c r="M253" s="9" t="inlineStr">
        <is>
          <t>Submission 921770509</t>
        </is>
      </c>
      <c r="N253" s="4" t="inlineStr">
        <is>
          <t>Yes</t>
        </is>
      </c>
    </row>
    <row r="254">
      <c r="A254" s="11" t="n">
        <v>45010.65149305556</v>
      </c>
      <c r="B254" s="4" t="inlineStr">
        <is>
          <t>2023-03</t>
        </is>
      </c>
      <c r="C254" s="4" t="n">
        <v>148</v>
      </c>
      <c r="D254" s="9" t="inlineStr">
        <is>
          <t>Sort List</t>
        </is>
      </c>
      <c r="E254" s="4" t="inlineStr">
        <is>
          <t>Medium</t>
        </is>
      </c>
      <c r="F254" s="4" t="inlineStr">
        <is>
          <t>Linked List</t>
        </is>
      </c>
      <c r="G254" s="4" t="inlineStr">
        <is>
          <t>Accepted</t>
        </is>
      </c>
      <c r="H254" s="4" t="inlineStr">
        <is>
          <t>C++</t>
        </is>
      </c>
      <c r="I254" s="4" t="inlineStr">
        <is>
          <t>179 ms</t>
        </is>
      </c>
      <c r="J254" s="4" t="inlineStr">
        <is>
          <t>50.9 MB</t>
        </is>
      </c>
      <c r="K254" s="4" t="n">
        <v>5.2</v>
      </c>
      <c r="L254" s="4" t="inlineStr">
        <is>
          <t>30/30</t>
        </is>
      </c>
      <c r="M254" s="9" t="inlineStr">
        <is>
          <t>Submission 921778877</t>
        </is>
      </c>
      <c r="N254" s="4" t="inlineStr">
        <is>
          <t>Yes</t>
        </is>
      </c>
    </row>
    <row r="255">
      <c r="A255" s="11" t="n">
        <v>45010.65863425926</v>
      </c>
      <c r="B255" s="4" t="inlineStr">
        <is>
          <t>2023-03</t>
        </is>
      </c>
      <c r="C255" s="4" t="n">
        <v>101</v>
      </c>
      <c r="D255" s="9" t="inlineStr">
        <is>
          <t>Symmetric Tree</t>
        </is>
      </c>
      <c r="E255" s="4" t="inlineStr">
        <is>
          <t>Easy</t>
        </is>
      </c>
      <c r="F255" s="4" t="inlineStr">
        <is>
          <t>Binary Tree (DFS &amp; Recursion)</t>
        </is>
      </c>
      <c r="G255" s="4" t="inlineStr">
        <is>
          <t>Accepted</t>
        </is>
      </c>
      <c r="H255" s="4" t="inlineStr">
        <is>
          <t>C++</t>
        </is>
      </c>
      <c r="I255" s="4" t="inlineStr">
        <is>
          <t>7 ms</t>
        </is>
      </c>
      <c r="J255" s="4" t="inlineStr">
        <is>
          <t>16.5 MB</t>
        </is>
      </c>
      <c r="K255" s="4" t="n">
        <v>0.5</v>
      </c>
      <c r="L255" s="4" t="inlineStr">
        <is>
          <t>199/199</t>
        </is>
      </c>
      <c r="M255" s="9" t="inlineStr">
        <is>
          <t>Submission 921783249</t>
        </is>
      </c>
      <c r="N255" s="4" t="inlineStr">
        <is>
          <t>Yes</t>
        </is>
      </c>
    </row>
    <row r="256">
      <c r="A256" s="11" t="n">
        <v>45010.65925925926</v>
      </c>
      <c r="B256" s="4" t="inlineStr">
        <is>
          <t>2023-03</t>
        </is>
      </c>
      <c r="C256" s="4" t="n">
        <v>101</v>
      </c>
      <c r="D256" s="9" t="inlineStr">
        <is>
          <t>Symmetric Tree</t>
        </is>
      </c>
      <c r="E256" s="4" t="inlineStr">
        <is>
          <t>Easy</t>
        </is>
      </c>
      <c r="F256" s="4" t="inlineStr">
        <is>
          <t>Binary Tree (DFS &amp; Recursion)</t>
        </is>
      </c>
      <c r="G256" s="4" t="inlineStr">
        <is>
          <t>Accepted</t>
        </is>
      </c>
      <c r="H256" s="4" t="inlineStr">
        <is>
          <t>C++</t>
        </is>
      </c>
      <c r="I256" s="4" t="inlineStr">
        <is>
          <t>5 ms</t>
        </is>
      </c>
      <c r="J256" s="4" t="inlineStr">
        <is>
          <t>16.3 MB</t>
        </is>
      </c>
      <c r="K256" s="4" t="n">
        <v>0.5</v>
      </c>
      <c r="L256" s="4" t="inlineStr">
        <is>
          <t>199/199</t>
        </is>
      </c>
      <c r="M256" s="9" t="inlineStr">
        <is>
          <t>Submission 921783664</t>
        </is>
      </c>
      <c r="N256" s="4" t="inlineStr">
        <is>
          <t>Yes</t>
        </is>
      </c>
    </row>
    <row r="257">
      <c r="A257" s="11" t="n">
        <v>45010.66074074074</v>
      </c>
      <c r="B257" s="4" t="inlineStr">
        <is>
          <t>2023-03</t>
        </is>
      </c>
      <c r="C257" s="4" t="n">
        <v>104</v>
      </c>
      <c r="D257" s="9" t="inlineStr">
        <is>
          <t>Maximum Depth of Binary Tree</t>
        </is>
      </c>
      <c r="E257" s="4" t="inlineStr">
        <is>
          <t>Easy</t>
        </is>
      </c>
      <c r="F257" s="4" t="inlineStr">
        <is>
          <t>Binary Tree (DFS &amp; Recursion)</t>
        </is>
      </c>
      <c r="G257" s="4" t="inlineStr">
        <is>
          <t>Accepted</t>
        </is>
      </c>
      <c r="H257" s="4" t="inlineStr">
        <is>
          <t>C++</t>
        </is>
      </c>
      <c r="I257" s="4" t="inlineStr">
        <is>
          <t>7 ms</t>
        </is>
      </c>
      <c r="J257" s="4" t="inlineStr">
        <is>
          <t>18.9 MB</t>
        </is>
      </c>
      <c r="K257" s="4" t="n">
        <v>1</v>
      </c>
      <c r="L257" s="4" t="inlineStr">
        <is>
          <t>39/39</t>
        </is>
      </c>
      <c r="M257" s="9" t="inlineStr">
        <is>
          <t>Submission 921784525</t>
        </is>
      </c>
      <c r="N257" s="4" t="inlineStr">
        <is>
          <t>Yes</t>
        </is>
      </c>
    </row>
    <row r="258">
      <c r="A258" s="11" t="n">
        <v>45010.66527777778</v>
      </c>
      <c r="B258" s="4" t="inlineStr">
        <is>
          <t>2023-03</t>
        </is>
      </c>
      <c r="C258" s="4" t="n">
        <v>116</v>
      </c>
      <c r="D258" s="9" t="inlineStr">
        <is>
          <t>Populating Next Right Pointers in Each Node</t>
        </is>
      </c>
      <c r="E258" s="4" t="inlineStr">
        <is>
          <t>Medium</t>
        </is>
      </c>
      <c r="F258" s="4" t="inlineStr">
        <is>
          <t>Binary Tree (BFS / Level Order)</t>
        </is>
      </c>
      <c r="G258" s="4" t="inlineStr">
        <is>
          <t>Accepted</t>
        </is>
      </c>
      <c r="H258" s="4" t="inlineStr">
        <is>
          <t>C++</t>
        </is>
      </c>
      <c r="I258" s="4" t="inlineStr">
        <is>
          <t>19 ms</t>
        </is>
      </c>
      <c r="J258" s="4" t="inlineStr">
        <is>
          <t>17.4 MB</t>
        </is>
      </c>
      <c r="K258" s="4" t="n">
        <v>11.8</v>
      </c>
      <c r="L258" s="4" t="inlineStr">
        <is>
          <t>59/59</t>
        </is>
      </c>
      <c r="M258" s="9" t="inlineStr">
        <is>
          <t>Submission 921787275</t>
        </is>
      </c>
      <c r="N258" s="4" t="inlineStr">
        <is>
          <t>Yes</t>
        </is>
      </c>
    </row>
    <row r="259">
      <c r="A259" s="11" t="n">
        <v>45010.69734953704</v>
      </c>
      <c r="B259" s="4" t="inlineStr">
        <is>
          <t>2023-03</t>
        </is>
      </c>
      <c r="C259" s="4" t="n">
        <v>130</v>
      </c>
      <c r="D259" s="9" t="inlineStr">
        <is>
          <t>Surrounded Regions</t>
        </is>
      </c>
      <c r="E259" s="4" t="inlineStr">
        <is>
          <t>Medium</t>
        </is>
      </c>
      <c r="F259" s="4" t="inlineStr">
        <is>
          <t>Graph: Grid BFS/DFS</t>
        </is>
      </c>
      <c r="G259" s="4" t="inlineStr">
        <is>
          <t>Accepted</t>
        </is>
      </c>
      <c r="H259" s="4" t="inlineStr">
        <is>
          <t>C++</t>
        </is>
      </c>
      <c r="I259" s="4" t="inlineStr">
        <is>
          <t>12 ms</t>
        </is>
      </c>
      <c r="J259" s="4" t="inlineStr">
        <is>
          <t>11.2 MB</t>
        </is>
      </c>
      <c r="K259" s="4" t="n">
        <v>5.1</v>
      </c>
      <c r="L259" s="4" t="inlineStr">
        <is>
          <t>58/58</t>
        </is>
      </c>
      <c r="M259" s="9" t="inlineStr">
        <is>
          <t>Submission 921806754</t>
        </is>
      </c>
      <c r="N259" s="4" t="inlineStr">
        <is>
          <t>Yes</t>
        </is>
      </c>
    </row>
    <row r="260">
      <c r="A260" s="11" t="n">
        <v>45010.6977662037</v>
      </c>
      <c r="B260" s="4" t="inlineStr">
        <is>
          <t>2023-03</t>
        </is>
      </c>
      <c r="C260" s="4" t="n">
        <v>130</v>
      </c>
      <c r="D260" s="9" t="inlineStr">
        <is>
          <t>Surrounded Regions</t>
        </is>
      </c>
      <c r="E260" s="4" t="inlineStr">
        <is>
          <t>Medium</t>
        </is>
      </c>
      <c r="F260" s="4" t="inlineStr">
        <is>
          <t>Graph: Grid BFS/DFS</t>
        </is>
      </c>
      <c r="G260" s="4" t="inlineStr">
        <is>
          <t>Accepted</t>
        </is>
      </c>
      <c r="H260" s="4" t="inlineStr">
        <is>
          <t>C++</t>
        </is>
      </c>
      <c r="I260" s="4" t="inlineStr">
        <is>
          <t>15 ms</t>
        </is>
      </c>
      <c r="J260" s="4" t="inlineStr">
        <is>
          <t>11.2 MB</t>
        </is>
      </c>
      <c r="K260" s="4" t="n">
        <v>5.1</v>
      </c>
      <c r="L260" s="4" t="inlineStr">
        <is>
          <t>58/58</t>
        </is>
      </c>
      <c r="M260" s="9" t="inlineStr">
        <is>
          <t>Submission 921806966</t>
        </is>
      </c>
      <c r="N260" s="4" t="inlineStr">
        <is>
          <t>Yes</t>
        </is>
      </c>
    </row>
    <row r="261">
      <c r="A261" s="11" t="n">
        <v>45010.70930555555</v>
      </c>
      <c r="B261" s="4" t="inlineStr">
        <is>
          <t>2023-03</t>
        </is>
      </c>
      <c r="C261" s="4" t="n">
        <v>329</v>
      </c>
      <c r="D261" s="9" t="inlineStr">
        <is>
          <t>Longest Increasing Path in a Matrix</t>
        </is>
      </c>
      <c r="E261" s="4" t="inlineStr">
        <is>
          <t>Hard</t>
        </is>
      </c>
      <c r="F261" s="4" t="inlineStr">
        <is>
          <t>DP: Grid / 2D</t>
        </is>
      </c>
      <c r="G261" s="4" t="inlineStr">
        <is>
          <t>Time Limit Exceeded</t>
        </is>
      </c>
      <c r="H261" s="4" t="inlineStr">
        <is>
          <t>C++</t>
        </is>
      </c>
      <c r="I261" s="4" t="inlineStr">
        <is>
          <t>N/A</t>
        </is>
      </c>
      <c r="J261" s="4" t="inlineStr">
        <is>
          <t>N/A</t>
        </is>
      </c>
      <c r="K261" s="4" t="n"/>
      <c r="L261" s="4" t="inlineStr">
        <is>
          <t>135/138</t>
        </is>
      </c>
      <c r="M261" s="9" t="inlineStr">
        <is>
          <t>Submission 921813513</t>
        </is>
      </c>
      <c r="N261" s="4" t="inlineStr">
        <is>
          <t>Yes</t>
        </is>
      </c>
    </row>
    <row r="262">
      <c r="A262" s="11" t="n">
        <v>45010.71231481482</v>
      </c>
      <c r="B262" s="4" t="inlineStr">
        <is>
          <t>2023-03</t>
        </is>
      </c>
      <c r="C262" s="4" t="n">
        <v>329</v>
      </c>
      <c r="D262" s="9" t="inlineStr">
        <is>
          <t>Longest Increasing Path in a Matrix</t>
        </is>
      </c>
      <c r="E262" s="4" t="inlineStr">
        <is>
          <t>Hard</t>
        </is>
      </c>
      <c r="F262" s="4" t="inlineStr">
        <is>
          <t>DP: Grid / 2D</t>
        </is>
      </c>
      <c r="G262" s="4" t="inlineStr">
        <is>
          <t>Accepted</t>
        </is>
      </c>
      <c r="H262" s="4" t="inlineStr">
        <is>
          <t>C++</t>
        </is>
      </c>
      <c r="I262" s="4" t="inlineStr">
        <is>
          <t>196 ms</t>
        </is>
      </c>
      <c r="J262" s="4" t="inlineStr">
        <is>
          <t>41 MB</t>
        </is>
      </c>
      <c r="K262" s="4" t="n">
        <v>5.7</v>
      </c>
      <c r="L262" s="4" t="inlineStr">
        <is>
          <t>138/138</t>
        </is>
      </c>
      <c r="M262" s="9" t="inlineStr">
        <is>
          <t>Submission 921815109</t>
        </is>
      </c>
      <c r="N262" s="4" t="inlineStr">
        <is>
          <t>Yes</t>
        </is>
      </c>
    </row>
    <row r="263">
      <c r="A263" s="11" t="n">
        <v>45010.71329861111</v>
      </c>
      <c r="B263" s="4" t="inlineStr">
        <is>
          <t>2023-03</t>
        </is>
      </c>
      <c r="C263" s="4" t="n">
        <v>329</v>
      </c>
      <c r="D263" s="9" t="inlineStr">
        <is>
          <t>Longest Increasing Path in a Matrix</t>
        </is>
      </c>
      <c r="E263" s="4" t="inlineStr">
        <is>
          <t>Hard</t>
        </is>
      </c>
      <c r="F263" s="4" t="inlineStr">
        <is>
          <t>DP: Grid / 2D</t>
        </is>
      </c>
      <c r="G263" s="4" t="inlineStr">
        <is>
          <t>Accepted</t>
        </is>
      </c>
      <c r="H263" s="4" t="inlineStr">
        <is>
          <t>C++</t>
        </is>
      </c>
      <c r="I263" s="4" t="inlineStr">
        <is>
          <t>195 ms</t>
        </is>
      </c>
      <c r="J263" s="4" t="inlineStr">
        <is>
          <t>40.9 MB</t>
        </is>
      </c>
      <c r="K263" s="4" t="n">
        <v>5.8</v>
      </c>
      <c r="L263" s="4" t="inlineStr">
        <is>
          <t>138/138</t>
        </is>
      </c>
      <c r="M263" s="9" t="inlineStr">
        <is>
          <t>Submission 921815666</t>
        </is>
      </c>
      <c r="N263" s="4" t="inlineStr">
        <is>
          <t>Yes</t>
        </is>
      </c>
    </row>
    <row r="264">
      <c r="A264" s="11" t="n">
        <v>45010.81021990741</v>
      </c>
      <c r="B264" s="4" t="inlineStr">
        <is>
          <t>2023-03</t>
        </is>
      </c>
      <c r="C264" s="4" t="n">
        <v>269</v>
      </c>
      <c r="D264" s="9" t="inlineStr">
        <is>
          <t>Alien Dictionary</t>
        </is>
      </c>
      <c r="E264" s="4" t="inlineStr">
        <is>
          <t>Hard</t>
        </is>
      </c>
      <c r="F264" s="4" t="inlineStr">
        <is>
          <t>Graph: Topological Sort</t>
        </is>
      </c>
      <c r="G264" s="4" t="inlineStr">
        <is>
          <t>Accepted</t>
        </is>
      </c>
      <c r="H264" s="4" t="inlineStr">
        <is>
          <t>C++</t>
        </is>
      </c>
      <c r="I264" s="4" t="inlineStr">
        <is>
          <t>8 ms</t>
        </is>
      </c>
      <c r="J264" s="4" t="inlineStr">
        <is>
          <t>9.7 MB</t>
        </is>
      </c>
      <c r="K264" s="4" t="n">
        <v>6.3</v>
      </c>
      <c r="L264" s="4" t="inlineStr">
        <is>
          <t>127/127</t>
        </is>
      </c>
      <c r="M264" s="9" t="inlineStr">
        <is>
          <t>Submission 921872538</t>
        </is>
      </c>
      <c r="N264" s="4" t="inlineStr">
        <is>
          <t>Yes</t>
        </is>
      </c>
    </row>
    <row r="265">
      <c r="A265" s="11" t="n">
        <v>45010.81560185185</v>
      </c>
      <c r="B265" s="4" t="inlineStr">
        <is>
          <t>2023-03</t>
        </is>
      </c>
      <c r="C265" s="4" t="n">
        <v>269</v>
      </c>
      <c r="D265" s="9" t="inlineStr">
        <is>
          <t>Alien Dictionary</t>
        </is>
      </c>
      <c r="E265" s="4" t="inlineStr">
        <is>
          <t>Hard</t>
        </is>
      </c>
      <c r="F265" s="4" t="inlineStr">
        <is>
          <t>Graph: Topological Sort</t>
        </is>
      </c>
      <c r="G265" s="4" t="inlineStr">
        <is>
          <t>Wrong Answer</t>
        </is>
      </c>
      <c r="H265" s="4" t="inlineStr">
        <is>
          <t>C++</t>
        </is>
      </c>
      <c r="I265" s="4" t="inlineStr">
        <is>
          <t>N/A</t>
        </is>
      </c>
      <c r="J265" s="4" t="inlineStr">
        <is>
          <t>N/A</t>
        </is>
      </c>
      <c r="K265" s="4" t="n"/>
      <c r="L265" s="4" t="inlineStr">
        <is>
          <t>104/127</t>
        </is>
      </c>
      <c r="M265" s="9" t="inlineStr">
        <is>
          <t>Submission 921875962</t>
        </is>
      </c>
      <c r="N265" s="4" t="inlineStr">
        <is>
          <t>Yes</t>
        </is>
      </c>
    </row>
    <row r="266">
      <c r="A266" s="11" t="n">
        <v>45010.8484375</v>
      </c>
      <c r="B266" s="4" t="inlineStr">
        <is>
          <t>2023-03</t>
        </is>
      </c>
      <c r="C266" s="4" t="n">
        <v>269</v>
      </c>
      <c r="D266" s="9" t="inlineStr">
        <is>
          <t>Alien Dictionary</t>
        </is>
      </c>
      <c r="E266" s="4" t="inlineStr">
        <is>
          <t>Hard</t>
        </is>
      </c>
      <c r="F266" s="4" t="inlineStr">
        <is>
          <t>Graph: Topological Sort</t>
        </is>
      </c>
      <c r="G266" s="4" t="inlineStr">
        <is>
          <t>Accepted</t>
        </is>
      </c>
      <c r="H266" s="4" t="inlineStr">
        <is>
          <t>C++</t>
        </is>
      </c>
      <c r="I266" s="4" t="inlineStr">
        <is>
          <t>4 ms</t>
        </is>
      </c>
      <c r="J266" s="4" t="inlineStr">
        <is>
          <t>9.5 MB</t>
        </is>
      </c>
      <c r="K266" s="4" t="n">
        <v>18.8</v>
      </c>
      <c r="L266" s="4" t="inlineStr">
        <is>
          <t>127/127</t>
        </is>
      </c>
      <c r="M266" s="9" t="inlineStr">
        <is>
          <t>Submission 921897939</t>
        </is>
      </c>
      <c r="N266" s="4" t="inlineStr">
        <is>
          <t>Yes</t>
        </is>
      </c>
    </row>
    <row r="267">
      <c r="A267" s="11" t="n">
        <v>45010.8596412037</v>
      </c>
      <c r="B267" s="4" t="inlineStr">
        <is>
          <t>2023-03</t>
        </is>
      </c>
      <c r="C267" s="4" t="n">
        <v>2316</v>
      </c>
      <c r="D267" s="9" t="inlineStr">
        <is>
          <t>Count Unreachable Pairs of Nodes in an Undirected Graph</t>
        </is>
      </c>
      <c r="E267" s="4" t="inlineStr">
        <is>
          <t>Medium</t>
        </is>
      </c>
      <c r="F267" s="4" t="inlineStr">
        <is>
          <t>Graph: Union-Find</t>
        </is>
      </c>
      <c r="G267" s="4" t="inlineStr">
        <is>
          <t>Runtime Error</t>
        </is>
      </c>
      <c r="H267" s="4" t="inlineStr">
        <is>
          <t>C++</t>
        </is>
      </c>
      <c r="I267" s="4" t="inlineStr">
        <is>
          <t>N/A</t>
        </is>
      </c>
      <c r="J267" s="4" t="inlineStr">
        <is>
          <t>N/A</t>
        </is>
      </c>
      <c r="K267" s="4" t="n"/>
      <c r="L267" s="4" t="inlineStr">
        <is>
          <t>56/66</t>
        </is>
      </c>
      <c r="M267" s="9" t="inlineStr">
        <is>
          <t>Submission 921905288</t>
        </is>
      </c>
      <c r="N267" s="4" t="inlineStr">
        <is>
          <t>Yes</t>
        </is>
      </c>
    </row>
    <row r="268">
      <c r="A268" s="11" t="n">
        <v>45010.86003472222</v>
      </c>
      <c r="B268" s="4" t="inlineStr">
        <is>
          <t>2023-03</t>
        </is>
      </c>
      <c r="C268" s="4" t="n">
        <v>2316</v>
      </c>
      <c r="D268" s="9" t="inlineStr">
        <is>
          <t>Count Unreachable Pairs of Nodes in an Undirected Graph</t>
        </is>
      </c>
      <c r="E268" s="4" t="inlineStr">
        <is>
          <t>Medium</t>
        </is>
      </c>
      <c r="F268" s="4" t="inlineStr">
        <is>
          <t>Graph: Union-Find</t>
        </is>
      </c>
      <c r="G268" s="4" t="inlineStr">
        <is>
          <t>Accepted</t>
        </is>
      </c>
      <c r="H268" s="4" t="inlineStr">
        <is>
          <t>C++</t>
        </is>
      </c>
      <c r="I268" s="4" t="inlineStr">
        <is>
          <t>609 ms</t>
        </is>
      </c>
      <c r="J268" s="4" t="inlineStr">
        <is>
          <t>204 MB</t>
        </is>
      </c>
      <c r="K268" s="4" t="n">
        <v>5.1</v>
      </c>
      <c r="L268" s="4" t="inlineStr">
        <is>
          <t>66/66</t>
        </is>
      </c>
      <c r="M268" s="9" t="inlineStr">
        <is>
          <t>Submission 921905561</t>
        </is>
      </c>
      <c r="N268" s="4" t="inlineStr">
        <is>
          <t>Yes</t>
        </is>
      </c>
    </row>
    <row r="269">
      <c r="A269" s="11" t="n">
        <v>45010.88097222222</v>
      </c>
      <c r="B269" s="4" t="inlineStr">
        <is>
          <t>2023-03</t>
        </is>
      </c>
      <c r="C269" s="4" t="n">
        <v>1740</v>
      </c>
      <c r="D269" s="9" t="inlineStr">
        <is>
          <t>Find Distance in a Binary Tree</t>
        </is>
      </c>
      <c r="E269" s="4" t="inlineStr">
        <is>
          <t>Medium</t>
        </is>
      </c>
      <c r="F269" s="4" t="inlineStr">
        <is>
          <t>Binary Tree (DFS &amp; Recursion)</t>
        </is>
      </c>
      <c r="G269" s="4" t="inlineStr">
        <is>
          <t>Accepted</t>
        </is>
      </c>
      <c r="H269" s="4" t="inlineStr">
        <is>
          <t>C++</t>
        </is>
      </c>
      <c r="I269" s="4" t="inlineStr">
        <is>
          <t>49 ms</t>
        </is>
      </c>
      <c r="J269" s="4" t="inlineStr">
        <is>
          <t>31.3 MB</t>
        </is>
      </c>
      <c r="K269" s="4" t="n">
        <v>7.7</v>
      </c>
      <c r="L269" s="4" t="inlineStr">
        <is>
          <t>58/58</t>
        </is>
      </c>
      <c r="M269" s="9" t="inlineStr">
        <is>
          <t>Submission 921919496</t>
        </is>
      </c>
      <c r="N269" s="4" t="inlineStr">
        <is>
          <t>Yes</t>
        </is>
      </c>
    </row>
    <row r="270">
      <c r="A270" s="11" t="n">
        <v>45010.88127314814</v>
      </c>
      <c r="B270" s="4" t="inlineStr">
        <is>
          <t>2023-03</t>
        </is>
      </c>
      <c r="C270" s="4" t="n">
        <v>1740</v>
      </c>
      <c r="D270" s="9" t="inlineStr">
        <is>
          <t>Find Distance in a Binary Tree</t>
        </is>
      </c>
      <c r="E270" s="4" t="inlineStr">
        <is>
          <t>Medium</t>
        </is>
      </c>
      <c r="F270" s="4" t="inlineStr">
        <is>
          <t>Binary Tree (DFS &amp; Recursion)</t>
        </is>
      </c>
      <c r="G270" s="4" t="inlineStr">
        <is>
          <t>Accepted</t>
        </is>
      </c>
      <c r="H270" s="4" t="inlineStr">
        <is>
          <t>C++</t>
        </is>
      </c>
      <c r="I270" s="4" t="inlineStr">
        <is>
          <t>31 ms</t>
        </is>
      </c>
      <c r="J270" s="4" t="inlineStr">
        <is>
          <t>31.5 MB</t>
        </is>
      </c>
      <c r="K270" s="4" t="n">
        <v>11.5</v>
      </c>
      <c r="L270" s="4" t="inlineStr">
        <is>
          <t>58/58</t>
        </is>
      </c>
      <c r="M270" s="9" t="inlineStr">
        <is>
          <t>Submission 921919679</t>
        </is>
      </c>
      <c r="N270" s="4" t="inlineStr">
        <is>
          <t>Yes</t>
        </is>
      </c>
    </row>
    <row r="271">
      <c r="A271" s="11" t="n">
        <v>45010.88201388889</v>
      </c>
      <c r="B271" s="4" t="inlineStr">
        <is>
          <t>2023-03</t>
        </is>
      </c>
      <c r="C271" s="4" t="n">
        <v>1740</v>
      </c>
      <c r="D271" s="9" t="inlineStr">
        <is>
          <t>Find Distance in a Binary Tree</t>
        </is>
      </c>
      <c r="E271" s="4" t="inlineStr">
        <is>
          <t>Medium</t>
        </is>
      </c>
      <c r="F271" s="4" t="inlineStr">
        <is>
          <t>Binary Tree (DFS &amp; Recursion)</t>
        </is>
      </c>
      <c r="G271" s="4" t="inlineStr">
        <is>
          <t>Accepted</t>
        </is>
      </c>
      <c r="H271" s="4" t="inlineStr">
        <is>
          <t>C++</t>
        </is>
      </c>
      <c r="I271" s="4" t="inlineStr">
        <is>
          <t>41 ms</t>
        </is>
      </c>
      <c r="J271" s="4" t="inlineStr">
        <is>
          <t>31.3 MB</t>
        </is>
      </c>
      <c r="K271" s="4" t="n">
        <v>11.5</v>
      </c>
      <c r="L271" s="4" t="inlineStr">
        <is>
          <t>58/58</t>
        </is>
      </c>
      <c r="M271" s="9" t="inlineStr">
        <is>
          <t>Submission 921920168</t>
        </is>
      </c>
      <c r="N271" s="4" t="inlineStr">
        <is>
          <t>Yes</t>
        </is>
      </c>
    </row>
    <row r="272">
      <c r="A272" s="11" t="n">
        <v>45010.88555555556</v>
      </c>
      <c r="B272" s="4" t="inlineStr">
        <is>
          <t>2023-03</t>
        </is>
      </c>
      <c r="C272" s="4" t="n">
        <v>1740</v>
      </c>
      <c r="D272" s="9" t="inlineStr">
        <is>
          <t>Find Distance in a Binary Tree</t>
        </is>
      </c>
      <c r="E272" s="4" t="inlineStr">
        <is>
          <t>Medium</t>
        </is>
      </c>
      <c r="F272" s="4" t="inlineStr">
        <is>
          <t>Binary Tree (DFS &amp; Recursion)</t>
        </is>
      </c>
      <c r="G272" s="4" t="inlineStr">
        <is>
          <t>Accepted</t>
        </is>
      </c>
      <c r="H272" s="4" t="inlineStr">
        <is>
          <t>C++</t>
        </is>
      </c>
      <c r="I272" s="4" t="inlineStr">
        <is>
          <t>36 ms</t>
        </is>
      </c>
      <c r="J272" s="4" t="inlineStr">
        <is>
          <t>31.5 MB</t>
        </is>
      </c>
      <c r="K272" s="4" t="n">
        <v>11.5</v>
      </c>
      <c r="L272" s="4" t="inlineStr">
        <is>
          <t>58/58</t>
        </is>
      </c>
      <c r="M272" s="9" t="inlineStr">
        <is>
          <t>Submission 921922599</t>
        </is>
      </c>
      <c r="N272" s="4" t="inlineStr">
        <is>
          <t>Yes</t>
        </is>
      </c>
    </row>
    <row r="273">
      <c r="A273" s="11" t="n">
        <v>45010.90381944444</v>
      </c>
      <c r="B273" s="4" t="inlineStr">
        <is>
          <t>2023-03</t>
        </is>
      </c>
      <c r="C273" s="4" t="n">
        <v>987</v>
      </c>
      <c r="D273" s="9" t="inlineStr">
        <is>
          <t>Vertical Order Traversal of a Binary Tree</t>
        </is>
      </c>
      <c r="E273" s="4" t="inlineStr">
        <is>
          <t>Hard</t>
        </is>
      </c>
      <c r="F273" s="4" t="inlineStr">
        <is>
          <t>Binary Tree (BFS / Level Order)</t>
        </is>
      </c>
      <c r="G273" s="4" t="inlineStr">
        <is>
          <t>Accepted</t>
        </is>
      </c>
      <c r="H273" s="4" t="inlineStr">
        <is>
          <t>C++</t>
        </is>
      </c>
      <c r="I273" s="4" t="inlineStr">
        <is>
          <t>4 ms</t>
        </is>
      </c>
      <c r="J273" s="4" t="inlineStr">
        <is>
          <t>14.1 MB</t>
        </is>
      </c>
      <c r="K273" s="4" t="n">
        <v>21.7</v>
      </c>
      <c r="L273" s="4" t="inlineStr">
        <is>
          <t>32/32</t>
        </is>
      </c>
      <c r="M273" s="9" t="inlineStr">
        <is>
          <t>Submission 921935272</t>
        </is>
      </c>
      <c r="N273" s="4" t="inlineStr">
        <is>
          <t>Yes</t>
        </is>
      </c>
    </row>
    <row r="274">
      <c r="A274" s="11" t="n">
        <v>45010.91204861111</v>
      </c>
      <c r="B274" s="4" t="inlineStr">
        <is>
          <t>2023-03</t>
        </is>
      </c>
      <c r="C274" s="4" t="n">
        <v>987</v>
      </c>
      <c r="D274" s="9" t="inlineStr">
        <is>
          <t>Vertical Order Traversal of a Binary Tree</t>
        </is>
      </c>
      <c r="E274" s="4" t="inlineStr">
        <is>
          <t>Hard</t>
        </is>
      </c>
      <c r="F274" s="4" t="inlineStr">
        <is>
          <t>Binary Tree (BFS / Level Order)</t>
        </is>
      </c>
      <c r="G274" s="4" t="inlineStr">
        <is>
          <t>Wrong Answer</t>
        </is>
      </c>
      <c r="H274" s="4" t="inlineStr">
        <is>
          <t>C++</t>
        </is>
      </c>
      <c r="I274" s="4" t="inlineStr">
        <is>
          <t>N/A</t>
        </is>
      </c>
      <c r="J274" s="4" t="inlineStr">
        <is>
          <t>N/A</t>
        </is>
      </c>
      <c r="K274" s="4" t="n"/>
      <c r="L274" s="4" t="inlineStr">
        <is>
          <t>12/32</t>
        </is>
      </c>
      <c r="M274" s="9" t="inlineStr">
        <is>
          <t>Submission 921941189</t>
        </is>
      </c>
      <c r="N274" s="4" t="inlineStr">
        <is>
          <t>Yes</t>
        </is>
      </c>
    </row>
    <row r="275">
      <c r="A275" s="11" t="n">
        <v>45010.9159375</v>
      </c>
      <c r="B275" s="4" t="inlineStr">
        <is>
          <t>2023-03</t>
        </is>
      </c>
      <c r="C275" s="4" t="n">
        <v>987</v>
      </c>
      <c r="D275" s="9" t="inlineStr">
        <is>
          <t>Vertical Order Traversal of a Binary Tree</t>
        </is>
      </c>
      <c r="E275" s="4" t="inlineStr">
        <is>
          <t>Hard</t>
        </is>
      </c>
      <c r="F275" s="4" t="inlineStr">
        <is>
          <t>Binary Tree (BFS / Level Order)</t>
        </is>
      </c>
      <c r="G275" s="4" t="inlineStr">
        <is>
          <t>Wrong Answer</t>
        </is>
      </c>
      <c r="H275" s="4" t="inlineStr">
        <is>
          <t>C++</t>
        </is>
      </c>
      <c r="I275" s="4" t="inlineStr">
        <is>
          <t>N/A</t>
        </is>
      </c>
      <c r="J275" s="4" t="inlineStr">
        <is>
          <t>N/A</t>
        </is>
      </c>
      <c r="K275" s="4" t="n"/>
      <c r="L275" s="4" t="inlineStr">
        <is>
          <t>14/32</t>
        </is>
      </c>
      <c r="M275" s="9" t="inlineStr">
        <is>
          <t>Submission 921944131</t>
        </is>
      </c>
      <c r="N275" s="4" t="inlineStr">
        <is>
          <t>Yes</t>
        </is>
      </c>
    </row>
    <row r="276">
      <c r="A276" s="11" t="n">
        <v>45010.94716435186</v>
      </c>
      <c r="B276" s="4" t="inlineStr">
        <is>
          <t>2023-03</t>
        </is>
      </c>
      <c r="C276" s="4" t="n">
        <v>427</v>
      </c>
      <c r="D276" s="9" t="inlineStr">
        <is>
          <t>Construct Quad Tree</t>
        </is>
      </c>
      <c r="E276" s="4" t="inlineStr">
        <is>
          <t>Medium</t>
        </is>
      </c>
      <c r="F276" s="4" t="inlineStr">
        <is>
          <t>Binary Tree (DFS &amp; Recursion)</t>
        </is>
      </c>
      <c r="G276" s="4" t="inlineStr">
        <is>
          <t>Accepted</t>
        </is>
      </c>
      <c r="H276" s="4" t="inlineStr">
        <is>
          <t>C++</t>
        </is>
      </c>
      <c r="I276" s="4" t="inlineStr">
        <is>
          <t>16 ms</t>
        </is>
      </c>
      <c r="J276" s="4" t="inlineStr">
        <is>
          <t>15.6 MB</t>
        </is>
      </c>
      <c r="K276" s="4" t="n"/>
      <c r="L276" s="4" t="inlineStr"/>
      <c r="M276" s="9" t="inlineStr">
        <is>
          <t>Submission 921968096</t>
        </is>
      </c>
      <c r="N276" s="4" t="inlineStr">
        <is>
          <t>Yes</t>
        </is>
      </c>
    </row>
    <row r="277">
      <c r="A277" s="11" t="n">
        <v>45010.9482175926</v>
      </c>
      <c r="B277" s="4" t="inlineStr">
        <is>
          <t>2023-03</t>
        </is>
      </c>
      <c r="C277" s="4" t="n">
        <v>427</v>
      </c>
      <c r="D277" s="9" t="inlineStr">
        <is>
          <t>Construct Quad Tree</t>
        </is>
      </c>
      <c r="E277" s="4" t="inlineStr">
        <is>
          <t>Medium</t>
        </is>
      </c>
      <c r="F277" s="4" t="inlineStr">
        <is>
          <t>Binary Tree (DFS &amp; Recursion)</t>
        </is>
      </c>
      <c r="G277" s="4" t="inlineStr">
        <is>
          <t>Accepted</t>
        </is>
      </c>
      <c r="H277" s="4" t="inlineStr">
        <is>
          <t>C++</t>
        </is>
      </c>
      <c r="I277" s="4" t="inlineStr">
        <is>
          <t>16 ms</t>
        </is>
      </c>
      <c r="J277" s="4" t="inlineStr">
        <is>
          <t>15.6 MB</t>
        </is>
      </c>
      <c r="K277" s="4" t="n">
        <v>15.2</v>
      </c>
      <c r="L277" s="4" t="inlineStr">
        <is>
          <t>22/22</t>
        </is>
      </c>
      <c r="M277" s="9" t="inlineStr">
        <is>
          <t>Submission 921968887</t>
        </is>
      </c>
      <c r="N277" s="4" t="inlineStr">
        <is>
          <t>Yes</t>
        </is>
      </c>
    </row>
    <row r="278">
      <c r="A278" s="11" t="n">
        <v>45011.02782407407</v>
      </c>
      <c r="B278" s="4" t="inlineStr">
        <is>
          <t>2023-03</t>
        </is>
      </c>
      <c r="C278" s="4" t="n">
        <v>465</v>
      </c>
      <c r="D278" s="9" t="inlineStr">
        <is>
          <t>Optimal Account Balancing</t>
        </is>
      </c>
      <c r="E278" s="4" t="inlineStr">
        <is>
          <t>Hard</t>
        </is>
      </c>
      <c r="F278" s="4" t="inlineStr">
        <is>
          <t>Backtracking</t>
        </is>
      </c>
      <c r="G278" s="4" t="inlineStr">
        <is>
          <t>Accepted</t>
        </is>
      </c>
      <c r="H278" s="4" t="inlineStr">
        <is>
          <t>C++</t>
        </is>
      </c>
      <c r="I278" s="4" t="inlineStr">
        <is>
          <t>19 ms</t>
        </is>
      </c>
      <c r="J278" s="4" t="inlineStr">
        <is>
          <t>7 MB</t>
        </is>
      </c>
      <c r="K278" s="4" t="n">
        <v>15.1</v>
      </c>
      <c r="L278" s="4" t="inlineStr">
        <is>
          <t>36/36</t>
        </is>
      </c>
      <c r="M278" s="9" t="inlineStr">
        <is>
          <t>Submission 922029790</t>
        </is>
      </c>
      <c r="N278" s="4" t="inlineStr">
        <is>
          <t>Yes</t>
        </is>
      </c>
    </row>
    <row r="279">
      <c r="A279" s="11" t="n">
        <v>45011.02995370371</v>
      </c>
      <c r="B279" s="4" t="inlineStr">
        <is>
          <t>2023-03</t>
        </is>
      </c>
      <c r="C279" s="4" t="n">
        <v>465</v>
      </c>
      <c r="D279" s="9" t="inlineStr">
        <is>
          <t>Optimal Account Balancing</t>
        </is>
      </c>
      <c r="E279" s="4" t="inlineStr">
        <is>
          <t>Hard</t>
        </is>
      </c>
      <c r="F279" s="4" t="inlineStr">
        <is>
          <t>Backtracking</t>
        </is>
      </c>
      <c r="G279" s="4" t="inlineStr">
        <is>
          <t>Wrong Answer</t>
        </is>
      </c>
      <c r="H279" s="4" t="inlineStr">
        <is>
          <t>C++</t>
        </is>
      </c>
      <c r="I279" s="4" t="inlineStr">
        <is>
          <t>N/A</t>
        </is>
      </c>
      <c r="J279" s="4" t="inlineStr">
        <is>
          <t>N/A</t>
        </is>
      </c>
      <c r="K279" s="4" t="n"/>
      <c r="L279" s="4" t="inlineStr">
        <is>
          <t>27/36</t>
        </is>
      </c>
      <c r="M279" s="9" t="inlineStr">
        <is>
          <t>Submission 922031211</t>
        </is>
      </c>
      <c r="N279" s="4" t="inlineStr">
        <is>
          <t>Yes</t>
        </is>
      </c>
    </row>
    <row r="280">
      <c r="A280" s="11" t="n">
        <v>45011.03064814815</v>
      </c>
      <c r="B280" s="4" t="inlineStr">
        <is>
          <t>2023-03</t>
        </is>
      </c>
      <c r="C280" s="4" t="n">
        <v>465</v>
      </c>
      <c r="D280" s="9" t="inlineStr">
        <is>
          <t>Optimal Account Balancing</t>
        </is>
      </c>
      <c r="E280" s="4" t="inlineStr">
        <is>
          <t>Hard</t>
        </is>
      </c>
      <c r="F280" s="4" t="inlineStr">
        <is>
          <t>Backtracking</t>
        </is>
      </c>
      <c r="G280" s="4" t="inlineStr">
        <is>
          <t>Accepted</t>
        </is>
      </c>
      <c r="H280" s="4" t="inlineStr">
        <is>
          <t>C++</t>
        </is>
      </c>
      <c r="I280" s="4" t="inlineStr">
        <is>
          <t>22 ms</t>
        </is>
      </c>
      <c r="J280" s="4" t="inlineStr">
        <is>
          <t>7.1 MB</t>
        </is>
      </c>
      <c r="K280" s="4" t="n">
        <v>13.8</v>
      </c>
      <c r="L280" s="4" t="inlineStr">
        <is>
          <t>36/36</t>
        </is>
      </c>
      <c r="M280" s="9" t="inlineStr">
        <is>
          <t>Submission 922031653</t>
        </is>
      </c>
      <c r="N280" s="4" t="inlineStr">
        <is>
          <t>Yes</t>
        </is>
      </c>
    </row>
    <row r="281">
      <c r="A281" s="11" t="n">
        <v>45011.06364583333</v>
      </c>
      <c r="B281" s="4" t="inlineStr">
        <is>
          <t>2023-03</t>
        </is>
      </c>
      <c r="C281" s="4" t="n">
        <v>1842</v>
      </c>
      <c r="D281" s="9" t="inlineStr">
        <is>
          <t>Next Palindrome Using Same Digits</t>
        </is>
      </c>
      <c r="E281" s="4" t="inlineStr">
        <is>
          <t>Hard</t>
        </is>
      </c>
      <c r="F281" s="4" t="inlineStr">
        <is>
          <t>Two Pointers</t>
        </is>
      </c>
      <c r="G281" s="4" t="inlineStr">
        <is>
          <t>Accepted</t>
        </is>
      </c>
      <c r="H281" s="4" t="inlineStr">
        <is>
          <t>C++</t>
        </is>
      </c>
      <c r="I281" s="4" t="inlineStr">
        <is>
          <t>11 ms</t>
        </is>
      </c>
      <c r="J281" s="4" t="inlineStr">
        <is>
          <t>11 MB</t>
        </is>
      </c>
      <c r="K281" s="4" t="n">
        <v>0</v>
      </c>
      <c r="L281" s="4" t="inlineStr">
        <is>
          <t>48/48</t>
        </is>
      </c>
      <c r="M281" s="9" t="inlineStr">
        <is>
          <t>Submission 922051842</t>
        </is>
      </c>
      <c r="N281" s="4" t="inlineStr">
        <is>
          <t>Yes</t>
        </is>
      </c>
    </row>
    <row r="282">
      <c r="A282" s="11" t="n">
        <v>45011.07887731482</v>
      </c>
      <c r="B282" s="4" t="inlineStr">
        <is>
          <t>2023-03</t>
        </is>
      </c>
      <c r="C282" s="4" t="n">
        <v>31</v>
      </c>
      <c r="D282" s="9" t="inlineStr">
        <is>
          <t>Next Permutation</t>
        </is>
      </c>
      <c r="E282" s="4" t="inlineStr">
        <is>
          <t>Medium</t>
        </is>
      </c>
      <c r="F282" s="4" t="inlineStr">
        <is>
          <t>Two Pointers</t>
        </is>
      </c>
      <c r="G282" s="4" t="inlineStr">
        <is>
          <t>Wrong Answer</t>
        </is>
      </c>
      <c r="H282" s="4" t="inlineStr">
        <is>
          <t>C++</t>
        </is>
      </c>
      <c r="I282" s="4" t="inlineStr">
        <is>
          <t>N/A</t>
        </is>
      </c>
      <c r="J282" s="4" t="inlineStr">
        <is>
          <t>N/A</t>
        </is>
      </c>
      <c r="K282" s="4" t="n"/>
      <c r="L282" s="4" t="inlineStr">
        <is>
          <t>141/265</t>
        </is>
      </c>
      <c r="M282" s="9" t="inlineStr">
        <is>
          <t>Submission 922060308</t>
        </is>
      </c>
      <c r="N282" s="4" t="inlineStr">
        <is>
          <t>Yes</t>
        </is>
      </c>
    </row>
    <row r="283">
      <c r="A283" s="11" t="n">
        <v>45011.0905787037</v>
      </c>
      <c r="B283" s="4" t="inlineStr">
        <is>
          <t>2023-03</t>
        </is>
      </c>
      <c r="C283" s="4" t="n">
        <v>31</v>
      </c>
      <c r="D283" s="9" t="inlineStr">
        <is>
          <t>Next Permutation</t>
        </is>
      </c>
      <c r="E283" s="4" t="inlineStr">
        <is>
          <t>Medium</t>
        </is>
      </c>
      <c r="F283" s="4" t="inlineStr">
        <is>
          <t>Two Pointers</t>
        </is>
      </c>
      <c r="G283" s="4" t="inlineStr">
        <is>
          <t>Accepted</t>
        </is>
      </c>
      <c r="H283" s="4" t="inlineStr">
        <is>
          <t>C++</t>
        </is>
      </c>
      <c r="I283" s="4" t="inlineStr">
        <is>
          <t>3 ms</t>
        </is>
      </c>
      <c r="J283" s="4" t="inlineStr">
        <is>
          <t>12 MB</t>
        </is>
      </c>
      <c r="K283" s="4" t="n">
        <v>1.8</v>
      </c>
      <c r="L283" s="4" t="inlineStr">
        <is>
          <t>265/265</t>
        </is>
      </c>
      <c r="M283" s="9" t="inlineStr">
        <is>
          <t>Submission 922066671</t>
        </is>
      </c>
      <c r="N283" s="4" t="inlineStr">
        <is>
          <t>Yes</t>
        </is>
      </c>
    </row>
    <row r="284">
      <c r="A284" s="11" t="n">
        <v>45011.80487268518</v>
      </c>
      <c r="B284" s="4" t="inlineStr">
        <is>
          <t>2023-03</t>
        </is>
      </c>
      <c r="C284" s="4" t="n">
        <v>2360</v>
      </c>
      <c r="D284" s="9" t="inlineStr">
        <is>
          <t>Longest Cycle in a Graph</t>
        </is>
      </c>
      <c r="E284" s="4" t="inlineStr">
        <is>
          <t>Hard</t>
        </is>
      </c>
      <c r="F284" s="4" t="inlineStr">
        <is>
          <t>Graph: General BFS/DFS</t>
        </is>
      </c>
      <c r="G284" s="4" t="inlineStr">
        <is>
          <t>Accepted</t>
        </is>
      </c>
      <c r="H284" s="4" t="inlineStr">
        <is>
          <t>C++</t>
        </is>
      </c>
      <c r="I284" s="4" t="inlineStr">
        <is>
          <t>434 ms</t>
        </is>
      </c>
      <c r="J284" s="4" t="inlineStr">
        <is>
          <t>179.5 MB</t>
        </is>
      </c>
      <c r="K284" s="4" t="n">
        <v>7.9</v>
      </c>
      <c r="L284" s="4" t="inlineStr">
        <is>
          <t>76/76</t>
        </is>
      </c>
      <c r="M284" s="9" t="inlineStr">
        <is>
          <t>Submission 922455988</t>
        </is>
      </c>
      <c r="N284" s="4" t="inlineStr">
        <is>
          <t>Yes</t>
        </is>
      </c>
    </row>
    <row r="285">
      <c r="A285" s="11" t="n">
        <v>45011.80657407407</v>
      </c>
      <c r="B285" s="4" t="inlineStr">
        <is>
          <t>2023-03</t>
        </is>
      </c>
      <c r="C285" s="4" t="n">
        <v>2360</v>
      </c>
      <c r="D285" s="9" t="inlineStr">
        <is>
          <t>Longest Cycle in a Graph</t>
        </is>
      </c>
      <c r="E285" s="4" t="inlineStr">
        <is>
          <t>Hard</t>
        </is>
      </c>
      <c r="F285" s="4" t="inlineStr">
        <is>
          <t>Graph: General BFS/DFS</t>
        </is>
      </c>
      <c r="G285" s="4" t="inlineStr">
        <is>
          <t>Accepted</t>
        </is>
      </c>
      <c r="H285" s="4" t="inlineStr">
        <is>
          <t>C++</t>
        </is>
      </c>
      <c r="I285" s="4" t="inlineStr">
        <is>
          <t>399 ms</t>
        </is>
      </c>
      <c r="J285" s="4" t="inlineStr">
        <is>
          <t>179.5 MB</t>
        </is>
      </c>
      <c r="K285" s="4" t="n">
        <v>9.199999999999999</v>
      </c>
      <c r="L285" s="4" t="inlineStr">
        <is>
          <t>76/76</t>
        </is>
      </c>
      <c r="M285" s="9" t="inlineStr">
        <is>
          <t>Submission 922457026</t>
        </is>
      </c>
      <c r="N285" s="4" t="inlineStr">
        <is>
          <t>Yes</t>
        </is>
      </c>
    </row>
    <row r="286">
      <c r="A286" s="11" t="n">
        <v>45011.97560185185</v>
      </c>
      <c r="B286" s="4" t="inlineStr">
        <is>
          <t>2023-03</t>
        </is>
      </c>
      <c r="C286" s="4" t="n">
        <v>1531</v>
      </c>
      <c r="D286" s="9" t="inlineStr">
        <is>
          <t>String Compression II</t>
        </is>
      </c>
      <c r="E286" s="4" t="inlineStr">
        <is>
          <t>Hard</t>
        </is>
      </c>
      <c r="F286" s="4" t="inlineStr">
        <is>
          <t>DP: Strings (LCS, Edit, Matching)</t>
        </is>
      </c>
      <c r="G286" s="4" t="inlineStr">
        <is>
          <t>Time Limit Exceeded</t>
        </is>
      </c>
      <c r="H286" s="4" t="inlineStr">
        <is>
          <t>C++</t>
        </is>
      </c>
      <c r="I286" s="4" t="inlineStr">
        <is>
          <t>N/A</t>
        </is>
      </c>
      <c r="J286" s="4" t="inlineStr">
        <is>
          <t>N/A</t>
        </is>
      </c>
      <c r="K286" s="4" t="n"/>
      <c r="L286" s="4" t="inlineStr">
        <is>
          <t>53/144</t>
        </is>
      </c>
      <c r="M286" s="9" t="inlineStr">
        <is>
          <t>Submission 922576762</t>
        </is>
      </c>
      <c r="N286" s="4" t="inlineStr">
        <is>
          <t>Yes</t>
        </is>
      </c>
    </row>
    <row r="287">
      <c r="A287" s="11" t="n">
        <v>45011.98103009259</v>
      </c>
      <c r="B287" s="4" t="inlineStr">
        <is>
          <t>2023-03</t>
        </is>
      </c>
      <c r="C287" s="4" t="n">
        <v>1531</v>
      </c>
      <c r="D287" s="9" t="inlineStr">
        <is>
          <t>String Compression II</t>
        </is>
      </c>
      <c r="E287" s="4" t="inlineStr">
        <is>
          <t>Hard</t>
        </is>
      </c>
      <c r="F287" s="4" t="inlineStr">
        <is>
          <t>DP: Strings (LCS, Edit, Matching)</t>
        </is>
      </c>
      <c r="G287" s="4" t="inlineStr">
        <is>
          <t>Time Limit Exceeded</t>
        </is>
      </c>
      <c r="H287" s="4" t="inlineStr">
        <is>
          <t>C++</t>
        </is>
      </c>
      <c r="I287" s="4" t="inlineStr">
        <is>
          <t>N/A</t>
        </is>
      </c>
      <c r="J287" s="4" t="inlineStr">
        <is>
          <t>N/A</t>
        </is>
      </c>
      <c r="K287" s="4" t="n"/>
      <c r="L287" s="4" t="inlineStr">
        <is>
          <t>53/144</t>
        </is>
      </c>
      <c r="M287" s="9" t="inlineStr">
        <is>
          <t>Submission 922581097</t>
        </is>
      </c>
      <c r="N287" s="4" t="inlineStr">
        <is>
          <t>Yes</t>
        </is>
      </c>
    </row>
    <row r="288">
      <c r="A288" s="11" t="n">
        <v>45011.98189814815</v>
      </c>
      <c r="B288" s="4" t="inlineStr">
        <is>
          <t>2023-03</t>
        </is>
      </c>
      <c r="C288" s="4" t="n">
        <v>1531</v>
      </c>
      <c r="D288" s="9" t="inlineStr">
        <is>
          <t>String Compression II</t>
        </is>
      </c>
      <c r="E288" s="4" t="inlineStr">
        <is>
          <t>Hard</t>
        </is>
      </c>
      <c r="F288" s="4" t="inlineStr">
        <is>
          <t>DP: Strings (LCS, Edit, Matching)</t>
        </is>
      </c>
      <c r="G288" s="4" t="inlineStr">
        <is>
          <t>Accepted</t>
        </is>
      </c>
      <c r="H288" s="4" t="inlineStr">
        <is>
          <t>C++</t>
        </is>
      </c>
      <c r="I288" s="4" t="inlineStr">
        <is>
          <t>2297 ms</t>
        </is>
      </c>
      <c r="J288" s="4" t="inlineStr">
        <is>
          <t>114.9 MB</t>
        </is>
      </c>
      <c r="K288" s="4" t="n">
        <v>5.4</v>
      </c>
      <c r="L288" s="4" t="inlineStr">
        <is>
          <t>144/144</t>
        </is>
      </c>
      <c r="M288" s="9" t="inlineStr">
        <is>
          <t>Submission 922581859</t>
        </is>
      </c>
      <c r="N288" s="4" t="inlineStr">
        <is>
          <t>Yes</t>
        </is>
      </c>
    </row>
    <row r="289">
      <c r="A289" s="11" t="n">
        <v>45012.00834490741</v>
      </c>
      <c r="B289" s="4" t="inlineStr">
        <is>
          <t>2023-03</t>
        </is>
      </c>
      <c r="C289" s="4" t="n">
        <v>1743</v>
      </c>
      <c r="D289" s="9" t="inlineStr">
        <is>
          <t>Restore the Array From Adjacent Pairs</t>
        </is>
      </c>
      <c r="E289" s="4" t="inlineStr">
        <is>
          <t>Medium</t>
        </is>
      </c>
      <c r="F289" s="4" t="inlineStr">
        <is>
          <t>Graph: General BFS/DFS</t>
        </is>
      </c>
      <c r="G289" s="4" t="inlineStr">
        <is>
          <t>Accepted</t>
        </is>
      </c>
      <c r="H289" s="4" t="inlineStr">
        <is>
          <t>C++</t>
        </is>
      </c>
      <c r="I289" s="4" t="inlineStr">
        <is>
          <t>1226 ms</t>
        </is>
      </c>
      <c r="J289" s="4" t="inlineStr">
        <is>
          <t>145.6 MB</t>
        </is>
      </c>
      <c r="K289" s="4" t="n">
        <v>5.1</v>
      </c>
      <c r="L289" s="4" t="inlineStr">
        <is>
          <t>46/46</t>
        </is>
      </c>
      <c r="M289" s="9" t="inlineStr">
        <is>
          <t>Submission 922602314</t>
        </is>
      </c>
      <c r="N289" s="4" t="inlineStr">
        <is>
          <t>Yes</t>
        </is>
      </c>
    </row>
    <row r="290">
      <c r="A290" s="11" t="n">
        <v>45012.02405092592</v>
      </c>
      <c r="B290" s="4" t="inlineStr">
        <is>
          <t>2023-03</t>
        </is>
      </c>
      <c r="C290" s="4" t="n">
        <v>362</v>
      </c>
      <c r="D290" s="9" t="inlineStr">
        <is>
          <t>Design Hit Counter</t>
        </is>
      </c>
      <c r="E290" s="4" t="inlineStr">
        <is>
          <t>Medium</t>
        </is>
      </c>
      <c r="F290" s="4" t="inlineStr">
        <is>
          <t>Design</t>
        </is>
      </c>
      <c r="G290" s="4" t="inlineStr">
        <is>
          <t>Accepted</t>
        </is>
      </c>
      <c r="H290" s="4" t="inlineStr">
        <is>
          <t>C++</t>
        </is>
      </c>
      <c r="I290" s="4" t="inlineStr">
        <is>
          <t>0 ms</t>
        </is>
      </c>
      <c r="J290" s="4" t="inlineStr">
        <is>
          <t>7.4 MB</t>
        </is>
      </c>
      <c r="K290" s="4" t="n">
        <v>100</v>
      </c>
      <c r="L290" s="4" t="inlineStr">
        <is>
          <t>24/24</t>
        </is>
      </c>
      <c r="M290" s="9" t="inlineStr">
        <is>
          <t>Submission 922612814</t>
        </is>
      </c>
      <c r="N290" s="4" t="inlineStr">
        <is>
          <t>Yes</t>
        </is>
      </c>
    </row>
    <row r="291">
      <c r="A291" s="11" t="n">
        <v>45012.0312962963</v>
      </c>
      <c r="B291" s="4" t="inlineStr">
        <is>
          <t>2023-03</t>
        </is>
      </c>
      <c r="C291" s="4" t="n">
        <v>1328</v>
      </c>
      <c r="D291" s="9" t="inlineStr">
        <is>
          <t>Break a Palindrome</t>
        </is>
      </c>
      <c r="E291" s="4" t="inlineStr">
        <is>
          <t>Medium</t>
        </is>
      </c>
      <c r="F291" s="4" t="inlineStr">
        <is>
          <t>Greedy</t>
        </is>
      </c>
      <c r="G291" s="4" t="inlineStr">
        <is>
          <t>Accepted</t>
        </is>
      </c>
      <c r="H291" s="4" t="inlineStr">
        <is>
          <t>C++</t>
        </is>
      </c>
      <c r="I291" s="4" t="inlineStr">
        <is>
          <t>0 ms</t>
        </is>
      </c>
      <c r="J291" s="4" t="inlineStr">
        <is>
          <t>6.3 MB</t>
        </is>
      </c>
      <c r="K291" s="4" t="n">
        <v>100</v>
      </c>
      <c r="L291" s="4" t="inlineStr">
        <is>
          <t>31/31</t>
        </is>
      </c>
      <c r="M291" s="9" t="inlineStr">
        <is>
          <t>Submission 922617647</t>
        </is>
      </c>
      <c r="N291" s="4" t="inlineStr">
        <is>
          <t>Yes</t>
        </is>
      </c>
    </row>
    <row r="292">
      <c r="A292" s="11" t="n">
        <v>45012.04930555556</v>
      </c>
      <c r="B292" s="4" t="inlineStr">
        <is>
          <t>2023-03</t>
        </is>
      </c>
      <c r="C292" s="4" t="n">
        <v>79</v>
      </c>
      <c r="D292" s="9" t="inlineStr">
        <is>
          <t>Word Search</t>
        </is>
      </c>
      <c r="E292" s="4" t="inlineStr">
        <is>
          <t>Medium</t>
        </is>
      </c>
      <c r="F292" s="4" t="inlineStr">
        <is>
          <t>Backtracking</t>
        </is>
      </c>
      <c r="G292" s="4" t="inlineStr">
        <is>
          <t>Time Limit Exceeded</t>
        </is>
      </c>
      <c r="H292" s="4" t="inlineStr">
        <is>
          <t>C++</t>
        </is>
      </c>
      <c r="I292" s="4" t="inlineStr">
        <is>
          <t>N/A</t>
        </is>
      </c>
      <c r="J292" s="4" t="inlineStr">
        <is>
          <t>N/A</t>
        </is>
      </c>
      <c r="K292" s="4" t="n"/>
      <c r="L292" s="4" t="inlineStr">
        <is>
          <t>47/85</t>
        </is>
      </c>
      <c r="M292" s="9" t="inlineStr">
        <is>
          <t>Submission 922629003</t>
        </is>
      </c>
      <c r="N292" s="4" t="inlineStr">
        <is>
          <t>Yes</t>
        </is>
      </c>
    </row>
    <row r="293">
      <c r="A293" s="11" t="n">
        <v>45012.05082175926</v>
      </c>
      <c r="B293" s="4" t="inlineStr">
        <is>
          <t>2023-03</t>
        </is>
      </c>
      <c r="C293" s="4" t="n">
        <v>79</v>
      </c>
      <c r="D293" s="9" t="inlineStr">
        <is>
          <t>Word Search</t>
        </is>
      </c>
      <c r="E293" s="4" t="inlineStr">
        <is>
          <t>Medium</t>
        </is>
      </c>
      <c r="F293" s="4" t="inlineStr">
        <is>
          <t>Backtracking</t>
        </is>
      </c>
      <c r="G293" s="4" t="inlineStr">
        <is>
          <t>Time Limit Exceeded</t>
        </is>
      </c>
      <c r="H293" s="4" t="inlineStr">
        <is>
          <t>C++</t>
        </is>
      </c>
      <c r="I293" s="4" t="inlineStr">
        <is>
          <t>N/A</t>
        </is>
      </c>
      <c r="J293" s="4" t="inlineStr">
        <is>
          <t>N/A</t>
        </is>
      </c>
      <c r="K293" s="4" t="n"/>
      <c r="L293" s="4" t="inlineStr">
        <is>
          <t>47/85</t>
        </is>
      </c>
      <c r="M293" s="9" t="inlineStr">
        <is>
          <t>Submission 922629944</t>
        </is>
      </c>
      <c r="N293" s="4" t="inlineStr">
        <is>
          <t>Yes</t>
        </is>
      </c>
    </row>
    <row r="294">
      <c r="A294" s="11" t="n">
        <v>45012.05292824074</v>
      </c>
      <c r="B294" s="4" t="inlineStr">
        <is>
          <t>2023-03</t>
        </is>
      </c>
      <c r="C294" s="4" t="n">
        <v>79</v>
      </c>
      <c r="D294" s="9" t="inlineStr">
        <is>
          <t>Word Search</t>
        </is>
      </c>
      <c r="E294" s="4" t="inlineStr">
        <is>
          <t>Medium</t>
        </is>
      </c>
      <c r="F294" s="4" t="inlineStr">
        <is>
          <t>Backtracking</t>
        </is>
      </c>
      <c r="G294" s="4" t="inlineStr">
        <is>
          <t>Time Limit Exceeded</t>
        </is>
      </c>
      <c r="H294" s="4" t="inlineStr">
        <is>
          <t>C++</t>
        </is>
      </c>
      <c r="I294" s="4" t="inlineStr">
        <is>
          <t>N/A</t>
        </is>
      </c>
      <c r="J294" s="4" t="inlineStr">
        <is>
          <t>N/A</t>
        </is>
      </c>
      <c r="K294" s="4" t="n"/>
      <c r="L294" s="4" t="inlineStr">
        <is>
          <t>47/85</t>
        </is>
      </c>
      <c r="M294" s="9" t="inlineStr">
        <is>
          <t>Submission 922631220</t>
        </is>
      </c>
      <c r="N294" s="4" t="inlineStr">
        <is>
          <t>Yes</t>
        </is>
      </c>
    </row>
    <row r="295">
      <c r="A295" s="11" t="n">
        <v>45012.05560185185</v>
      </c>
      <c r="B295" s="4" t="inlineStr">
        <is>
          <t>2023-03</t>
        </is>
      </c>
      <c r="C295" s="4" t="n">
        <v>79</v>
      </c>
      <c r="D295" s="9" t="inlineStr">
        <is>
          <t>Word Search</t>
        </is>
      </c>
      <c r="E295" s="4" t="inlineStr">
        <is>
          <t>Medium</t>
        </is>
      </c>
      <c r="F295" s="4" t="inlineStr">
        <is>
          <t>Backtracking</t>
        </is>
      </c>
      <c r="G295" s="4" t="inlineStr">
        <is>
          <t>Accepted</t>
        </is>
      </c>
      <c r="H295" s="4" t="inlineStr">
        <is>
          <t>C++</t>
        </is>
      </c>
      <c r="I295" s="4" t="inlineStr">
        <is>
          <t>646 ms</t>
        </is>
      </c>
      <c r="J295" s="4" t="inlineStr">
        <is>
          <t>8.1 MB</t>
        </is>
      </c>
      <c r="K295" s="4" t="n">
        <v>32.2</v>
      </c>
      <c r="L295" s="4" t="inlineStr">
        <is>
          <t>85/85</t>
        </is>
      </c>
      <c r="M295" s="9" t="inlineStr">
        <is>
          <t>Submission 922632774</t>
        </is>
      </c>
      <c r="N295" s="4" t="inlineStr">
        <is>
          <t>Yes</t>
        </is>
      </c>
    </row>
    <row r="296">
      <c r="A296" s="11" t="n">
        <v>45012.05828703703</v>
      </c>
      <c r="B296" s="4" t="inlineStr">
        <is>
          <t>2023-03</t>
        </is>
      </c>
      <c r="C296" s="4" t="n">
        <v>79</v>
      </c>
      <c r="D296" s="9" t="inlineStr">
        <is>
          <t>Word Search</t>
        </is>
      </c>
      <c r="E296" s="4" t="inlineStr">
        <is>
          <t>Medium</t>
        </is>
      </c>
      <c r="F296" s="4" t="inlineStr">
        <is>
          <t>Backtracking</t>
        </is>
      </c>
      <c r="G296" s="4" t="inlineStr">
        <is>
          <t>Wrong Answer</t>
        </is>
      </c>
      <c r="H296" s="4" t="inlineStr">
        <is>
          <t>C++</t>
        </is>
      </c>
      <c r="I296" s="4" t="inlineStr">
        <is>
          <t>N/A</t>
        </is>
      </c>
      <c r="J296" s="4" t="inlineStr">
        <is>
          <t>N/A</t>
        </is>
      </c>
      <c r="K296" s="4" t="n"/>
      <c r="L296" s="4" t="inlineStr">
        <is>
          <t>78/85</t>
        </is>
      </c>
      <c r="M296" s="9" t="inlineStr">
        <is>
          <t>Submission 922634309</t>
        </is>
      </c>
      <c r="N296" s="4" t="inlineStr">
        <is>
          <t>Yes</t>
        </is>
      </c>
    </row>
    <row r="297">
      <c r="A297" s="11" t="n">
        <v>45012.06153935185</v>
      </c>
      <c r="B297" s="4" t="inlineStr">
        <is>
          <t>2023-03</t>
        </is>
      </c>
      <c r="C297" s="4" t="n">
        <v>79</v>
      </c>
      <c r="D297" s="9" t="inlineStr">
        <is>
          <t>Word Search</t>
        </is>
      </c>
      <c r="E297" s="4" t="inlineStr">
        <is>
          <t>Medium</t>
        </is>
      </c>
      <c r="F297" s="4" t="inlineStr">
        <is>
          <t>Backtracking</t>
        </is>
      </c>
      <c r="G297" s="4" t="inlineStr">
        <is>
          <t>Time Limit Exceeded</t>
        </is>
      </c>
      <c r="H297" s="4" t="inlineStr">
        <is>
          <t>C++</t>
        </is>
      </c>
      <c r="I297" s="4" t="inlineStr">
        <is>
          <t>N/A</t>
        </is>
      </c>
      <c r="J297" s="4" t="inlineStr">
        <is>
          <t>N/A</t>
        </is>
      </c>
      <c r="K297" s="4" t="n"/>
      <c r="L297" s="4" t="inlineStr">
        <is>
          <t>47/85</t>
        </is>
      </c>
      <c r="M297" s="9" t="inlineStr">
        <is>
          <t>Submission 922636168</t>
        </is>
      </c>
      <c r="N297" s="4" t="inlineStr">
        <is>
          <t>Yes</t>
        </is>
      </c>
    </row>
    <row r="298">
      <c r="A298" s="11" t="n">
        <v>45012.06354166667</v>
      </c>
      <c r="B298" s="4" t="inlineStr">
        <is>
          <t>2023-03</t>
        </is>
      </c>
      <c r="C298" s="4" t="n">
        <v>79</v>
      </c>
      <c r="D298" s="9" t="inlineStr">
        <is>
          <t>Word Search</t>
        </is>
      </c>
      <c r="E298" s="4" t="inlineStr">
        <is>
          <t>Medium</t>
        </is>
      </c>
      <c r="F298" s="4" t="inlineStr">
        <is>
          <t>Backtracking</t>
        </is>
      </c>
      <c r="G298" s="4" t="inlineStr">
        <is>
          <t>Time Limit Exceeded</t>
        </is>
      </c>
      <c r="H298" s="4" t="inlineStr">
        <is>
          <t>C++</t>
        </is>
      </c>
      <c r="I298" s="4" t="inlineStr">
        <is>
          <t>N/A</t>
        </is>
      </c>
      <c r="J298" s="4" t="inlineStr">
        <is>
          <t>N/A</t>
        </is>
      </c>
      <c r="K298" s="4" t="n"/>
      <c r="L298" s="4" t="inlineStr">
        <is>
          <t>47/85</t>
        </is>
      </c>
      <c r="M298" s="9" t="inlineStr">
        <is>
          <t>Submission 922637263</t>
        </is>
      </c>
      <c r="N298" s="4" t="inlineStr">
        <is>
          <t>Yes</t>
        </is>
      </c>
    </row>
    <row r="299">
      <c r="A299" s="11" t="n">
        <v>45012.071875</v>
      </c>
      <c r="B299" s="4" t="inlineStr">
        <is>
          <t>2023-03</t>
        </is>
      </c>
      <c r="C299" s="4" t="n">
        <v>212</v>
      </c>
      <c r="D299" s="9" t="inlineStr">
        <is>
          <t>Word Search II</t>
        </is>
      </c>
      <c r="E299" s="4" t="inlineStr">
        <is>
          <t>Hard</t>
        </is>
      </c>
      <c r="F299" s="4" t="inlineStr">
        <is>
          <t>Trie</t>
        </is>
      </c>
      <c r="G299" s="4" t="inlineStr">
        <is>
          <t>Accepted</t>
        </is>
      </c>
      <c r="H299" s="4" t="inlineStr">
        <is>
          <t>C++</t>
        </is>
      </c>
      <c r="I299" s="4" t="inlineStr">
        <is>
          <t>379 ms</t>
        </is>
      </c>
      <c r="J299" s="4" t="inlineStr">
        <is>
          <t>15.5 MB</t>
        </is>
      </c>
      <c r="K299" s="4" t="n">
        <v>33.3</v>
      </c>
      <c r="L299" s="4" t="inlineStr">
        <is>
          <t>65/65</t>
        </is>
      </c>
      <c r="M299" s="9" t="inlineStr">
        <is>
          <t>Submission 922641891</t>
        </is>
      </c>
      <c r="N299" s="4" t="inlineStr">
        <is>
          <t>Yes</t>
        </is>
      </c>
    </row>
    <row r="300">
      <c r="A300" s="11" t="n">
        <v>45015.58203703703</v>
      </c>
      <c r="B300" s="4" t="inlineStr">
        <is>
          <t>2023-03</t>
        </is>
      </c>
      <c r="C300" s="4" t="n">
        <v>1603</v>
      </c>
      <c r="D300" s="9" t="inlineStr">
        <is>
          <t>Design Parking System</t>
        </is>
      </c>
      <c r="E300" s="4" t="inlineStr">
        <is>
          <t>Easy</t>
        </is>
      </c>
      <c r="F300" s="4" t="inlineStr">
        <is>
          <t>Design</t>
        </is>
      </c>
      <c r="G300" s="4" t="inlineStr">
        <is>
          <t>Accepted</t>
        </is>
      </c>
      <c r="H300" s="4" t="inlineStr">
        <is>
          <t>C++</t>
        </is>
      </c>
      <c r="I300" s="4" t="inlineStr">
        <is>
          <t>88 ms</t>
        </is>
      </c>
      <c r="J300" s="4" t="inlineStr">
        <is>
          <t>35.5 MB</t>
        </is>
      </c>
      <c r="K300" s="4" t="n">
        <v>5</v>
      </c>
      <c r="L300" s="4" t="inlineStr">
        <is>
          <t>102/102</t>
        </is>
      </c>
      <c r="M300" s="9" t="inlineStr">
        <is>
          <t>Submission 924700966</t>
        </is>
      </c>
      <c r="N300" s="4" t="inlineStr">
        <is>
          <t>Yes</t>
        </is>
      </c>
    </row>
    <row r="301">
      <c r="A301" s="11" t="n">
        <v>45015.94461805555</v>
      </c>
      <c r="B301" s="4" t="inlineStr">
        <is>
          <t>2023-03</t>
        </is>
      </c>
      <c r="C301" s="4" t="n">
        <v>1428</v>
      </c>
      <c r="D301" s="9" t="inlineStr">
        <is>
          <t>Leftmost Column with at Least a One</t>
        </is>
      </c>
      <c r="E301" s="4" t="inlineStr">
        <is>
          <t>Medium</t>
        </is>
      </c>
      <c r="F301" s="4" t="inlineStr">
        <is>
          <t>Binary Search</t>
        </is>
      </c>
      <c r="G301" s="4" t="inlineStr">
        <is>
          <t>Accepted</t>
        </is>
      </c>
      <c r="H301" s="4" t="inlineStr">
        <is>
          <t>C++</t>
        </is>
      </c>
      <c r="I301" s="4" t="inlineStr">
        <is>
          <t>13 ms</t>
        </is>
      </c>
      <c r="J301" s="4" t="inlineStr">
        <is>
          <t>8.1 MB</t>
        </is>
      </c>
      <c r="K301" s="4" t="n">
        <v>8.5</v>
      </c>
      <c r="L301" s="4" t="inlineStr">
        <is>
          <t>37/37</t>
        </is>
      </c>
      <c r="M301" s="9" t="inlineStr">
        <is>
          <t>Submission 924939203</t>
        </is>
      </c>
      <c r="N301" s="4" t="inlineStr">
        <is>
          <t>Yes</t>
        </is>
      </c>
    </row>
    <row r="302">
      <c r="A302" s="11" t="n">
        <v>45015.95090277777</v>
      </c>
      <c r="B302" s="4" t="inlineStr">
        <is>
          <t>2023-03</t>
        </is>
      </c>
      <c r="C302" s="4" t="n">
        <v>1531</v>
      </c>
      <c r="D302" s="9" t="inlineStr">
        <is>
          <t>String Compression II</t>
        </is>
      </c>
      <c r="E302" s="4" t="inlineStr">
        <is>
          <t>Hard</t>
        </is>
      </c>
      <c r="F302" s="4" t="inlineStr">
        <is>
          <t>DP: Strings (LCS, Edit, Matching)</t>
        </is>
      </c>
      <c r="G302" s="4" t="inlineStr">
        <is>
          <t>Accepted</t>
        </is>
      </c>
      <c r="H302" s="4" t="inlineStr">
        <is>
          <t>C++</t>
        </is>
      </c>
      <c r="I302" s="4" t="inlineStr">
        <is>
          <t>2324 ms</t>
        </is>
      </c>
      <c r="J302" s="4" t="inlineStr">
        <is>
          <t>114.9 MB</t>
        </is>
      </c>
      <c r="K302" s="4" t="n">
        <v>5.4</v>
      </c>
      <c r="L302" s="4" t="inlineStr">
        <is>
          <t>144/144</t>
        </is>
      </c>
      <c r="M302" s="9" t="inlineStr">
        <is>
          <t>Submission 924944608</t>
        </is>
      </c>
      <c r="N302" s="4" t="inlineStr">
        <is>
          <t>Yes</t>
        </is>
      </c>
    </row>
    <row r="303">
      <c r="A303" s="11" t="n">
        <v>45015.95282407408</v>
      </c>
      <c r="B303" s="4" t="inlineStr">
        <is>
          <t>2023-03</t>
        </is>
      </c>
      <c r="C303" s="4" t="n">
        <v>1531</v>
      </c>
      <c r="D303" s="9" t="inlineStr">
        <is>
          <t>String Compression II</t>
        </is>
      </c>
      <c r="E303" s="4" t="inlineStr">
        <is>
          <t>Hard</t>
        </is>
      </c>
      <c r="F303" s="4" t="inlineStr">
        <is>
          <t>DP: Strings (LCS, Edit, Matching)</t>
        </is>
      </c>
      <c r="G303" s="4" t="inlineStr">
        <is>
          <t>Accepted</t>
        </is>
      </c>
      <c r="H303" s="4" t="inlineStr">
        <is>
          <t>C++</t>
        </is>
      </c>
      <c r="I303" s="4" t="inlineStr">
        <is>
          <t>2306 ms</t>
        </is>
      </c>
      <c r="J303" s="4" t="inlineStr">
        <is>
          <t>114.8 MB</t>
        </is>
      </c>
      <c r="K303" s="4" t="n">
        <v>5.4</v>
      </c>
      <c r="L303" s="4" t="inlineStr">
        <is>
          <t>144/144</t>
        </is>
      </c>
      <c r="M303" s="9" t="inlineStr">
        <is>
          <t>Submission 924946354</t>
        </is>
      </c>
      <c r="N303" s="4" t="inlineStr">
        <is>
          <t>Yes</t>
        </is>
      </c>
    </row>
    <row r="304">
      <c r="A304" s="11" t="n">
        <v>45015.96856481482</v>
      </c>
      <c r="B304" s="4" t="inlineStr">
        <is>
          <t>2023-03</t>
        </is>
      </c>
      <c r="C304" s="4" t="n">
        <v>855</v>
      </c>
      <c r="D304" s="9" t="inlineStr">
        <is>
          <t>Exam Room</t>
        </is>
      </c>
      <c r="E304" s="4" t="inlineStr">
        <is>
          <t>Medium</t>
        </is>
      </c>
      <c r="F304" s="4" t="inlineStr">
        <is>
          <t>Design</t>
        </is>
      </c>
      <c r="G304" s="4" t="inlineStr">
        <is>
          <t>Accepted</t>
        </is>
      </c>
      <c r="H304" s="4" t="inlineStr">
        <is>
          <t>C++</t>
        </is>
      </c>
      <c r="I304" s="4" t="inlineStr">
        <is>
          <t>55 ms</t>
        </is>
      </c>
      <c r="J304" s="4" t="inlineStr">
        <is>
          <t>25.4 MB</t>
        </is>
      </c>
      <c r="K304" s="4" t="n">
        <v>76.5</v>
      </c>
      <c r="L304" s="4" t="inlineStr">
        <is>
          <t>126/126</t>
        </is>
      </c>
      <c r="M304" s="9" t="inlineStr">
        <is>
          <t>Submission 924960225</t>
        </is>
      </c>
      <c r="N304" s="4" t="inlineStr">
        <is>
          <t>Yes</t>
        </is>
      </c>
    </row>
    <row r="305">
      <c r="A305" s="11" t="n">
        <v>45015.97246527778</v>
      </c>
      <c r="B305" s="4" t="inlineStr">
        <is>
          <t>2023-03</t>
        </is>
      </c>
      <c r="C305" s="4" t="n">
        <v>361</v>
      </c>
      <c r="D305" s="9" t="inlineStr">
        <is>
          <t>Bomb Enemy</t>
        </is>
      </c>
      <c r="E305" s="4" t="inlineStr">
        <is>
          <t>Medium</t>
        </is>
      </c>
      <c r="F305" s="4" t="inlineStr">
        <is>
          <t>DP: Grid / 2D</t>
        </is>
      </c>
      <c r="G305" s="4" t="inlineStr">
        <is>
          <t>Accepted</t>
        </is>
      </c>
      <c r="H305" s="4" t="inlineStr">
        <is>
          <t>C++</t>
        </is>
      </c>
      <c r="I305" s="4" t="inlineStr">
        <is>
          <t>1941 ms</t>
        </is>
      </c>
      <c r="J305" s="4" t="inlineStr">
        <is>
          <t>20.9 MB</t>
        </is>
      </c>
      <c r="K305" s="4" t="n">
        <v>5.9</v>
      </c>
      <c r="L305" s="4" t="inlineStr">
        <is>
          <t>40/40</t>
        </is>
      </c>
      <c r="M305" s="9" t="inlineStr">
        <is>
          <t>Submission 924963710</t>
        </is>
      </c>
      <c r="N305" s="4" t="inlineStr">
        <is>
          <t>Yes</t>
        </is>
      </c>
    </row>
    <row r="306">
      <c r="A306" s="11" t="n">
        <v>45015.9909837963</v>
      </c>
      <c r="B306" s="4" t="inlineStr">
        <is>
          <t>2023-03</t>
        </is>
      </c>
      <c r="C306" s="4" t="n">
        <v>428</v>
      </c>
      <c r="D306" s="9" t="inlineStr">
        <is>
          <t>Serialize and Deserialize N-ary Tree</t>
        </is>
      </c>
      <c r="E306" s="4" t="inlineStr">
        <is>
          <t>Hard</t>
        </is>
      </c>
      <c r="F306" s="4" t="inlineStr">
        <is>
          <t>Binary Tree (DFS &amp; Recursion)</t>
        </is>
      </c>
      <c r="G306" s="4" t="inlineStr">
        <is>
          <t>Accepted</t>
        </is>
      </c>
      <c r="H306" s="4" t="inlineStr">
        <is>
          <t>C++</t>
        </is>
      </c>
      <c r="I306" s="4" t="inlineStr">
        <is>
          <t>47 ms</t>
        </is>
      </c>
      <c r="J306" s="4" t="inlineStr">
        <is>
          <t>174.4 MB</t>
        </is>
      </c>
      <c r="K306" s="4" t="n">
        <v>16.7</v>
      </c>
      <c r="L306" s="4" t="inlineStr">
        <is>
          <t>38/38</t>
        </is>
      </c>
      <c r="M306" s="9" t="inlineStr">
        <is>
          <t>Submission 924979950</t>
        </is>
      </c>
      <c r="N306" s="4" t="inlineStr">
        <is>
          <t>Yes</t>
        </is>
      </c>
    </row>
    <row r="307">
      <c r="A307" s="11" t="n">
        <v>45016.54087962963</v>
      </c>
      <c r="B307" s="4" t="inlineStr">
        <is>
          <t>2023-03</t>
        </is>
      </c>
      <c r="C307" s="4" t="n">
        <v>1423</v>
      </c>
      <c r="D307" s="9" t="inlineStr">
        <is>
          <t>Maximum Points You Can Obtain from Cards</t>
        </is>
      </c>
      <c r="E307" s="4" t="inlineStr">
        <is>
          <t>Medium</t>
        </is>
      </c>
      <c r="F307" s="4" t="inlineStr">
        <is>
          <t>Sliding Window</t>
        </is>
      </c>
      <c r="G307" s="4" t="inlineStr">
        <is>
          <t>Accepted</t>
        </is>
      </c>
      <c r="H307" s="4" t="inlineStr">
        <is>
          <t>C++</t>
        </is>
      </c>
      <c r="I307" s="4" t="inlineStr">
        <is>
          <t>51 ms</t>
        </is>
      </c>
      <c r="J307" s="4" t="inlineStr">
        <is>
          <t>42.5 MB</t>
        </is>
      </c>
      <c r="K307" s="4" t="n">
        <v>3.1</v>
      </c>
      <c r="L307" s="4" t="inlineStr">
        <is>
          <t>40/40</t>
        </is>
      </c>
      <c r="M307" s="9" t="inlineStr">
        <is>
          <t>Submission 925250833</t>
        </is>
      </c>
      <c r="N307" s="4" t="inlineStr">
        <is>
          <t>Yes</t>
        </is>
      </c>
    </row>
    <row r="308">
      <c r="A308" s="11" t="n">
        <v>45017.47821759259</v>
      </c>
      <c r="B308" s="4" t="inlineStr">
        <is>
          <t>2023-04</t>
        </is>
      </c>
      <c r="C308" s="4" t="n">
        <v>2332</v>
      </c>
      <c r="D308" s="9" t="inlineStr">
        <is>
          <t>The Latest Time to Catch a Bus</t>
        </is>
      </c>
      <c r="E308" s="4" t="inlineStr">
        <is>
          <t>Medium</t>
        </is>
      </c>
      <c r="F308" s="4" t="inlineStr">
        <is>
          <t>Two Pointers</t>
        </is>
      </c>
      <c r="G308" s="4" t="inlineStr">
        <is>
          <t>Accepted</t>
        </is>
      </c>
      <c r="H308" s="4" t="inlineStr">
        <is>
          <t>C++</t>
        </is>
      </c>
      <c r="I308" s="4" t="inlineStr">
        <is>
          <t>339 ms</t>
        </is>
      </c>
      <c r="J308" s="4" t="inlineStr">
        <is>
          <t>86.2 MB</t>
        </is>
      </c>
      <c r="K308" s="4" t="n"/>
      <c r="L308" s="4" t="inlineStr"/>
      <c r="M308" s="9" t="inlineStr">
        <is>
          <t>Submission 925726128</t>
        </is>
      </c>
      <c r="N308" s="4" t="inlineStr">
        <is>
          <t>Yes</t>
        </is>
      </c>
    </row>
    <row r="309">
      <c r="A309" s="11" t="n">
        <v>45017.5681712963</v>
      </c>
      <c r="B309" s="4" t="inlineStr">
        <is>
          <t>2023-04</t>
        </is>
      </c>
      <c r="C309" s="4" t="n">
        <v>1657</v>
      </c>
      <c r="D309" s="9" t="inlineStr">
        <is>
          <t>Determine if Two Strings Are Close</t>
        </is>
      </c>
      <c r="E309" s="4" t="inlineStr">
        <is>
          <t>Medium</t>
        </is>
      </c>
      <c r="F309" s="4" t="inlineStr">
        <is>
          <t>Arrays, Hashing &amp; Sorting</t>
        </is>
      </c>
      <c r="G309" s="4" t="inlineStr">
        <is>
          <t>Wrong Answer</t>
        </is>
      </c>
      <c r="H309" s="4" t="inlineStr">
        <is>
          <t>C++</t>
        </is>
      </c>
      <c r="I309" s="4" t="inlineStr">
        <is>
          <t>N/A</t>
        </is>
      </c>
      <c r="J309" s="4" t="inlineStr">
        <is>
          <t>N/A</t>
        </is>
      </c>
      <c r="K309" s="4" t="n"/>
      <c r="L309" s="4" t="inlineStr">
        <is>
          <t>131/153</t>
        </is>
      </c>
      <c r="M309" s="9" t="inlineStr">
        <is>
          <t>Submission 925782591</t>
        </is>
      </c>
      <c r="N309" s="4" t="inlineStr">
        <is>
          <t>Yes</t>
        </is>
      </c>
    </row>
    <row r="310">
      <c r="A310" s="11" t="n">
        <v>45017.57</v>
      </c>
      <c r="B310" s="4" t="inlineStr">
        <is>
          <t>2023-04</t>
        </is>
      </c>
      <c r="C310" s="4" t="n">
        <v>1657</v>
      </c>
      <c r="D310" s="9" t="inlineStr">
        <is>
          <t>Determine if Two Strings Are Close</t>
        </is>
      </c>
      <c r="E310" s="4" t="inlineStr">
        <is>
          <t>Medium</t>
        </is>
      </c>
      <c r="F310" s="4" t="inlineStr">
        <is>
          <t>Arrays, Hashing &amp; Sorting</t>
        </is>
      </c>
      <c r="G310" s="4" t="inlineStr">
        <is>
          <t>Accepted</t>
        </is>
      </c>
      <c r="H310" s="4" t="inlineStr">
        <is>
          <t>C++</t>
        </is>
      </c>
      <c r="I310" s="4" t="inlineStr">
        <is>
          <t>144 ms</t>
        </is>
      </c>
      <c r="J310" s="4" t="inlineStr">
        <is>
          <t>20.9 MB</t>
        </is>
      </c>
      <c r="K310" s="4" t="n">
        <v>5</v>
      </c>
      <c r="L310" s="4" t="inlineStr">
        <is>
          <t>153/153</t>
        </is>
      </c>
      <c r="M310" s="9" t="inlineStr">
        <is>
          <t>Submission 925783650</t>
        </is>
      </c>
      <c r="N310" s="4" t="inlineStr">
        <is>
          <t>Yes</t>
        </is>
      </c>
    </row>
    <row r="311">
      <c r="A311" s="11" t="n">
        <v>45017.57210648148</v>
      </c>
      <c r="B311" s="4" t="inlineStr">
        <is>
          <t>2023-04</t>
        </is>
      </c>
      <c r="C311" s="4" t="n">
        <v>1657</v>
      </c>
      <c r="D311" s="9" t="inlineStr">
        <is>
          <t>Determine if Two Strings Are Close</t>
        </is>
      </c>
      <c r="E311" s="4" t="inlineStr">
        <is>
          <t>Medium</t>
        </is>
      </c>
      <c r="F311" s="4" t="inlineStr">
        <is>
          <t>Arrays, Hashing &amp; Sorting</t>
        </is>
      </c>
      <c r="G311" s="4" t="inlineStr">
        <is>
          <t>Accepted</t>
        </is>
      </c>
      <c r="H311" s="4" t="inlineStr">
        <is>
          <t>C++</t>
        </is>
      </c>
      <c r="I311" s="4" t="inlineStr">
        <is>
          <t>148 ms</t>
        </is>
      </c>
      <c r="J311" s="4" t="inlineStr">
        <is>
          <t>21 MB</t>
        </is>
      </c>
      <c r="K311" s="4" t="n">
        <v>5</v>
      </c>
      <c r="L311" s="4" t="inlineStr">
        <is>
          <t>153/153</t>
        </is>
      </c>
      <c r="M311" s="9" t="inlineStr">
        <is>
          <t>Submission 925784827</t>
        </is>
      </c>
      <c r="N311" s="4" t="inlineStr">
        <is>
          <t>Yes</t>
        </is>
      </c>
    </row>
    <row r="312">
      <c r="A312" s="11" t="n">
        <v>45017.5816087963</v>
      </c>
      <c r="B312" s="4" t="inlineStr">
        <is>
          <t>2023-04</t>
        </is>
      </c>
      <c r="C312" s="4" t="n">
        <v>539</v>
      </c>
      <c r="D312" s="9" t="inlineStr">
        <is>
          <t>Minimum Time Difference</t>
        </is>
      </c>
      <c r="E312" s="4" t="inlineStr">
        <is>
          <t>Medium</t>
        </is>
      </c>
      <c r="F312" s="4" t="inlineStr">
        <is>
          <t>Arrays, Hashing &amp; Sorting</t>
        </is>
      </c>
      <c r="G312" s="4" t="inlineStr">
        <is>
          <t>Wrong Answer</t>
        </is>
      </c>
      <c r="H312" s="4" t="inlineStr">
        <is>
          <t>C++</t>
        </is>
      </c>
      <c r="I312" s="4" t="inlineStr">
        <is>
          <t>N/A</t>
        </is>
      </c>
      <c r="J312" s="4" t="inlineStr">
        <is>
          <t>N/A</t>
        </is>
      </c>
      <c r="K312" s="4" t="n"/>
      <c r="L312" s="4" t="inlineStr">
        <is>
          <t>94/113</t>
        </is>
      </c>
      <c r="M312" s="9" t="inlineStr">
        <is>
          <t>Submission 925790048</t>
        </is>
      </c>
      <c r="N312" s="4" t="inlineStr">
        <is>
          <t>Yes</t>
        </is>
      </c>
    </row>
    <row r="313">
      <c r="A313" s="11" t="n">
        <v>45017.58865740741</v>
      </c>
      <c r="B313" s="4" t="inlineStr">
        <is>
          <t>2023-04</t>
        </is>
      </c>
      <c r="C313" s="4" t="n">
        <v>539</v>
      </c>
      <c r="D313" s="9" t="inlineStr">
        <is>
          <t>Minimum Time Difference</t>
        </is>
      </c>
      <c r="E313" s="4" t="inlineStr">
        <is>
          <t>Medium</t>
        </is>
      </c>
      <c r="F313" s="4" t="inlineStr">
        <is>
          <t>Arrays, Hashing &amp; Sorting</t>
        </is>
      </c>
      <c r="G313" s="4" t="inlineStr">
        <is>
          <t>Accepted</t>
        </is>
      </c>
      <c r="H313" s="4" t="inlineStr">
        <is>
          <t>C++</t>
        </is>
      </c>
      <c r="I313" s="4" t="inlineStr">
        <is>
          <t>27 ms</t>
        </is>
      </c>
      <c r="J313" s="4" t="inlineStr">
        <is>
          <t>13.8 MB</t>
        </is>
      </c>
      <c r="K313" s="4" t="n">
        <v>7.3</v>
      </c>
      <c r="L313" s="4" t="inlineStr">
        <is>
          <t>113/113</t>
        </is>
      </c>
      <c r="M313" s="9" t="inlineStr">
        <is>
          <t>Submission 925793890</t>
        </is>
      </c>
      <c r="N313" s="4" t="inlineStr">
        <is>
          <t>Yes</t>
        </is>
      </c>
    </row>
    <row r="314">
      <c r="A314" s="11" t="n">
        <v>45017.75821759259</v>
      </c>
      <c r="B314" s="4" t="inlineStr">
        <is>
          <t>2023-04</t>
        </is>
      </c>
      <c r="C314" s="4" t="n">
        <v>772</v>
      </c>
      <c r="D314" s="9" t="inlineStr">
        <is>
          <t>Basic Calculator III</t>
        </is>
      </c>
      <c r="E314" s="4" t="inlineStr">
        <is>
          <t>Hard</t>
        </is>
      </c>
      <c r="F314" s="4" t="inlineStr">
        <is>
          <t>Stack</t>
        </is>
      </c>
      <c r="G314" s="4" t="inlineStr">
        <is>
          <t>Accepted</t>
        </is>
      </c>
      <c r="H314" s="4" t="inlineStr">
        <is>
          <t>C++</t>
        </is>
      </c>
      <c r="I314" s="4" t="inlineStr">
        <is>
          <t>5 ms</t>
        </is>
      </c>
      <c r="J314" s="4" t="inlineStr">
        <is>
          <t>6.6 MB</t>
        </is>
      </c>
      <c r="K314" s="4" t="n">
        <v>33.8</v>
      </c>
      <c r="L314" s="4" t="inlineStr">
        <is>
          <t>79/79</t>
        </is>
      </c>
      <c r="M314" s="9" t="inlineStr">
        <is>
          <t>Submission 925892098</t>
        </is>
      </c>
      <c r="N314" s="4" t="inlineStr">
        <is>
          <t>Yes</t>
        </is>
      </c>
    </row>
    <row r="315">
      <c r="A315" s="11" t="n">
        <v>45017.76472222222</v>
      </c>
      <c r="B315" s="4" t="inlineStr">
        <is>
          <t>2023-04</t>
        </is>
      </c>
      <c r="C315" s="4" t="n">
        <v>227</v>
      </c>
      <c r="D315" s="9" t="inlineStr">
        <is>
          <t>Basic Calculator II</t>
        </is>
      </c>
      <c r="E315" s="4" t="inlineStr">
        <is>
          <t>Medium</t>
        </is>
      </c>
      <c r="F315" s="4" t="inlineStr">
        <is>
          <t>Stack</t>
        </is>
      </c>
      <c r="G315" s="4" t="inlineStr">
        <is>
          <t>Accepted</t>
        </is>
      </c>
      <c r="H315" s="4" t="inlineStr">
        <is>
          <t>C++</t>
        </is>
      </c>
      <c r="I315" s="4" t="inlineStr">
        <is>
          <t>25 ms</t>
        </is>
      </c>
      <c r="J315" s="4" t="inlineStr">
        <is>
          <t>10.3 MB</t>
        </is>
      </c>
      <c r="K315" s="4" t="n">
        <v>7.3</v>
      </c>
      <c r="L315" s="4" t="inlineStr">
        <is>
          <t>110/110</t>
        </is>
      </c>
      <c r="M315" s="9" t="inlineStr">
        <is>
          <t>Submission 925895733</t>
        </is>
      </c>
      <c r="N315" s="4" t="inlineStr">
        <is>
          <t>Yes</t>
        </is>
      </c>
    </row>
    <row r="316">
      <c r="A316" s="11" t="n">
        <v>45017.7837037037</v>
      </c>
      <c r="B316" s="4" t="inlineStr">
        <is>
          <t>2023-04</t>
        </is>
      </c>
      <c r="C316" s="4" t="n">
        <v>1504</v>
      </c>
      <c r="D316" s="9" t="inlineStr">
        <is>
          <t>Count Submatrices With All Ones</t>
        </is>
      </c>
      <c r="E316" s="4" t="inlineStr">
        <is>
          <t>Medium</t>
        </is>
      </c>
      <c r="F316" s="4" t="inlineStr">
        <is>
          <t>Monotonic Stack / Deque</t>
        </is>
      </c>
      <c r="G316" s="4" t="inlineStr">
        <is>
          <t>Accepted</t>
        </is>
      </c>
      <c r="H316" s="4" t="inlineStr">
        <is>
          <t>C++</t>
        </is>
      </c>
      <c r="I316" s="4" t="inlineStr">
        <is>
          <t>792 ms</t>
        </is>
      </c>
      <c r="J316" s="4" t="inlineStr">
        <is>
          <t>14.1 MB</t>
        </is>
      </c>
      <c r="K316" s="4" t="n">
        <v>5</v>
      </c>
      <c r="L316" s="4" t="inlineStr">
        <is>
          <t>73/73</t>
        </is>
      </c>
      <c r="M316" s="9" t="inlineStr">
        <is>
          <t>Submission 925907043</t>
        </is>
      </c>
      <c r="N316" s="4" t="inlineStr">
        <is>
          <t>Yes</t>
        </is>
      </c>
    </row>
    <row r="317">
      <c r="A317" s="11" t="n">
        <v>45017.80203703704</v>
      </c>
      <c r="B317" s="4" t="inlineStr">
        <is>
          <t>2023-04</t>
        </is>
      </c>
      <c r="C317" s="4" t="n">
        <v>1504</v>
      </c>
      <c r="D317" s="9" t="inlineStr">
        <is>
          <t>Count Submatrices With All Ones</t>
        </is>
      </c>
      <c r="E317" s="4" t="inlineStr">
        <is>
          <t>Medium</t>
        </is>
      </c>
      <c r="F317" s="4" t="inlineStr">
        <is>
          <t>Monotonic Stack / Deque</t>
        </is>
      </c>
      <c r="G317" s="4" t="inlineStr">
        <is>
          <t>Accepted</t>
        </is>
      </c>
      <c r="H317" s="4" t="inlineStr">
        <is>
          <t>C++</t>
        </is>
      </c>
      <c r="I317" s="4" t="inlineStr">
        <is>
          <t>164 ms</t>
        </is>
      </c>
      <c r="J317" s="4" t="inlineStr">
        <is>
          <t>15.1 MB</t>
        </is>
      </c>
      <c r="K317" s="4" t="n">
        <v>9.4</v>
      </c>
      <c r="L317" s="4" t="inlineStr">
        <is>
          <t>73/73</t>
        </is>
      </c>
      <c r="M317" s="9" t="inlineStr">
        <is>
          <t>Submission 925918463</t>
        </is>
      </c>
      <c r="N317" s="4" t="inlineStr">
        <is>
          <t>Yes</t>
        </is>
      </c>
    </row>
    <row r="318">
      <c r="A318" s="11" t="n">
        <v>45017.90258101852</v>
      </c>
      <c r="B318" s="4" t="inlineStr">
        <is>
          <t>2023-04</t>
        </is>
      </c>
      <c r="C318" s="4" t="n">
        <v>84</v>
      </c>
      <c r="D318" s="9" t="inlineStr">
        <is>
          <t>Largest Rectangle in Histogram</t>
        </is>
      </c>
      <c r="E318" s="4" t="inlineStr">
        <is>
          <t>Hard</t>
        </is>
      </c>
      <c r="F318" s="4" t="inlineStr">
        <is>
          <t>Monotonic Stack / Deque</t>
        </is>
      </c>
      <c r="G318" s="4" t="inlineStr">
        <is>
          <t>Accepted</t>
        </is>
      </c>
      <c r="H318" s="4" t="inlineStr">
        <is>
          <t>C++</t>
        </is>
      </c>
      <c r="I318" s="4" t="inlineStr">
        <is>
          <t>204 ms</t>
        </is>
      </c>
      <c r="J318" s="4" t="inlineStr">
        <is>
          <t>81.5 MB</t>
        </is>
      </c>
      <c r="K318" s="4" t="n">
        <v>5.4</v>
      </c>
      <c r="L318" s="4" t="inlineStr">
        <is>
          <t>98/98</t>
        </is>
      </c>
      <c r="M318" s="9" t="inlineStr">
        <is>
          <t>Submission 926048181</t>
        </is>
      </c>
      <c r="N318" s="4" t="inlineStr">
        <is>
          <t>Yes</t>
        </is>
      </c>
    </row>
    <row r="319">
      <c r="A319" s="11" t="n">
        <v>45017.92228009259</v>
      </c>
      <c r="B319" s="4" t="inlineStr">
        <is>
          <t>2023-04</t>
        </is>
      </c>
      <c r="C319" s="4" t="n">
        <v>84</v>
      </c>
      <c r="D319" s="9" t="inlineStr">
        <is>
          <t>Largest Rectangle in Histogram</t>
        </is>
      </c>
      <c r="E319" s="4" t="inlineStr">
        <is>
          <t>Hard</t>
        </is>
      </c>
      <c r="F319" s="4" t="inlineStr">
        <is>
          <t>Monotonic Stack / Deque</t>
        </is>
      </c>
      <c r="G319" s="4" t="inlineStr">
        <is>
          <t>Accepted</t>
        </is>
      </c>
      <c r="H319" s="4" t="inlineStr">
        <is>
          <t>C++</t>
        </is>
      </c>
      <c r="I319" s="4" t="inlineStr">
        <is>
          <t>164 ms</t>
        </is>
      </c>
      <c r="J319" s="4" t="inlineStr">
        <is>
          <t>75.4 MB</t>
        </is>
      </c>
      <c r="K319" s="4" t="n">
        <v>5.4</v>
      </c>
      <c r="L319" s="4" t="inlineStr">
        <is>
          <t>98/98</t>
        </is>
      </c>
      <c r="M319" s="9" t="inlineStr">
        <is>
          <t>Submission 926064062</t>
        </is>
      </c>
      <c r="N319" s="4" t="inlineStr">
        <is>
          <t>Yes</t>
        </is>
      </c>
    </row>
    <row r="320">
      <c r="A320" s="11" t="n">
        <v>45017.93533564815</v>
      </c>
      <c r="B320" s="4" t="inlineStr">
        <is>
          <t>2023-04</t>
        </is>
      </c>
      <c r="C320" s="4" t="n">
        <v>85</v>
      </c>
      <c r="D320" s="9" t="inlineStr">
        <is>
          <t>Maximal Rectangle</t>
        </is>
      </c>
      <c r="E320" s="4" t="inlineStr">
        <is>
          <t>Hard</t>
        </is>
      </c>
      <c r="F320" s="4" t="inlineStr">
        <is>
          <t>Monotonic Stack / Deque</t>
        </is>
      </c>
      <c r="G320" s="4" t="inlineStr">
        <is>
          <t>Accepted</t>
        </is>
      </c>
      <c r="H320" s="4" t="inlineStr">
        <is>
          <t>C++</t>
        </is>
      </c>
      <c r="I320" s="4" t="inlineStr">
        <is>
          <t>44 ms</t>
        </is>
      </c>
      <c r="J320" s="4" t="inlineStr">
        <is>
          <t>13.1 MB</t>
        </is>
      </c>
      <c r="K320" s="4" t="n">
        <v>7</v>
      </c>
      <c r="L320" s="4" t="inlineStr">
        <is>
          <t>74/74</t>
        </is>
      </c>
      <c r="M320" s="9" t="inlineStr">
        <is>
          <t>Submission 926074412</t>
        </is>
      </c>
      <c r="N320" s="4" t="inlineStr">
        <is>
          <t>Yes</t>
        </is>
      </c>
    </row>
    <row r="321">
      <c r="A321" s="11" t="n">
        <v>45017.95243055555</v>
      </c>
      <c r="B321" s="4" t="inlineStr">
        <is>
          <t>2023-04</t>
        </is>
      </c>
      <c r="C321" s="4" t="n">
        <v>1277</v>
      </c>
      <c r="D321" s="9" t="inlineStr">
        <is>
          <t>Count Square Submatrices with All Ones</t>
        </is>
      </c>
      <c r="E321" s="4" t="inlineStr">
        <is>
          <t>Medium</t>
        </is>
      </c>
      <c r="F321" s="4" t="inlineStr">
        <is>
          <t>DP: Grid / 2D</t>
        </is>
      </c>
      <c r="G321" s="4" t="inlineStr">
        <is>
          <t>Accepted</t>
        </is>
      </c>
      <c r="H321" s="4" t="inlineStr">
        <is>
          <t>C++</t>
        </is>
      </c>
      <c r="I321" s="4" t="inlineStr">
        <is>
          <t>67 ms</t>
        </is>
      </c>
      <c r="J321" s="4" t="inlineStr">
        <is>
          <t>26.4 MB</t>
        </is>
      </c>
      <c r="K321" s="4" t="n">
        <v>5.7</v>
      </c>
      <c r="L321" s="4" t="inlineStr">
        <is>
          <t>32/32</t>
        </is>
      </c>
      <c r="M321" s="9" t="inlineStr">
        <is>
          <t>Submission 926088154</t>
        </is>
      </c>
      <c r="N321" s="4" t="inlineStr">
        <is>
          <t>Yes</t>
        </is>
      </c>
    </row>
    <row r="322">
      <c r="A322" s="11" t="n">
        <v>45017.96747685185</v>
      </c>
      <c r="B322" s="4" t="inlineStr">
        <is>
          <t>2023-04</t>
        </is>
      </c>
      <c r="C322" s="4" t="n">
        <v>1504</v>
      </c>
      <c r="D322" s="9" t="inlineStr">
        <is>
          <t>Count Submatrices With All Ones</t>
        </is>
      </c>
      <c r="E322" s="4" t="inlineStr">
        <is>
          <t>Medium</t>
        </is>
      </c>
      <c r="F322" s="4" t="inlineStr">
        <is>
          <t>Monotonic Stack / Deque</t>
        </is>
      </c>
      <c r="G322" s="4" t="inlineStr">
        <is>
          <t>Accepted</t>
        </is>
      </c>
      <c r="H322" s="4" t="inlineStr">
        <is>
          <t>C++</t>
        </is>
      </c>
      <c r="I322" s="4" t="inlineStr">
        <is>
          <t>42 ms</t>
        </is>
      </c>
      <c r="J322" s="4" t="inlineStr">
        <is>
          <t>17.4 MB</t>
        </is>
      </c>
      <c r="K322" s="4" t="n">
        <v>16.6</v>
      </c>
      <c r="L322" s="4" t="inlineStr">
        <is>
          <t>73/73</t>
        </is>
      </c>
      <c r="M322" s="9" t="inlineStr">
        <is>
          <t>Submission 926100354</t>
        </is>
      </c>
      <c r="N322" s="4" t="inlineStr">
        <is>
          <t>Yes</t>
        </is>
      </c>
    </row>
    <row r="323">
      <c r="A323" s="11" t="n">
        <v>45017.9737037037</v>
      </c>
      <c r="B323" s="4" t="inlineStr">
        <is>
          <t>2023-04</t>
        </is>
      </c>
      <c r="C323" s="4" t="n">
        <v>938</v>
      </c>
      <c r="D323" s="9" t="inlineStr">
        <is>
          <t>Range Sum of BST</t>
        </is>
      </c>
      <c r="E323" s="4" t="inlineStr">
        <is>
          <t>Easy</t>
        </is>
      </c>
      <c r="F323" s="4" t="inlineStr">
        <is>
          <t>Binary Search Tree</t>
        </is>
      </c>
      <c r="G323" s="4" t="inlineStr">
        <is>
          <t>Accepted</t>
        </is>
      </c>
      <c r="H323" s="4" t="inlineStr">
        <is>
          <t>C++</t>
        </is>
      </c>
      <c r="I323" s="4" t="inlineStr">
        <is>
          <t>126 ms</t>
        </is>
      </c>
      <c r="J323" s="4" t="inlineStr">
        <is>
          <t>64.8 MB</t>
        </is>
      </c>
      <c r="K323" s="4" t="n">
        <v>3</v>
      </c>
      <c r="L323" s="4" t="inlineStr">
        <is>
          <t>41/41</t>
        </is>
      </c>
      <c r="M323" s="9" t="inlineStr">
        <is>
          <t>Submission 926105512</t>
        </is>
      </c>
      <c r="N323" s="4" t="inlineStr">
        <is>
          <t>Yes</t>
        </is>
      </c>
    </row>
    <row r="324">
      <c r="A324" s="11" t="n">
        <v>45017.97546296296</v>
      </c>
      <c r="B324" s="4" t="inlineStr">
        <is>
          <t>2023-04</t>
        </is>
      </c>
      <c r="C324" s="4" t="n">
        <v>938</v>
      </c>
      <c r="D324" s="9" t="inlineStr">
        <is>
          <t>Range Sum of BST</t>
        </is>
      </c>
      <c r="E324" s="4" t="inlineStr">
        <is>
          <t>Easy</t>
        </is>
      </c>
      <c r="F324" s="4" t="inlineStr">
        <is>
          <t>Binary Search Tree</t>
        </is>
      </c>
      <c r="G324" s="4" t="inlineStr">
        <is>
          <t>Accepted</t>
        </is>
      </c>
      <c r="H324" s="4" t="inlineStr">
        <is>
          <t>C++</t>
        </is>
      </c>
      <c r="I324" s="4" t="inlineStr">
        <is>
          <t>143 ms</t>
        </is>
      </c>
      <c r="J324" s="4" t="inlineStr">
        <is>
          <t>64.8 MB</t>
        </is>
      </c>
      <c r="K324" s="4" t="n">
        <v>3</v>
      </c>
      <c r="L324" s="4" t="inlineStr">
        <is>
          <t>41/41</t>
        </is>
      </c>
      <c r="M324" s="9" t="inlineStr">
        <is>
          <t>Submission 926106990</t>
        </is>
      </c>
      <c r="N324" s="4" t="inlineStr">
        <is>
          <t>Yes</t>
        </is>
      </c>
    </row>
    <row r="325">
      <c r="A325" s="11" t="n">
        <v>45017.97658564815</v>
      </c>
      <c r="B325" s="4" t="inlineStr">
        <is>
          <t>2023-04</t>
        </is>
      </c>
      <c r="C325" s="4" t="n">
        <v>938</v>
      </c>
      <c r="D325" s="9" t="inlineStr">
        <is>
          <t>Range Sum of BST</t>
        </is>
      </c>
      <c r="E325" s="4" t="inlineStr">
        <is>
          <t>Easy</t>
        </is>
      </c>
      <c r="F325" s="4" t="inlineStr">
        <is>
          <t>Binary Search Tree</t>
        </is>
      </c>
      <c r="G325" s="4" t="inlineStr">
        <is>
          <t>Accepted</t>
        </is>
      </c>
      <c r="H325" s="4" t="inlineStr">
        <is>
          <t>C++</t>
        </is>
      </c>
      <c r="I325" s="4" t="inlineStr">
        <is>
          <t>151 ms</t>
        </is>
      </c>
      <c r="J325" s="4" t="inlineStr">
        <is>
          <t>64.7 MB</t>
        </is>
      </c>
      <c r="K325" s="4" t="n">
        <v>3</v>
      </c>
      <c r="L325" s="4" t="inlineStr">
        <is>
          <t>41/41</t>
        </is>
      </c>
      <c r="M325" s="9" t="inlineStr">
        <is>
          <t>Submission 926107893</t>
        </is>
      </c>
      <c r="N325" s="4" t="inlineStr">
        <is>
          <t>Yes</t>
        </is>
      </c>
    </row>
    <row r="326">
      <c r="A326" s="11" t="n">
        <v>45017.99640046297</v>
      </c>
      <c r="B326" s="4" t="inlineStr">
        <is>
          <t>2023-04</t>
        </is>
      </c>
      <c r="C326" s="4" t="n">
        <v>1155</v>
      </c>
      <c r="D326" s="9" t="inlineStr">
        <is>
          <t>Number of Dice Rolls With Target Sum</t>
        </is>
      </c>
      <c r="E326" s="4" t="inlineStr">
        <is>
          <t>Medium</t>
        </is>
      </c>
      <c r="F326" s="4" t="inlineStr">
        <is>
          <t>DP: Knapsack / Subset</t>
        </is>
      </c>
      <c r="G326" s="4" t="inlineStr">
        <is>
          <t>Accepted</t>
        </is>
      </c>
      <c r="H326" s="4" t="inlineStr">
        <is>
          <t>C++</t>
        </is>
      </c>
      <c r="I326" s="4" t="inlineStr">
        <is>
          <t>31 ms</t>
        </is>
      </c>
      <c r="J326" s="4" t="inlineStr">
        <is>
          <t>8.6 MB</t>
        </is>
      </c>
      <c r="K326" s="4" t="n">
        <v>8.1</v>
      </c>
      <c r="L326" s="4" t="inlineStr">
        <is>
          <t>65/65</t>
        </is>
      </c>
      <c r="M326" s="9" t="inlineStr">
        <is>
          <t>Submission 926123214</t>
        </is>
      </c>
      <c r="N326" s="4" t="inlineStr">
        <is>
          <t>Yes</t>
        </is>
      </c>
    </row>
    <row r="327">
      <c r="A327" s="11" t="n">
        <v>45018.02537037037</v>
      </c>
      <c r="B327" s="4" t="inlineStr">
        <is>
          <t>2023-04</t>
        </is>
      </c>
      <c r="C327" s="4" t="n">
        <v>1155</v>
      </c>
      <c r="D327" s="9" t="inlineStr">
        <is>
          <t>Number of Dice Rolls With Target Sum</t>
        </is>
      </c>
      <c r="E327" s="4" t="inlineStr">
        <is>
          <t>Medium</t>
        </is>
      </c>
      <c r="F327" s="4" t="inlineStr">
        <is>
          <t>DP: Knapsack / Subset</t>
        </is>
      </c>
      <c r="G327" s="4" t="inlineStr">
        <is>
          <t>Accepted</t>
        </is>
      </c>
      <c r="H327" s="4" t="inlineStr">
        <is>
          <t>C++</t>
        </is>
      </c>
      <c r="I327" s="4" t="inlineStr">
        <is>
          <t>125 ms</t>
        </is>
      </c>
      <c r="J327" s="4" t="inlineStr">
        <is>
          <t>8.5 MB</t>
        </is>
      </c>
      <c r="K327" s="4" t="n">
        <v>5.2</v>
      </c>
      <c r="L327" s="4" t="inlineStr">
        <is>
          <t>65/65</t>
        </is>
      </c>
      <c r="M327" s="9" t="inlineStr">
        <is>
          <t>Submission 926143507</t>
        </is>
      </c>
      <c r="N327" s="4" t="inlineStr">
        <is>
          <t>Yes</t>
        </is>
      </c>
    </row>
    <row r="328">
      <c r="A328" s="11" t="n">
        <v>45018.03884259259</v>
      </c>
      <c r="B328" s="4" t="inlineStr">
        <is>
          <t>2023-04</t>
        </is>
      </c>
      <c r="C328" s="4" t="n">
        <v>1048</v>
      </c>
      <c r="D328" s="9" t="inlineStr">
        <is>
          <t>Longest String Chain</t>
        </is>
      </c>
      <c r="E328" s="4" t="inlineStr">
        <is>
          <t>Medium</t>
        </is>
      </c>
      <c r="F328" s="4" t="inlineStr">
        <is>
          <t>DP: LIS Family</t>
        </is>
      </c>
      <c r="G328" s="4" t="inlineStr">
        <is>
          <t>Accepted</t>
        </is>
      </c>
      <c r="H328" s="4" t="inlineStr">
        <is>
          <t>C++</t>
        </is>
      </c>
      <c r="I328" s="4" t="inlineStr">
        <is>
          <t>147 ms</t>
        </is>
      </c>
      <c r="J328" s="4" t="inlineStr">
        <is>
          <t>21.7 MB</t>
        </is>
      </c>
      <c r="K328" s="4" t="n">
        <v>34.2</v>
      </c>
      <c r="L328" s="4" t="inlineStr">
        <is>
          <t>84/84</t>
        </is>
      </c>
      <c r="M328" s="9" t="inlineStr">
        <is>
          <t>Submission 926152010</t>
        </is>
      </c>
      <c r="N328" s="4" t="inlineStr">
        <is>
          <t>Yes</t>
        </is>
      </c>
    </row>
    <row r="329">
      <c r="A329" s="11" t="n">
        <v>45018.04336805556</v>
      </c>
      <c r="B329" s="4" t="inlineStr">
        <is>
          <t>2023-04</t>
        </is>
      </c>
      <c r="C329" s="4" t="n">
        <v>419</v>
      </c>
      <c r="D329" s="9" t="inlineStr">
        <is>
          <t>Battleships in a Board</t>
        </is>
      </c>
      <c r="E329" s="4" t="inlineStr">
        <is>
          <t>Medium</t>
        </is>
      </c>
      <c r="F329" s="4" t="inlineStr">
        <is>
          <t>Graph: Grid BFS/DFS</t>
        </is>
      </c>
      <c r="G329" s="4" t="inlineStr">
        <is>
          <t>Accepted</t>
        </is>
      </c>
      <c r="H329" s="4" t="inlineStr">
        <is>
          <t>C++</t>
        </is>
      </c>
      <c r="I329" s="4" t="inlineStr">
        <is>
          <t>6 ms</t>
        </is>
      </c>
      <c r="J329" s="4" t="inlineStr">
        <is>
          <t>8.1 MB</t>
        </is>
      </c>
      <c r="K329" s="4" t="n">
        <v>3</v>
      </c>
      <c r="L329" s="4" t="inlineStr">
        <is>
          <t>27/27</t>
        </is>
      </c>
      <c r="M329" s="9" t="inlineStr">
        <is>
          <t>Submission 926154720</t>
        </is>
      </c>
      <c r="N329" s="4" t="inlineStr">
        <is>
          <t>Yes</t>
        </is>
      </c>
    </row>
    <row r="330">
      <c r="A330" s="11" t="n">
        <v>45018.04407407407</v>
      </c>
      <c r="B330" s="4" t="inlineStr">
        <is>
          <t>2023-04</t>
        </is>
      </c>
      <c r="C330" s="4" t="n">
        <v>419</v>
      </c>
      <c r="D330" s="9" t="inlineStr">
        <is>
          <t>Battleships in a Board</t>
        </is>
      </c>
      <c r="E330" s="4" t="inlineStr">
        <is>
          <t>Medium</t>
        </is>
      </c>
      <c r="F330" s="4" t="inlineStr">
        <is>
          <t>Graph: Grid BFS/DFS</t>
        </is>
      </c>
      <c r="G330" s="4" t="inlineStr">
        <is>
          <t>Accepted</t>
        </is>
      </c>
      <c r="H330" s="4" t="inlineStr">
        <is>
          <t>C++</t>
        </is>
      </c>
      <c r="I330" s="4" t="inlineStr">
        <is>
          <t>12 ms</t>
        </is>
      </c>
      <c r="J330" s="4" t="inlineStr">
        <is>
          <t>8.1 MB</t>
        </is>
      </c>
      <c r="K330" s="4" t="n">
        <v>3</v>
      </c>
      <c r="L330" s="4" t="inlineStr">
        <is>
          <t>27/27</t>
        </is>
      </c>
      <c r="M330" s="9" t="inlineStr">
        <is>
          <t>Submission 926155176</t>
        </is>
      </c>
      <c r="N330" s="4" t="inlineStr">
        <is>
          <t>Yes</t>
        </is>
      </c>
    </row>
    <row r="331">
      <c r="A331" s="11" t="n">
        <v>45018.05810185185</v>
      </c>
      <c r="B331" s="4" t="inlineStr">
        <is>
          <t>2023-04</t>
        </is>
      </c>
      <c r="C331" s="4" t="n">
        <v>947</v>
      </c>
      <c r="D331" s="9" t="inlineStr">
        <is>
          <t>Most Stones Removed with Same Row or Column</t>
        </is>
      </c>
      <c r="E331" s="4" t="inlineStr">
        <is>
          <t>Medium</t>
        </is>
      </c>
      <c r="F331" s="4" t="inlineStr">
        <is>
          <t>Graph: Union-Find</t>
        </is>
      </c>
      <c r="G331" s="4" t="inlineStr">
        <is>
          <t>Accepted</t>
        </is>
      </c>
      <c r="H331" s="4" t="inlineStr">
        <is>
          <t>C++</t>
        </is>
      </c>
      <c r="I331" s="4" t="inlineStr">
        <is>
          <t>273 ms</t>
        </is>
      </c>
      <c r="J331" s="4" t="inlineStr">
        <is>
          <t>16 MB</t>
        </is>
      </c>
      <c r="K331" s="4" t="n">
        <v>5</v>
      </c>
      <c r="L331" s="4" t="inlineStr">
        <is>
          <t>69/69</t>
        </is>
      </c>
      <c r="M331" s="9" t="inlineStr">
        <is>
          <t>Submission 926163506</t>
        </is>
      </c>
      <c r="N331" s="4" t="inlineStr">
        <is>
          <t>Yes</t>
        </is>
      </c>
    </row>
    <row r="332">
      <c r="A332" s="11" t="n">
        <v>45018.07697916667</v>
      </c>
      <c r="B332" s="4" t="inlineStr">
        <is>
          <t>2023-04</t>
        </is>
      </c>
      <c r="C332" s="4" t="n">
        <v>2402</v>
      </c>
      <c r="D332" s="9" t="inlineStr">
        <is>
          <t>Meeting Rooms III</t>
        </is>
      </c>
      <c r="E332" s="4" t="inlineStr">
        <is>
          <t>Hard</t>
        </is>
      </c>
      <c r="F332" s="4" t="inlineStr">
        <is>
          <t>Heap / Top-K</t>
        </is>
      </c>
      <c r="G332" s="4" t="inlineStr">
        <is>
          <t>Runtime Error</t>
        </is>
      </c>
      <c r="H332" s="4" t="inlineStr">
        <is>
          <t>C++</t>
        </is>
      </c>
      <c r="I332" s="4" t="inlineStr">
        <is>
          <t>N/A</t>
        </is>
      </c>
      <c r="J332" s="4" t="inlineStr">
        <is>
          <t>N/A</t>
        </is>
      </c>
      <c r="K332" s="4" t="n"/>
      <c r="L332" s="4" t="inlineStr">
        <is>
          <t>72/82</t>
        </is>
      </c>
      <c r="M332" s="9" t="inlineStr">
        <is>
          <t>Submission 926173772</t>
        </is>
      </c>
      <c r="N332" s="4" t="inlineStr">
        <is>
          <t>Yes</t>
        </is>
      </c>
    </row>
    <row r="333">
      <c r="A333" s="11" t="n">
        <v>45018.42188657408</v>
      </c>
      <c r="B333" s="4" t="inlineStr">
        <is>
          <t>2023-04</t>
        </is>
      </c>
      <c r="C333" s="4" t="n">
        <v>120</v>
      </c>
      <c r="D333" s="9" t="inlineStr">
        <is>
          <t>Triangle</t>
        </is>
      </c>
      <c r="E333" s="4" t="inlineStr">
        <is>
          <t>Medium</t>
        </is>
      </c>
      <c r="F333" s="4" t="inlineStr">
        <is>
          <t>DP: Grid / 2D</t>
        </is>
      </c>
      <c r="G333" s="4" t="inlineStr">
        <is>
          <t>Accepted</t>
        </is>
      </c>
      <c r="H333" s="4" t="inlineStr">
        <is>
          <t>C++</t>
        </is>
      </c>
      <c r="I333" s="4" t="inlineStr">
        <is>
          <t>4 ms</t>
        </is>
      </c>
      <c r="J333" s="4" t="inlineStr">
        <is>
          <t>9.1 MB</t>
        </is>
      </c>
      <c r="K333" s="4" t="n">
        <v>5.4</v>
      </c>
      <c r="L333" s="4" t="inlineStr">
        <is>
          <t>44/44</t>
        </is>
      </c>
      <c r="M333" s="9" t="inlineStr">
        <is>
          <t>Submission 926374798</t>
        </is>
      </c>
      <c r="N333" s="4" t="inlineStr">
        <is>
          <t>Yes</t>
        </is>
      </c>
    </row>
    <row r="334">
      <c r="A334" s="11" t="n">
        <v>45018.45466435186</v>
      </c>
      <c r="B334" s="4" t="inlineStr">
        <is>
          <t>2023-04</t>
        </is>
      </c>
      <c r="C334" s="4" t="n">
        <v>1463</v>
      </c>
      <c r="D334" s="9" t="inlineStr">
        <is>
          <t>Cherry Pickup II</t>
        </is>
      </c>
      <c r="E334" s="4" t="inlineStr">
        <is>
          <t>Hard</t>
        </is>
      </c>
      <c r="F334" s="4" t="inlineStr">
        <is>
          <t>DP: Grid / 2D</t>
        </is>
      </c>
      <c r="G334" s="4" t="inlineStr">
        <is>
          <t>Accepted</t>
        </is>
      </c>
      <c r="H334" s="4" t="inlineStr">
        <is>
          <t>C++</t>
        </is>
      </c>
      <c r="I334" s="4" t="inlineStr">
        <is>
          <t>591 ms</t>
        </is>
      </c>
      <c r="J334" s="4" t="inlineStr">
        <is>
          <t>445.6 MB</t>
        </is>
      </c>
      <c r="K334" s="4" t="n">
        <v>5</v>
      </c>
      <c r="L334" s="4" t="inlineStr">
        <is>
          <t>59/59</t>
        </is>
      </c>
      <c r="M334" s="9" t="inlineStr">
        <is>
          <t>Submission 926397708</t>
        </is>
      </c>
      <c r="N334" s="4" t="inlineStr">
        <is>
          <t>Yes</t>
        </is>
      </c>
    </row>
    <row r="335">
      <c r="A335" s="11" t="n">
        <v>45018.46508101852</v>
      </c>
      <c r="B335" s="4" t="inlineStr">
        <is>
          <t>2023-04</t>
        </is>
      </c>
      <c r="C335" s="4" t="n">
        <v>1463</v>
      </c>
      <c r="D335" s="9" t="inlineStr">
        <is>
          <t>Cherry Pickup II</t>
        </is>
      </c>
      <c r="E335" s="4" t="inlineStr">
        <is>
          <t>Hard</t>
        </is>
      </c>
      <c r="F335" s="4" t="inlineStr">
        <is>
          <t>DP: Grid / 2D</t>
        </is>
      </c>
      <c r="G335" s="4" t="inlineStr">
        <is>
          <t>Accepted</t>
        </is>
      </c>
      <c r="H335" s="4" t="inlineStr">
        <is>
          <t>C++</t>
        </is>
      </c>
      <c r="I335" s="4" t="inlineStr">
        <is>
          <t>136 ms</t>
        </is>
      </c>
      <c r="J335" s="4" t="inlineStr">
        <is>
          <t>18.1 MB</t>
        </is>
      </c>
      <c r="K335" s="4" t="n">
        <v>5</v>
      </c>
      <c r="L335" s="4" t="inlineStr">
        <is>
          <t>59/59</t>
        </is>
      </c>
      <c r="M335" s="9" t="inlineStr">
        <is>
          <t>Submission 926405109</t>
        </is>
      </c>
      <c r="N335" s="4" t="inlineStr">
        <is>
          <t>Yes</t>
        </is>
      </c>
    </row>
    <row r="336">
      <c r="A336" s="11" t="n">
        <v>45019.03325231482</v>
      </c>
      <c r="B336" s="4" t="inlineStr">
        <is>
          <t>2023-04</t>
        </is>
      </c>
      <c r="C336" s="4" t="n">
        <v>1048</v>
      </c>
      <c r="D336" s="9" t="inlineStr">
        <is>
          <t>Longest String Chain</t>
        </is>
      </c>
      <c r="E336" s="4" t="inlineStr">
        <is>
          <t>Medium</t>
        </is>
      </c>
      <c r="F336" s="4" t="inlineStr">
        <is>
          <t>DP: LIS Family</t>
        </is>
      </c>
      <c r="G336" s="4" t="inlineStr">
        <is>
          <t>Accepted</t>
        </is>
      </c>
      <c r="H336" s="4" t="inlineStr">
        <is>
          <t>C++</t>
        </is>
      </c>
      <c r="I336" s="4" t="inlineStr">
        <is>
          <t>137 ms</t>
        </is>
      </c>
      <c r="J336" s="4" t="inlineStr">
        <is>
          <t>18.2 MB</t>
        </is>
      </c>
      <c r="K336" s="4" t="n">
        <v>35.3</v>
      </c>
      <c r="L336" s="4" t="inlineStr">
        <is>
          <t>84/84</t>
        </is>
      </c>
      <c r="M336" s="9" t="inlineStr">
        <is>
          <t>Submission 926805414</t>
        </is>
      </c>
      <c r="N336" s="4" t="inlineStr">
        <is>
          <t>Yes</t>
        </is>
      </c>
    </row>
    <row r="337">
      <c r="A337" s="11" t="n">
        <v>45019.03755787037</v>
      </c>
      <c r="B337" s="4" t="inlineStr">
        <is>
          <t>2023-04</t>
        </is>
      </c>
      <c r="C337" s="4" t="n">
        <v>368</v>
      </c>
      <c r="D337" s="9" t="inlineStr">
        <is>
          <t>Largest Divisible Subset</t>
        </is>
      </c>
      <c r="E337" s="4" t="inlineStr">
        <is>
          <t>Medium</t>
        </is>
      </c>
      <c r="F337" s="4" t="inlineStr">
        <is>
          <t>DP: LIS Family</t>
        </is>
      </c>
      <c r="G337" s="4" t="inlineStr">
        <is>
          <t>Wrong Answer</t>
        </is>
      </c>
      <c r="H337" s="4" t="inlineStr">
        <is>
          <t>C++</t>
        </is>
      </c>
      <c r="I337" s="4" t="inlineStr">
        <is>
          <t>N/A</t>
        </is>
      </c>
      <c r="J337" s="4" t="inlineStr">
        <is>
          <t>N/A</t>
        </is>
      </c>
      <c r="K337" s="4" t="n"/>
      <c r="L337" s="4" t="inlineStr">
        <is>
          <t>26/49</t>
        </is>
      </c>
      <c r="M337" s="9" t="inlineStr">
        <is>
          <t>Submission 926808530</t>
        </is>
      </c>
      <c r="N337" s="4" t="inlineStr">
        <is>
          <t>Yes</t>
        </is>
      </c>
    </row>
    <row r="338">
      <c r="A338" s="11" t="n">
        <v>45019.04081018519</v>
      </c>
      <c r="B338" s="4" t="inlineStr">
        <is>
          <t>2023-04</t>
        </is>
      </c>
      <c r="C338" s="4" t="n">
        <v>368</v>
      </c>
      <c r="D338" s="9" t="inlineStr">
        <is>
          <t>Largest Divisible Subset</t>
        </is>
      </c>
      <c r="E338" s="4" t="inlineStr">
        <is>
          <t>Medium</t>
        </is>
      </c>
      <c r="F338" s="4" t="inlineStr">
        <is>
          <t>DP: LIS Family</t>
        </is>
      </c>
      <c r="G338" s="4" t="inlineStr">
        <is>
          <t>Accepted</t>
        </is>
      </c>
      <c r="H338" s="4" t="inlineStr">
        <is>
          <t>C++</t>
        </is>
      </c>
      <c r="I338" s="4" t="inlineStr">
        <is>
          <t>106 ms</t>
        </is>
      </c>
      <c r="J338" s="4" t="inlineStr">
        <is>
          <t>9 MB</t>
        </is>
      </c>
      <c r="K338" s="4" t="n">
        <v>5.1</v>
      </c>
      <c r="L338" s="4" t="inlineStr">
        <is>
          <t>49/49</t>
        </is>
      </c>
      <c r="M338" s="9" t="inlineStr">
        <is>
          <t>Submission 926810782</t>
        </is>
      </c>
      <c r="N338" s="4" t="inlineStr">
        <is>
          <t>Yes</t>
        </is>
      </c>
    </row>
    <row r="339">
      <c r="A339" s="11" t="n">
        <v>45019.05697916666</v>
      </c>
      <c r="B339" s="4" t="inlineStr">
        <is>
          <t>2023-04</t>
        </is>
      </c>
      <c r="C339" s="4" t="n">
        <v>673</v>
      </c>
      <c r="D339" s="9" t="inlineStr">
        <is>
          <t>Number of Longest Increasing Subsequence</t>
        </is>
      </c>
      <c r="E339" s="4" t="inlineStr">
        <is>
          <t>Medium</t>
        </is>
      </c>
      <c r="F339" s="4" t="inlineStr">
        <is>
          <t>DP: LIS Family</t>
        </is>
      </c>
      <c r="G339" s="4" t="inlineStr">
        <is>
          <t>Accepted</t>
        </is>
      </c>
      <c r="H339" s="4" t="inlineStr">
        <is>
          <t>C++</t>
        </is>
      </c>
      <c r="I339" s="4" t="inlineStr">
        <is>
          <t>172 ms</t>
        </is>
      </c>
      <c r="J339" s="4" t="inlineStr">
        <is>
          <t>13.2 MB</t>
        </is>
      </c>
      <c r="K339" s="4" t="n">
        <v>5.1</v>
      </c>
      <c r="L339" s="4" t="inlineStr">
        <is>
          <t>223/223</t>
        </is>
      </c>
      <c r="M339" s="9" t="inlineStr">
        <is>
          <t>Submission 926821178</t>
        </is>
      </c>
      <c r="N339" s="4" t="inlineStr">
        <is>
          <t>Yes</t>
        </is>
      </c>
    </row>
    <row r="340">
      <c r="A340" s="11" t="n">
        <v>45019.47637731482</v>
      </c>
      <c r="B340" s="4" t="inlineStr">
        <is>
          <t>2023-04</t>
        </is>
      </c>
      <c r="C340" s="4" t="n">
        <v>1547</v>
      </c>
      <c r="D340" s="9" t="inlineStr">
        <is>
          <t>Minimum Cost to Cut a Stick</t>
        </is>
      </c>
      <c r="E340" s="4" t="inlineStr">
        <is>
          <t>Hard</t>
        </is>
      </c>
      <c r="F340" s="4" t="inlineStr">
        <is>
          <t>DP: Partition / Interval (MCM)</t>
        </is>
      </c>
      <c r="G340" s="4" t="inlineStr">
        <is>
          <t>Accepted</t>
        </is>
      </c>
      <c r="H340" s="4" t="inlineStr">
        <is>
          <t>C++</t>
        </is>
      </c>
      <c r="I340" s="4" t="inlineStr">
        <is>
          <t>118 ms</t>
        </is>
      </c>
      <c r="J340" s="4" t="inlineStr">
        <is>
          <t>10.4 MB</t>
        </is>
      </c>
      <c r="K340" s="4" t="n">
        <v>5.2</v>
      </c>
      <c r="L340" s="4" t="inlineStr">
        <is>
          <t>100/100</t>
        </is>
      </c>
      <c r="M340" s="9" t="inlineStr">
        <is>
          <t>Submission 927021105</t>
        </is>
      </c>
      <c r="N340" s="4" t="inlineStr">
        <is>
          <t>Yes</t>
        </is>
      </c>
    </row>
    <row r="341">
      <c r="A341" s="11" t="n">
        <v>45019.49112268518</v>
      </c>
      <c r="B341" s="4" t="inlineStr">
        <is>
          <t>2023-04</t>
        </is>
      </c>
      <c r="C341" s="4" t="n">
        <v>312</v>
      </c>
      <c r="D341" s="9" t="inlineStr">
        <is>
          <t>Burst Balloons</t>
        </is>
      </c>
      <c r="E341" s="4" t="inlineStr">
        <is>
          <t>Hard</t>
        </is>
      </c>
      <c r="F341" s="4" t="inlineStr">
        <is>
          <t>DP: Partition / Interval (MCM)</t>
        </is>
      </c>
      <c r="G341" s="4" t="inlineStr">
        <is>
          <t>Accepted</t>
        </is>
      </c>
      <c r="H341" s="4" t="inlineStr">
        <is>
          <t>C++</t>
        </is>
      </c>
      <c r="I341" s="4" t="inlineStr">
        <is>
          <t>660 ms</t>
        </is>
      </c>
      <c r="J341" s="4" t="inlineStr">
        <is>
          <t>10.5 MB</t>
        </is>
      </c>
      <c r="K341" s="4" t="n">
        <v>5.1</v>
      </c>
      <c r="L341" s="4" t="inlineStr">
        <is>
          <t>73/73</t>
        </is>
      </c>
      <c r="M341" s="9" t="inlineStr">
        <is>
          <t>Submission 927031206</t>
        </is>
      </c>
      <c r="N341" s="4" t="inlineStr">
        <is>
          <t>Yes</t>
        </is>
      </c>
    </row>
    <row r="342">
      <c r="A342" s="11" t="n">
        <v>45019.49872685185</v>
      </c>
      <c r="B342" s="4" t="inlineStr">
        <is>
          <t>2023-04</t>
        </is>
      </c>
      <c r="C342" s="4" t="n">
        <v>312</v>
      </c>
      <c r="D342" s="9" t="inlineStr">
        <is>
          <t>Burst Balloons</t>
        </is>
      </c>
      <c r="E342" s="4" t="inlineStr">
        <is>
          <t>Hard</t>
        </is>
      </c>
      <c r="F342" s="4" t="inlineStr">
        <is>
          <t>DP: Partition / Interval (MCM)</t>
        </is>
      </c>
      <c r="G342" s="4" t="inlineStr">
        <is>
          <t>Accepted</t>
        </is>
      </c>
      <c r="H342" s="4" t="inlineStr">
        <is>
          <t>C++</t>
        </is>
      </c>
      <c r="I342" s="4" t="inlineStr">
        <is>
          <t>567 ms</t>
        </is>
      </c>
      <c r="J342" s="4" t="inlineStr">
        <is>
          <t>10.5 MB</t>
        </is>
      </c>
      <c r="K342" s="4" t="n">
        <v>5.1</v>
      </c>
      <c r="L342" s="4" t="inlineStr">
        <is>
          <t>73/73</t>
        </is>
      </c>
      <c r="M342" s="9" t="inlineStr">
        <is>
          <t>Submission 927036759</t>
        </is>
      </c>
      <c r="N342" s="4" t="inlineStr">
        <is>
          <t>Yes</t>
        </is>
      </c>
    </row>
    <row r="343">
      <c r="A343" s="11" t="n">
        <v>45019.67104166667</v>
      </c>
      <c r="B343" s="4" t="inlineStr">
        <is>
          <t>2023-04</t>
        </is>
      </c>
      <c r="C343" s="4" t="n">
        <v>658</v>
      </c>
      <c r="D343" s="9" t="inlineStr">
        <is>
          <t>Find K Closest Elements</t>
        </is>
      </c>
      <c r="E343" s="4" t="inlineStr">
        <is>
          <t>Medium</t>
        </is>
      </c>
      <c r="F343" s="4" t="inlineStr">
        <is>
          <t>Binary Search</t>
        </is>
      </c>
      <c r="G343" s="4" t="inlineStr">
        <is>
          <t>Accepted</t>
        </is>
      </c>
      <c r="H343" s="4" t="inlineStr">
        <is>
          <t>C++</t>
        </is>
      </c>
      <c r="I343" s="4" t="inlineStr">
        <is>
          <t>81 ms</t>
        </is>
      </c>
      <c r="J343" s="4" t="inlineStr">
        <is>
          <t>37.6 MB</t>
        </is>
      </c>
      <c r="K343" s="4" t="n">
        <v>5.4</v>
      </c>
      <c r="L343" s="4" t="inlineStr">
        <is>
          <t>66/66</t>
        </is>
      </c>
      <c r="M343" s="9" t="inlineStr">
        <is>
          <t>Submission 927143513</t>
        </is>
      </c>
      <c r="N343" s="4" t="inlineStr">
        <is>
          <t>Yes</t>
        </is>
      </c>
    </row>
    <row r="344">
      <c r="A344" s="11" t="n">
        <v>45019.67304398148</v>
      </c>
      <c r="B344" s="4" t="inlineStr">
        <is>
          <t>2023-04</t>
        </is>
      </c>
      <c r="C344" s="4" t="n">
        <v>658</v>
      </c>
      <c r="D344" s="9" t="inlineStr">
        <is>
          <t>Find K Closest Elements</t>
        </is>
      </c>
      <c r="E344" s="4" t="inlineStr">
        <is>
          <t>Medium</t>
        </is>
      </c>
      <c r="F344" s="4" t="inlineStr">
        <is>
          <t>Binary Search</t>
        </is>
      </c>
      <c r="G344" s="4" t="inlineStr">
        <is>
          <t>Accepted</t>
        </is>
      </c>
      <c r="H344" s="4" t="inlineStr">
        <is>
          <t>C++</t>
        </is>
      </c>
      <c r="I344" s="4" t="inlineStr">
        <is>
          <t>118 ms</t>
        </is>
      </c>
      <c r="J344" s="4" t="inlineStr">
        <is>
          <t>34.2 MB</t>
        </is>
      </c>
      <c r="K344" s="4" t="n">
        <v>5.4</v>
      </c>
      <c r="L344" s="4" t="inlineStr">
        <is>
          <t>66/66</t>
        </is>
      </c>
      <c r="M344" s="9" t="inlineStr">
        <is>
          <t>Submission 927144670</t>
        </is>
      </c>
      <c r="N344" s="4" t="inlineStr">
        <is>
          <t>Yes</t>
        </is>
      </c>
    </row>
    <row r="345">
      <c r="A345" s="11" t="n">
        <v>45041.74270833333</v>
      </c>
      <c r="B345" s="4" t="inlineStr">
        <is>
          <t>2023-04</t>
        </is>
      </c>
      <c r="C345" s="4" t="n">
        <v>146</v>
      </c>
      <c r="D345" s="9" t="inlineStr">
        <is>
          <t>LRU Cache</t>
        </is>
      </c>
      <c r="E345" s="4" t="inlineStr">
        <is>
          <t>Medium</t>
        </is>
      </c>
      <c r="F345" s="4" t="inlineStr">
        <is>
          <t>Design</t>
        </is>
      </c>
      <c r="G345" s="4" t="inlineStr">
        <is>
          <t>Accepted</t>
        </is>
      </c>
      <c r="H345" s="4" t="inlineStr">
        <is>
          <t>C++</t>
        </is>
      </c>
      <c r="I345" s="4" t="inlineStr">
        <is>
          <t>634 ms</t>
        </is>
      </c>
      <c r="J345" s="4" t="inlineStr">
        <is>
          <t>186.2 MB</t>
        </is>
      </c>
      <c r="K345" s="4" t="n">
        <v>5</v>
      </c>
      <c r="L345" s="4" t="inlineStr">
        <is>
          <t>22/22</t>
        </is>
      </c>
      <c r="M345" s="9" t="inlineStr">
        <is>
          <t>Submission 939483920</t>
        </is>
      </c>
      <c r="N345" s="4" t="inlineStr">
        <is>
          <t>Yes</t>
        </is>
      </c>
    </row>
    <row r="346">
      <c r="A346" s="11" t="n">
        <v>45041.74744212963</v>
      </c>
      <c r="B346" s="4" t="inlineStr">
        <is>
          <t>2023-04</t>
        </is>
      </c>
      <c r="C346" s="4" t="n">
        <v>346</v>
      </c>
      <c r="D346" s="9" t="inlineStr">
        <is>
          <t>Moving Average from Data Stream</t>
        </is>
      </c>
      <c r="E346" s="4" t="inlineStr">
        <is>
          <t>Easy</t>
        </is>
      </c>
      <c r="F346" s="4" t="inlineStr">
        <is>
          <t>Design</t>
        </is>
      </c>
      <c r="G346" s="4" t="inlineStr">
        <is>
          <t>Accepted</t>
        </is>
      </c>
      <c r="H346" s="4" t="inlineStr">
        <is>
          <t>C++</t>
        </is>
      </c>
      <c r="I346" s="4" t="inlineStr">
        <is>
          <t>26 ms</t>
        </is>
      </c>
      <c r="J346" s="4" t="inlineStr">
        <is>
          <t>14.5 MB</t>
        </is>
      </c>
      <c r="K346" s="4" t="n">
        <v>5.5</v>
      </c>
      <c r="L346" s="4" t="inlineStr">
        <is>
          <t>11/11</t>
        </is>
      </c>
      <c r="M346" s="9" t="inlineStr">
        <is>
          <t>Submission 939486498</t>
        </is>
      </c>
      <c r="N346" s="4" t="inlineStr">
        <is>
          <t>Yes</t>
        </is>
      </c>
    </row>
    <row r="347">
      <c r="A347" s="11" t="n">
        <v>45041.74766203704</v>
      </c>
      <c r="B347" s="4" t="inlineStr">
        <is>
          <t>2023-04</t>
        </is>
      </c>
      <c r="C347" s="4" t="n">
        <v>346</v>
      </c>
      <c r="D347" s="9" t="inlineStr">
        <is>
          <t>Moving Average from Data Stream</t>
        </is>
      </c>
      <c r="E347" s="4" t="inlineStr">
        <is>
          <t>Easy</t>
        </is>
      </c>
      <c r="F347" s="4" t="inlineStr">
        <is>
          <t>Design</t>
        </is>
      </c>
      <c r="G347" s="4" t="inlineStr">
        <is>
          <t>Accepted</t>
        </is>
      </c>
      <c r="H347" s="4" t="inlineStr">
        <is>
          <t>C++</t>
        </is>
      </c>
      <c r="I347" s="4" t="inlineStr">
        <is>
          <t>30 ms</t>
        </is>
      </c>
      <c r="J347" s="4" t="inlineStr">
        <is>
          <t>14.7 MB</t>
        </is>
      </c>
      <c r="K347" s="4" t="n">
        <v>5.5</v>
      </c>
      <c r="L347" s="4" t="inlineStr">
        <is>
          <t>11/11</t>
        </is>
      </c>
      <c r="M347" s="9" t="inlineStr">
        <is>
          <t>Submission 939486602</t>
        </is>
      </c>
      <c r="N347" s="4" t="inlineStr">
        <is>
          <t>Yes</t>
        </is>
      </c>
    </row>
    <row r="348">
      <c r="A348" s="11" t="n">
        <v>45042.58244212963</v>
      </c>
      <c r="B348" s="4" t="inlineStr">
        <is>
          <t>2023-04</t>
        </is>
      </c>
      <c r="C348" s="4" t="n">
        <v>353</v>
      </c>
      <c r="D348" s="9" t="inlineStr">
        <is>
          <t>Design Snake Game</t>
        </is>
      </c>
      <c r="E348" s="4" t="inlineStr">
        <is>
          <t>Medium</t>
        </is>
      </c>
      <c r="F348" s="4" t="inlineStr">
        <is>
          <t>Design</t>
        </is>
      </c>
      <c r="G348" s="4" t="inlineStr">
        <is>
          <t>Wrong Answer</t>
        </is>
      </c>
      <c r="H348" s="4" t="inlineStr">
        <is>
          <t>C++</t>
        </is>
      </c>
      <c r="I348" s="4" t="inlineStr">
        <is>
          <t>N/A</t>
        </is>
      </c>
      <c r="J348" s="4" t="inlineStr">
        <is>
          <t>N/A</t>
        </is>
      </c>
      <c r="K348" s="4" t="n"/>
      <c r="L348" s="4" t="inlineStr">
        <is>
          <t>82/446</t>
        </is>
      </c>
      <c r="M348" s="9" t="inlineStr">
        <is>
          <t>Submission 939955592</t>
        </is>
      </c>
      <c r="N348" s="4" t="inlineStr">
        <is>
          <t>Yes</t>
        </is>
      </c>
    </row>
    <row r="349">
      <c r="A349" s="11" t="n">
        <v>45042.59423611111</v>
      </c>
      <c r="B349" s="4" t="inlineStr">
        <is>
          <t>2023-04</t>
        </is>
      </c>
      <c r="C349" s="4" t="n">
        <v>353</v>
      </c>
      <c r="D349" s="9" t="inlineStr">
        <is>
          <t>Design Snake Game</t>
        </is>
      </c>
      <c r="E349" s="4" t="inlineStr">
        <is>
          <t>Medium</t>
        </is>
      </c>
      <c r="F349" s="4" t="inlineStr">
        <is>
          <t>Design</t>
        </is>
      </c>
      <c r="G349" s="4" t="inlineStr">
        <is>
          <t>Accepted</t>
        </is>
      </c>
      <c r="H349" s="4" t="inlineStr">
        <is>
          <t>C++</t>
        </is>
      </c>
      <c r="I349" s="4" t="inlineStr">
        <is>
          <t>131 ms</t>
        </is>
      </c>
      <c r="J349" s="4" t="inlineStr">
        <is>
          <t>58.6 MB</t>
        </is>
      </c>
      <c r="K349" s="4" t="n">
        <v>23.7</v>
      </c>
      <c r="L349" s="4" t="inlineStr">
        <is>
          <t>446/446</t>
        </is>
      </c>
      <c r="M349" s="9" t="inlineStr">
        <is>
          <t>Submission 939962357</t>
        </is>
      </c>
      <c r="N349" s="4" t="inlineStr">
        <is>
          <t>Yes</t>
        </is>
      </c>
    </row>
    <row r="350">
      <c r="A350" s="11" t="n">
        <v>45042.67565972222</v>
      </c>
      <c r="B350" s="4" t="inlineStr">
        <is>
          <t>2023-04</t>
        </is>
      </c>
      <c r="C350" s="4" t="n">
        <v>353</v>
      </c>
      <c r="D350" s="9" t="inlineStr">
        <is>
          <t>Design Snake Game</t>
        </is>
      </c>
      <c r="E350" s="4" t="inlineStr">
        <is>
          <t>Medium</t>
        </is>
      </c>
      <c r="F350" s="4" t="inlineStr">
        <is>
          <t>Design</t>
        </is>
      </c>
      <c r="G350" s="4" t="inlineStr">
        <is>
          <t>Accepted</t>
        </is>
      </c>
      <c r="H350" s="4" t="inlineStr">
        <is>
          <t>C++</t>
        </is>
      </c>
      <c r="I350" s="4" t="inlineStr">
        <is>
          <t>124 ms</t>
        </is>
      </c>
      <c r="J350" s="4" t="inlineStr">
        <is>
          <t>58.7 MB</t>
        </is>
      </c>
      <c r="K350" s="4" t="n">
        <v>25.9</v>
      </c>
      <c r="L350" s="4" t="inlineStr">
        <is>
          <t>446/446</t>
        </is>
      </c>
      <c r="M350" s="9" t="inlineStr">
        <is>
          <t>Submission 940007168</t>
        </is>
      </c>
      <c r="N350" s="4" t="inlineStr">
        <is>
          <t>Yes</t>
        </is>
      </c>
    </row>
    <row r="351">
      <c r="A351" s="11" t="n">
        <v>45042.67797453704</v>
      </c>
      <c r="B351" s="4" t="inlineStr">
        <is>
          <t>2023-04</t>
        </is>
      </c>
      <c r="C351" s="4" t="n">
        <v>359</v>
      </c>
      <c r="D351" s="9" t="inlineStr">
        <is>
          <t>Logger Rate Limiter</t>
        </is>
      </c>
      <c r="E351" s="4" t="inlineStr">
        <is>
          <t>Easy</t>
        </is>
      </c>
      <c r="F351" s="4" t="inlineStr">
        <is>
          <t>Design</t>
        </is>
      </c>
      <c r="G351" s="4" t="inlineStr">
        <is>
          <t>Accepted</t>
        </is>
      </c>
      <c r="H351" s="4" t="inlineStr">
        <is>
          <t>C++</t>
        </is>
      </c>
      <c r="I351" s="4" t="inlineStr">
        <is>
          <t>83 ms</t>
        </is>
      </c>
      <c r="J351" s="4" t="inlineStr">
        <is>
          <t>32.7 MB</t>
        </is>
      </c>
      <c r="K351" s="4" t="n">
        <v>5.2</v>
      </c>
      <c r="L351" s="4" t="inlineStr">
        <is>
          <t>20/20</t>
        </is>
      </c>
      <c r="M351" s="9" t="inlineStr">
        <is>
          <t>Submission 940008445</t>
        </is>
      </c>
      <c r="N351" s="4" t="inlineStr">
        <is>
          <t>Yes</t>
        </is>
      </c>
    </row>
    <row r="352">
      <c r="A352" s="11" t="n">
        <v>45042.68</v>
      </c>
      <c r="B352" s="4" t="inlineStr">
        <is>
          <t>2023-04</t>
        </is>
      </c>
      <c r="C352" s="4" t="n">
        <v>359</v>
      </c>
      <c r="D352" s="9" t="inlineStr">
        <is>
          <t>Logger Rate Limiter</t>
        </is>
      </c>
      <c r="E352" s="4" t="inlineStr">
        <is>
          <t>Easy</t>
        </is>
      </c>
      <c r="F352" s="4" t="inlineStr">
        <is>
          <t>Design</t>
        </is>
      </c>
      <c r="G352" s="4" t="inlineStr">
        <is>
          <t>Accepted</t>
        </is>
      </c>
      <c r="H352" s="4" t="inlineStr">
        <is>
          <t>C++</t>
        </is>
      </c>
      <c r="I352" s="4" t="inlineStr">
        <is>
          <t>81 ms</t>
        </is>
      </c>
      <c r="J352" s="4" t="inlineStr">
        <is>
          <t>32.5 MB</t>
        </is>
      </c>
      <c r="K352" s="4" t="n">
        <v>5.2</v>
      </c>
      <c r="L352" s="4" t="inlineStr">
        <is>
          <t>20/20</t>
        </is>
      </c>
      <c r="M352" s="9" t="inlineStr">
        <is>
          <t>Submission 940009478</t>
        </is>
      </c>
      <c r="N352" s="4" t="inlineStr">
        <is>
          <t>Yes</t>
        </is>
      </c>
    </row>
    <row r="353">
      <c r="A353" s="11" t="n">
        <v>45042.68184027778</v>
      </c>
      <c r="B353" s="4" t="inlineStr">
        <is>
          <t>2023-04</t>
        </is>
      </c>
      <c r="C353" s="4" t="n">
        <v>362</v>
      </c>
      <c r="D353" s="9" t="inlineStr">
        <is>
          <t>Design Hit Counter</t>
        </is>
      </c>
      <c r="E353" s="4" t="inlineStr">
        <is>
          <t>Medium</t>
        </is>
      </c>
      <c r="F353" s="4" t="inlineStr">
        <is>
          <t>Design</t>
        </is>
      </c>
      <c r="G353" s="4" t="inlineStr">
        <is>
          <t>Accepted</t>
        </is>
      </c>
      <c r="H353" s="4" t="inlineStr">
        <is>
          <t>C++</t>
        </is>
      </c>
      <c r="I353" s="4" t="inlineStr">
        <is>
          <t>0 ms</t>
        </is>
      </c>
      <c r="J353" s="4" t="inlineStr">
        <is>
          <t>7.3 MB</t>
        </is>
      </c>
      <c r="K353" s="4" t="n">
        <v>100</v>
      </c>
      <c r="L353" s="4" t="inlineStr">
        <is>
          <t>24/24</t>
        </is>
      </c>
      <c r="M353" s="9" t="inlineStr">
        <is>
          <t>Submission 940010469</t>
        </is>
      </c>
      <c r="N353" s="4" t="inlineStr">
        <is>
          <t>Yes</t>
        </is>
      </c>
    </row>
    <row r="354">
      <c r="A354" s="11" t="n">
        <v>45042.68216435185</v>
      </c>
      <c r="B354" s="4" t="inlineStr">
        <is>
          <t>2023-04</t>
        </is>
      </c>
      <c r="C354" s="4" t="n">
        <v>362</v>
      </c>
      <c r="D354" s="9" t="inlineStr">
        <is>
          <t>Design Hit Counter</t>
        </is>
      </c>
      <c r="E354" s="4" t="inlineStr">
        <is>
          <t>Medium</t>
        </is>
      </c>
      <c r="F354" s="4" t="inlineStr">
        <is>
          <t>Design</t>
        </is>
      </c>
      <c r="G354" s="4" t="inlineStr">
        <is>
          <t>Accepted</t>
        </is>
      </c>
      <c r="H354" s="4" t="inlineStr">
        <is>
          <t>C++</t>
        </is>
      </c>
      <c r="I354" s="4" t="inlineStr">
        <is>
          <t>0 ms</t>
        </is>
      </c>
      <c r="J354" s="4" t="inlineStr">
        <is>
          <t>7.3 MB</t>
        </is>
      </c>
      <c r="K354" s="4" t="n">
        <v>100</v>
      </c>
      <c r="L354" s="4" t="inlineStr">
        <is>
          <t>24/24</t>
        </is>
      </c>
      <c r="M354" s="9" t="inlineStr">
        <is>
          <t>Submission 940010613</t>
        </is>
      </c>
      <c r="N354" s="4" t="inlineStr">
        <is>
          <t>Yes</t>
        </is>
      </c>
    </row>
    <row r="355">
      <c r="A355" s="11" t="n">
        <v>45042.69326388889</v>
      </c>
      <c r="B355" s="4" t="inlineStr">
        <is>
          <t>2023-04</t>
        </is>
      </c>
      <c r="C355" s="4" t="n">
        <v>381</v>
      </c>
      <c r="D355" s="9" t="inlineStr">
        <is>
          <t>Insert Delete GetRandom O(1) - Duplicates allowed</t>
        </is>
      </c>
      <c r="E355" s="4" t="inlineStr">
        <is>
          <t>Hard</t>
        </is>
      </c>
      <c r="F355" s="4" t="inlineStr">
        <is>
          <t>Design</t>
        </is>
      </c>
      <c r="G355" s="4" t="inlineStr">
        <is>
          <t>Wrong Answer</t>
        </is>
      </c>
      <c r="H355" s="4" t="inlineStr">
        <is>
          <t>C++</t>
        </is>
      </c>
      <c r="I355" s="4" t="inlineStr">
        <is>
          <t>N/A</t>
        </is>
      </c>
      <c r="J355" s="4" t="inlineStr">
        <is>
          <t>N/A</t>
        </is>
      </c>
      <c r="K355" s="4" t="n"/>
      <c r="L355" s="4" t="inlineStr">
        <is>
          <t>20/32</t>
        </is>
      </c>
      <c r="M355" s="9" t="inlineStr">
        <is>
          <t>Submission 940016332</t>
        </is>
      </c>
      <c r="N355" s="4" t="inlineStr">
        <is>
          <t>Yes</t>
        </is>
      </c>
    </row>
    <row r="356">
      <c r="A356" s="11" t="n">
        <v>45042.69806712963</v>
      </c>
      <c r="B356" s="4" t="inlineStr">
        <is>
          <t>2023-04</t>
        </is>
      </c>
      <c r="C356" s="4" t="n">
        <v>381</v>
      </c>
      <c r="D356" s="9" t="inlineStr">
        <is>
          <t>Insert Delete GetRandom O(1) - Duplicates allowed</t>
        </is>
      </c>
      <c r="E356" s="4" t="inlineStr">
        <is>
          <t>Hard</t>
        </is>
      </c>
      <c r="F356" s="4" t="inlineStr">
        <is>
          <t>Design</t>
        </is>
      </c>
      <c r="G356" s="4" t="inlineStr">
        <is>
          <t>Time Limit Exceeded</t>
        </is>
      </c>
      <c r="H356" s="4" t="inlineStr">
        <is>
          <t>C++</t>
        </is>
      </c>
      <c r="I356" s="4" t="inlineStr">
        <is>
          <t>N/A</t>
        </is>
      </c>
      <c r="J356" s="4" t="inlineStr">
        <is>
          <t>N/A</t>
        </is>
      </c>
      <c r="K356" s="4" t="n"/>
      <c r="L356" s="4" t="inlineStr">
        <is>
          <t>27/32</t>
        </is>
      </c>
      <c r="M356" s="9" t="inlineStr">
        <is>
          <t>Submission 940018807</t>
        </is>
      </c>
      <c r="N356" s="4" t="inlineStr">
        <is>
          <t>Yes</t>
        </is>
      </c>
    </row>
    <row r="357">
      <c r="A357" s="11" t="n">
        <v>45044.4259375</v>
      </c>
      <c r="B357" s="4" t="inlineStr">
        <is>
          <t>2023-04</t>
        </is>
      </c>
      <c r="C357" s="4" t="n">
        <v>39</v>
      </c>
      <c r="D357" s="9" t="inlineStr">
        <is>
          <t>Combination Sum</t>
        </is>
      </c>
      <c r="E357" s="4" t="inlineStr">
        <is>
          <t>Medium</t>
        </is>
      </c>
      <c r="F357" s="4" t="inlineStr">
        <is>
          <t>Backtracking</t>
        </is>
      </c>
      <c r="G357" s="4" t="inlineStr">
        <is>
          <t>Accepted</t>
        </is>
      </c>
      <c r="H357" s="4" t="inlineStr">
        <is>
          <t>C++</t>
        </is>
      </c>
      <c r="I357" s="4" t="inlineStr">
        <is>
          <t>485 ms</t>
        </is>
      </c>
      <c r="J357" s="4" t="inlineStr">
        <is>
          <t>10.7 MB</t>
        </is>
      </c>
      <c r="K357" s="4" t="n">
        <v>5.1</v>
      </c>
      <c r="L357" s="4" t="inlineStr">
        <is>
          <t>160/160</t>
        </is>
      </c>
      <c r="M357" s="9" t="inlineStr">
        <is>
          <t>Submission 940926587</t>
        </is>
      </c>
      <c r="N357" s="4" t="inlineStr">
        <is>
          <t>Yes</t>
        </is>
      </c>
    </row>
    <row r="358">
      <c r="A358" s="11" t="n">
        <v>45044.43868055556</v>
      </c>
      <c r="B358" s="4" t="inlineStr">
        <is>
          <t>2023-04</t>
        </is>
      </c>
      <c r="C358" s="4" t="n">
        <v>40</v>
      </c>
      <c r="D358" s="9" t="inlineStr">
        <is>
          <t>Combination Sum II</t>
        </is>
      </c>
      <c r="E358" s="4" t="inlineStr">
        <is>
          <t>Medium</t>
        </is>
      </c>
      <c r="F358" s="4" t="inlineStr">
        <is>
          <t>Backtracking</t>
        </is>
      </c>
      <c r="G358" s="4" t="inlineStr">
        <is>
          <t>Time Limit Exceeded</t>
        </is>
      </c>
      <c r="H358" s="4" t="inlineStr">
        <is>
          <t>C++</t>
        </is>
      </c>
      <c r="I358" s="4" t="inlineStr">
        <is>
          <t>N/A</t>
        </is>
      </c>
      <c r="J358" s="4" t="inlineStr">
        <is>
          <t>N/A</t>
        </is>
      </c>
      <c r="K358" s="4" t="n"/>
      <c r="L358" s="4" t="inlineStr">
        <is>
          <t>172/176</t>
        </is>
      </c>
      <c r="M358" s="9" t="inlineStr">
        <is>
          <t>Submission 940932971</t>
        </is>
      </c>
      <c r="N358" s="4" t="inlineStr">
        <is>
          <t>Yes</t>
        </is>
      </c>
    </row>
    <row r="359">
      <c r="A359" s="11" t="n">
        <v>45044.45228009259</v>
      </c>
      <c r="B359" s="4" t="inlineStr">
        <is>
          <t>2023-04</t>
        </is>
      </c>
      <c r="C359" s="4" t="n">
        <v>40</v>
      </c>
      <c r="D359" s="9" t="inlineStr">
        <is>
          <t>Combination Sum II</t>
        </is>
      </c>
      <c r="E359" s="4" t="inlineStr">
        <is>
          <t>Medium</t>
        </is>
      </c>
      <c r="F359" s="4" t="inlineStr">
        <is>
          <t>Backtracking</t>
        </is>
      </c>
      <c r="G359" s="4" t="inlineStr">
        <is>
          <t>Accepted</t>
        </is>
      </c>
      <c r="H359" s="4" t="inlineStr">
        <is>
          <t>C++</t>
        </is>
      </c>
      <c r="I359" s="4" t="inlineStr">
        <is>
          <t>0 ms</t>
        </is>
      </c>
      <c r="J359" s="4" t="inlineStr">
        <is>
          <t>10.6 MB</t>
        </is>
      </c>
      <c r="K359" s="4" t="n">
        <v>100</v>
      </c>
      <c r="L359" s="4" t="inlineStr">
        <is>
          <t>176/176</t>
        </is>
      </c>
      <c r="M359" s="9" t="inlineStr">
        <is>
          <t>Submission 940939809</t>
        </is>
      </c>
      <c r="N359" s="4" t="inlineStr">
        <is>
          <t>Yes</t>
        </is>
      </c>
    </row>
    <row r="360">
      <c r="A360" s="11" t="n">
        <v>45044.46133101852</v>
      </c>
      <c r="B360" s="4" t="inlineStr">
        <is>
          <t>2023-04</t>
        </is>
      </c>
      <c r="C360" s="4" t="n">
        <v>78</v>
      </c>
      <c r="D360" s="9" t="inlineStr">
        <is>
          <t>Subsets</t>
        </is>
      </c>
      <c r="E360" s="4" t="inlineStr">
        <is>
          <t>Medium</t>
        </is>
      </c>
      <c r="F360" s="4" t="inlineStr">
        <is>
          <t>Backtracking</t>
        </is>
      </c>
      <c r="G360" s="4" t="inlineStr">
        <is>
          <t>Accepted</t>
        </is>
      </c>
      <c r="H360" s="4" t="inlineStr">
        <is>
          <t>C++</t>
        </is>
      </c>
      <c r="I360" s="4" t="inlineStr">
        <is>
          <t>9 ms</t>
        </is>
      </c>
      <c r="J360" s="4" t="inlineStr">
        <is>
          <t>15.9 MB</t>
        </is>
      </c>
      <c r="K360" s="4" t="n">
        <v>5.3</v>
      </c>
      <c r="L360" s="4" t="inlineStr">
        <is>
          <t>10/10</t>
        </is>
      </c>
      <c r="M360" s="9" t="inlineStr">
        <is>
          <t>Submission 940944580</t>
        </is>
      </c>
      <c r="N360" s="4" t="inlineStr">
        <is>
          <t>Yes</t>
        </is>
      </c>
    </row>
    <row r="361">
      <c r="A361" s="11" t="n">
        <v>45044.46451388889</v>
      </c>
      <c r="B361" s="4" t="inlineStr">
        <is>
          <t>2023-04</t>
        </is>
      </c>
      <c r="C361" s="4" t="n">
        <v>78</v>
      </c>
      <c r="D361" s="9" t="inlineStr">
        <is>
          <t>Subsets</t>
        </is>
      </c>
      <c r="E361" s="4" t="inlineStr">
        <is>
          <t>Medium</t>
        </is>
      </c>
      <c r="F361" s="4" t="inlineStr">
        <is>
          <t>Backtracking</t>
        </is>
      </c>
      <c r="G361" s="4" t="inlineStr">
        <is>
          <t>Accepted</t>
        </is>
      </c>
      <c r="H361" s="4" t="inlineStr">
        <is>
          <t>C++</t>
        </is>
      </c>
      <c r="I361" s="4" t="inlineStr">
        <is>
          <t>4 ms</t>
        </is>
      </c>
      <c r="J361" s="4" t="inlineStr">
        <is>
          <t>10.9 MB</t>
        </is>
      </c>
      <c r="K361" s="4" t="n">
        <v>9.5</v>
      </c>
      <c r="L361" s="4" t="inlineStr">
        <is>
          <t>10/10</t>
        </is>
      </c>
      <c r="M361" s="9" t="inlineStr">
        <is>
          <t>Submission 940946290</t>
        </is>
      </c>
      <c r="N361" s="4" t="inlineStr">
        <is>
          <t>Yes</t>
        </is>
      </c>
    </row>
    <row r="362">
      <c r="A362" s="11" t="n">
        <v>45044.465625</v>
      </c>
      <c r="B362" s="4" t="inlineStr">
        <is>
          <t>2023-04</t>
        </is>
      </c>
      <c r="C362" s="4" t="n">
        <v>90</v>
      </c>
      <c r="D362" s="9" t="inlineStr">
        <is>
          <t>Subsets II</t>
        </is>
      </c>
      <c r="E362" s="4" t="inlineStr">
        <is>
          <t>Medium</t>
        </is>
      </c>
      <c r="F362" s="4" t="inlineStr">
        <is>
          <t>Backtracking</t>
        </is>
      </c>
      <c r="G362" s="4" t="inlineStr">
        <is>
          <t>Accepted</t>
        </is>
      </c>
      <c r="H362" s="4" t="inlineStr">
        <is>
          <t>C++</t>
        </is>
      </c>
      <c r="I362" s="4" t="inlineStr">
        <is>
          <t>3 ms</t>
        </is>
      </c>
      <c r="J362" s="4" t="inlineStr">
        <is>
          <t>7.9 MB</t>
        </is>
      </c>
      <c r="K362" s="4" t="n">
        <v>29.8</v>
      </c>
      <c r="L362" s="4" t="inlineStr">
        <is>
          <t>20/20</t>
        </is>
      </c>
      <c r="M362" s="9" t="inlineStr">
        <is>
          <t>Submission 940946848</t>
        </is>
      </c>
      <c r="N362" s="4" t="inlineStr">
        <is>
          <t>Yes</t>
        </is>
      </c>
    </row>
    <row r="363">
      <c r="A363" s="11" t="n">
        <v>45044.48567129629</v>
      </c>
      <c r="B363" s="4" t="inlineStr">
        <is>
          <t>2023-04</t>
        </is>
      </c>
      <c r="C363" s="4" t="n">
        <v>46</v>
      </c>
      <c r="D363" s="9" t="inlineStr">
        <is>
          <t>Permutations</t>
        </is>
      </c>
      <c r="E363" s="4" t="inlineStr">
        <is>
          <t>Medium</t>
        </is>
      </c>
      <c r="F363" s="4" t="inlineStr">
        <is>
          <t>Backtracking</t>
        </is>
      </c>
      <c r="G363" s="4" t="inlineStr">
        <is>
          <t>Accepted</t>
        </is>
      </c>
      <c r="H363" s="4" t="inlineStr">
        <is>
          <t>C++</t>
        </is>
      </c>
      <c r="I363" s="4" t="inlineStr">
        <is>
          <t>8 ms</t>
        </is>
      </c>
      <c r="J363" s="4" t="inlineStr">
        <is>
          <t>7.9 MB</t>
        </is>
      </c>
      <c r="K363" s="4" t="n">
        <v>5.1</v>
      </c>
      <c r="L363" s="4" t="inlineStr">
        <is>
          <t>26/26</t>
        </is>
      </c>
      <c r="M363" s="9" t="inlineStr">
        <is>
          <t>Submission 940957460</t>
        </is>
      </c>
      <c r="N363" s="4" t="inlineStr">
        <is>
          <t>Yes</t>
        </is>
      </c>
    </row>
    <row r="364">
      <c r="A364" s="11" t="n">
        <v>45044.5206712963</v>
      </c>
      <c r="B364" s="4" t="inlineStr">
        <is>
          <t>2023-04</t>
        </is>
      </c>
      <c r="C364" s="4" t="n">
        <v>51</v>
      </c>
      <c r="D364" s="9" t="inlineStr">
        <is>
          <t>N-Queens</t>
        </is>
      </c>
      <c r="E364" s="4" t="inlineStr">
        <is>
          <t>Hard</t>
        </is>
      </c>
      <c r="F364" s="4" t="inlineStr">
        <is>
          <t>Backtracking</t>
        </is>
      </c>
      <c r="G364" s="4" t="inlineStr">
        <is>
          <t>Accepted</t>
        </is>
      </c>
      <c r="H364" s="4" t="inlineStr">
        <is>
          <t>C++</t>
        </is>
      </c>
      <c r="I364" s="4" t="inlineStr">
        <is>
          <t>8 ms</t>
        </is>
      </c>
      <c r="J364" s="4" t="inlineStr">
        <is>
          <t>7.2 MB</t>
        </is>
      </c>
      <c r="K364" s="4" t="n">
        <v>13.1</v>
      </c>
      <c r="L364" s="4" t="inlineStr">
        <is>
          <t>9/9</t>
        </is>
      </c>
      <c r="M364" s="9" t="inlineStr">
        <is>
          <t>Submission 940976386</t>
        </is>
      </c>
      <c r="N364" s="4" t="inlineStr">
        <is>
          <t>Yes</t>
        </is>
      </c>
    </row>
    <row r="365">
      <c r="A365" s="11" t="n">
        <v>45044.52793981481</v>
      </c>
      <c r="B365" s="4" t="inlineStr">
        <is>
          <t>2023-04</t>
        </is>
      </c>
      <c r="C365" s="4" t="n">
        <v>51</v>
      </c>
      <c r="D365" s="9" t="inlineStr">
        <is>
          <t>N-Queens</t>
        </is>
      </c>
      <c r="E365" s="4" t="inlineStr">
        <is>
          <t>Hard</t>
        </is>
      </c>
      <c r="F365" s="4" t="inlineStr">
        <is>
          <t>Backtracking</t>
        </is>
      </c>
      <c r="G365" s="4" t="inlineStr">
        <is>
          <t>Accepted</t>
        </is>
      </c>
      <c r="H365" s="4" t="inlineStr">
        <is>
          <t>C++</t>
        </is>
      </c>
      <c r="I365" s="4" t="inlineStr">
        <is>
          <t>8 ms</t>
        </is>
      </c>
      <c r="J365" s="4" t="inlineStr">
        <is>
          <t>7.1 MB</t>
        </is>
      </c>
      <c r="K365" s="4" t="n">
        <v>13.1</v>
      </c>
      <c r="L365" s="4" t="inlineStr">
        <is>
          <t>9/9</t>
        </is>
      </c>
      <c r="M365" s="9" t="inlineStr">
        <is>
          <t>Submission 940980279</t>
        </is>
      </c>
      <c r="N365" s="4" t="inlineStr">
        <is>
          <t>Yes</t>
        </is>
      </c>
    </row>
    <row r="366">
      <c r="A366" s="11" t="n">
        <v>45044.55431712963</v>
      </c>
      <c r="B366" s="4" t="inlineStr">
        <is>
          <t>2023-04</t>
        </is>
      </c>
      <c r="C366" s="4" t="n">
        <v>37</v>
      </c>
      <c r="D366" s="9" t="inlineStr">
        <is>
          <t>Sudoku Solver</t>
        </is>
      </c>
      <c r="E366" s="4" t="inlineStr">
        <is>
          <t>Hard</t>
        </is>
      </c>
      <c r="F366" s="4" t="inlineStr">
        <is>
          <t>Backtracking</t>
        </is>
      </c>
      <c r="G366" s="4" t="inlineStr">
        <is>
          <t>Accepted</t>
        </is>
      </c>
      <c r="H366" s="4" t="inlineStr">
        <is>
          <t>C++</t>
        </is>
      </c>
      <c r="I366" s="4" t="inlineStr">
        <is>
          <t>52 ms</t>
        </is>
      </c>
      <c r="J366" s="4" t="inlineStr">
        <is>
          <t>6.4 MB</t>
        </is>
      </c>
      <c r="K366" s="4" t="n">
        <v>95.7</v>
      </c>
      <c r="L366" s="4" t="inlineStr">
        <is>
          <t>6/6</t>
        </is>
      </c>
      <c r="M366" s="9" t="inlineStr">
        <is>
          <t>Submission 940993417</t>
        </is>
      </c>
      <c r="N366" s="4" t="inlineStr">
        <is>
          <t>Yes</t>
        </is>
      </c>
    </row>
    <row r="367">
      <c r="A367" s="11" t="n">
        <v>45044.62892361111</v>
      </c>
      <c r="B367" s="4" t="inlineStr">
        <is>
          <t>2023-04</t>
        </is>
      </c>
      <c r="C367" s="4" t="n">
        <v>131</v>
      </c>
      <c r="D367" s="9" t="inlineStr">
        <is>
          <t>Palindrome Partitioning</t>
        </is>
      </c>
      <c r="E367" s="4" t="inlineStr">
        <is>
          <t>Medium</t>
        </is>
      </c>
      <c r="F367" s="4" t="inlineStr">
        <is>
          <t>Backtracking</t>
        </is>
      </c>
      <c r="G367" s="4" t="inlineStr">
        <is>
          <t>Accepted</t>
        </is>
      </c>
      <c r="H367" s="4" t="inlineStr">
        <is>
          <t>C++</t>
        </is>
      </c>
      <c r="I367" s="4" t="inlineStr">
        <is>
          <t>115 ms</t>
        </is>
      </c>
      <c r="J367" s="4" t="inlineStr">
        <is>
          <t>49.3 MB</t>
        </is>
      </c>
      <c r="K367" s="4" t="n">
        <v>12.4</v>
      </c>
      <c r="L367" s="4" t="inlineStr">
        <is>
          <t>32/32</t>
        </is>
      </c>
      <c r="M367" s="9" t="inlineStr">
        <is>
          <t>Submission 941029531</t>
        </is>
      </c>
      <c r="N367" s="4" t="inlineStr">
        <is>
          <t>Yes</t>
        </is>
      </c>
    </row>
    <row r="368">
      <c r="A368" s="11" t="n">
        <v>45044.64883101852</v>
      </c>
      <c r="B368" s="4" t="inlineStr">
        <is>
          <t>2023-04</t>
        </is>
      </c>
      <c r="C368" s="4" t="n">
        <v>60</v>
      </c>
      <c r="D368" s="9" t="inlineStr">
        <is>
          <t>Permutation Sequence</t>
        </is>
      </c>
      <c r="E368" s="4" t="inlineStr">
        <is>
          <t>Hard</t>
        </is>
      </c>
      <c r="F368" s="4" t="inlineStr">
        <is>
          <t>Math &amp; Bit Manipulation</t>
        </is>
      </c>
      <c r="G368" s="4" t="inlineStr">
        <is>
          <t>Time Limit Exceeded</t>
        </is>
      </c>
      <c r="H368" s="4" t="inlineStr">
        <is>
          <t>C++</t>
        </is>
      </c>
      <c r="I368" s="4" t="inlineStr">
        <is>
          <t>N/A</t>
        </is>
      </c>
      <c r="J368" s="4" t="inlineStr">
        <is>
          <t>N/A</t>
        </is>
      </c>
      <c r="K368" s="4" t="n"/>
      <c r="L368" s="4" t="inlineStr">
        <is>
          <t>109/200</t>
        </is>
      </c>
      <c r="M368" s="9" t="inlineStr">
        <is>
          <t>Submission 941038951</t>
        </is>
      </c>
      <c r="N368" s="4" t="inlineStr">
        <is>
          <t>Yes</t>
        </is>
      </c>
    </row>
    <row r="369">
      <c r="A369" s="11" t="n">
        <v>45044.64921296296</v>
      </c>
      <c r="B369" s="4" t="inlineStr">
        <is>
          <t>2023-04</t>
        </is>
      </c>
      <c r="C369" s="4" t="n">
        <v>60</v>
      </c>
      <c r="D369" s="9" t="inlineStr">
        <is>
          <t>Permutation Sequence</t>
        </is>
      </c>
      <c r="E369" s="4" t="inlineStr">
        <is>
          <t>Hard</t>
        </is>
      </c>
      <c r="F369" s="4" t="inlineStr">
        <is>
          <t>Math &amp; Bit Manipulation</t>
        </is>
      </c>
      <c r="G369" s="4" t="inlineStr">
        <is>
          <t>Time Limit Exceeded</t>
        </is>
      </c>
      <c r="H369" s="4" t="inlineStr">
        <is>
          <t>C++</t>
        </is>
      </c>
      <c r="I369" s="4" t="inlineStr">
        <is>
          <t>N/A</t>
        </is>
      </c>
      <c r="J369" s="4" t="inlineStr">
        <is>
          <t>N/A</t>
        </is>
      </c>
      <c r="K369" s="4" t="n"/>
      <c r="L369" s="4" t="inlineStr">
        <is>
          <t>109/200</t>
        </is>
      </c>
      <c r="M369" s="9" t="inlineStr">
        <is>
          <t>Submission 941039153</t>
        </is>
      </c>
      <c r="N369" s="4" t="inlineStr">
        <is>
          <t>Yes</t>
        </is>
      </c>
    </row>
    <row r="370">
      <c r="A370" s="11" t="n">
        <v>45044.65858796296</v>
      </c>
      <c r="B370" s="4" t="inlineStr">
        <is>
          <t>2023-04</t>
        </is>
      </c>
      <c r="C370" s="4" t="n">
        <v>60</v>
      </c>
      <c r="D370" s="9" t="inlineStr">
        <is>
          <t>Permutation Sequence</t>
        </is>
      </c>
      <c r="E370" s="4" t="inlineStr">
        <is>
          <t>Hard</t>
        </is>
      </c>
      <c r="F370" s="4" t="inlineStr">
        <is>
          <t>Math &amp; Bit Manipulation</t>
        </is>
      </c>
      <c r="G370" s="4" t="inlineStr">
        <is>
          <t>Compile Error</t>
        </is>
      </c>
      <c r="H370" s="4" t="inlineStr">
        <is>
          <t>C++</t>
        </is>
      </c>
      <c r="I370" s="4" t="inlineStr">
        <is>
          <t>N/A</t>
        </is>
      </c>
      <c r="J370" s="4" t="inlineStr">
        <is>
          <t>N/A</t>
        </is>
      </c>
      <c r="K370" s="4" t="n"/>
      <c r="L370" s="4" t="inlineStr"/>
      <c r="M370" s="9" t="inlineStr">
        <is>
          <t>Submission 941043418</t>
        </is>
      </c>
      <c r="N370" s="4" t="inlineStr">
        <is>
          <t>Yes</t>
        </is>
      </c>
    </row>
    <row r="371">
      <c r="A371" s="11" t="n">
        <v>45044.66275462963</v>
      </c>
      <c r="B371" s="4" t="inlineStr">
        <is>
          <t>2023-04</t>
        </is>
      </c>
      <c r="C371" s="4" t="n">
        <v>60</v>
      </c>
      <c r="D371" s="9" t="inlineStr">
        <is>
          <t>Permutation Sequence</t>
        </is>
      </c>
      <c r="E371" s="4" t="inlineStr">
        <is>
          <t>Hard</t>
        </is>
      </c>
      <c r="F371" s="4" t="inlineStr">
        <is>
          <t>Math &amp; Bit Manipulation</t>
        </is>
      </c>
      <c r="G371" s="4" t="inlineStr">
        <is>
          <t>Accepted</t>
        </is>
      </c>
      <c r="H371" s="4" t="inlineStr">
        <is>
          <t>C++</t>
        </is>
      </c>
      <c r="I371" s="4" t="inlineStr">
        <is>
          <t>0 ms</t>
        </is>
      </c>
      <c r="J371" s="4" t="inlineStr">
        <is>
          <t>6.1 MB</t>
        </is>
      </c>
      <c r="K371" s="4" t="n">
        <v>100</v>
      </c>
      <c r="L371" s="4" t="inlineStr">
        <is>
          <t>200/200</t>
        </is>
      </c>
      <c r="M371" s="9" t="inlineStr">
        <is>
          <t>Submission 941045258</t>
        </is>
      </c>
      <c r="N371" s="4" t="inlineStr">
        <is>
          <t>Yes</t>
        </is>
      </c>
    </row>
    <row r="372">
      <c r="A372" s="11" t="n">
        <v>45044.79137731482</v>
      </c>
      <c r="B372" s="4" t="inlineStr">
        <is>
          <t>2023-04</t>
        </is>
      </c>
      <c r="C372" s="4" t="n">
        <v>875</v>
      </c>
      <c r="D372" s="9" t="inlineStr">
        <is>
          <t>Koko Eating Bananas</t>
        </is>
      </c>
      <c r="E372" s="4" t="inlineStr">
        <is>
          <t>Medium</t>
        </is>
      </c>
      <c r="F372" s="4" t="inlineStr">
        <is>
          <t>Binary Search on Answer</t>
        </is>
      </c>
      <c r="G372" s="4" t="inlineStr">
        <is>
          <t>Accepted</t>
        </is>
      </c>
      <c r="H372" s="4" t="inlineStr">
        <is>
          <t>C++</t>
        </is>
      </c>
      <c r="I372" s="4" t="inlineStr">
        <is>
          <t>77 ms</t>
        </is>
      </c>
      <c r="J372" s="4" t="inlineStr">
        <is>
          <t>19 MB</t>
        </is>
      </c>
      <c r="K372" s="4" t="n"/>
      <c r="L372" s="4" t="inlineStr"/>
      <c r="M372" s="9" t="inlineStr">
        <is>
          <t>Submission 941106300</t>
        </is>
      </c>
      <c r="N372" s="4" t="inlineStr">
        <is>
          <t>Yes</t>
        </is>
      </c>
    </row>
    <row r="373">
      <c r="A373" s="11" t="n">
        <v>45045.38</v>
      </c>
      <c r="B373" s="4" t="inlineStr">
        <is>
          <t>2023-04</t>
        </is>
      </c>
      <c r="C373" s="4" t="n">
        <v>994</v>
      </c>
      <c r="D373" s="9" t="inlineStr">
        <is>
          <t>Rotting Oranges</t>
        </is>
      </c>
      <c r="E373" s="4" t="inlineStr">
        <is>
          <t>Medium</t>
        </is>
      </c>
      <c r="F373" s="4" t="inlineStr">
        <is>
          <t>Graph: Grid BFS/DFS</t>
        </is>
      </c>
      <c r="G373" s="4" t="inlineStr">
        <is>
          <t>Accepted</t>
        </is>
      </c>
      <c r="H373" s="4" t="inlineStr">
        <is>
          <t>C++</t>
        </is>
      </c>
      <c r="I373" s="4" t="inlineStr">
        <is>
          <t>8 ms</t>
        </is>
      </c>
      <c r="J373" s="4" t="inlineStr">
        <is>
          <t>13.3 MB</t>
        </is>
      </c>
      <c r="K373" s="4" t="n">
        <v>5.3</v>
      </c>
      <c r="L373" s="4" t="inlineStr">
        <is>
          <t>306/306</t>
        </is>
      </c>
      <c r="M373" s="9" t="inlineStr">
        <is>
          <t>Submission 941367397</t>
        </is>
      </c>
      <c r="N373" s="4" t="inlineStr">
        <is>
          <t>Yes</t>
        </is>
      </c>
    </row>
    <row r="374">
      <c r="A374" s="11" t="n">
        <v>45045.40574074074</v>
      </c>
      <c r="B374" s="4" t="inlineStr">
        <is>
          <t>2023-04</t>
        </is>
      </c>
      <c r="C374" s="4" t="n">
        <v>542</v>
      </c>
      <c r="D374" s="9" t="inlineStr">
        <is>
          <t>01 Matrix</t>
        </is>
      </c>
      <c r="E374" s="4" t="inlineStr">
        <is>
          <t>Medium</t>
        </is>
      </c>
      <c r="F374" s="4" t="inlineStr">
        <is>
          <t>Graph: Grid BFS/DFS</t>
        </is>
      </c>
      <c r="G374" s="4" t="inlineStr">
        <is>
          <t>Accepted</t>
        </is>
      </c>
      <c r="H374" s="4" t="inlineStr">
        <is>
          <t>C++</t>
        </is>
      </c>
      <c r="I374" s="4" t="inlineStr">
        <is>
          <t>336 ms</t>
        </is>
      </c>
      <c r="J374" s="4" t="inlineStr">
        <is>
          <t>32.9 MB</t>
        </is>
      </c>
      <c r="K374" s="4" t="n">
        <v>5</v>
      </c>
      <c r="L374" s="4" t="inlineStr">
        <is>
          <t>50/50</t>
        </is>
      </c>
      <c r="M374" s="9" t="inlineStr">
        <is>
          <t>Submission 941376278</t>
        </is>
      </c>
      <c r="N374" s="4" t="inlineStr">
        <is>
          <t>Yes</t>
        </is>
      </c>
    </row>
    <row r="375">
      <c r="A375" s="11" t="n">
        <v>45045.40684027778</v>
      </c>
      <c r="B375" s="4" t="inlineStr">
        <is>
          <t>2023-04</t>
        </is>
      </c>
      <c r="C375" s="4" t="n">
        <v>542</v>
      </c>
      <c r="D375" s="9" t="inlineStr">
        <is>
          <t>01 Matrix</t>
        </is>
      </c>
      <c r="E375" s="4" t="inlineStr">
        <is>
          <t>Medium</t>
        </is>
      </c>
      <c r="F375" s="4" t="inlineStr">
        <is>
          <t>Graph: Grid BFS/DFS</t>
        </is>
      </c>
      <c r="G375" s="4" t="inlineStr">
        <is>
          <t>Accepted</t>
        </is>
      </c>
      <c r="H375" s="4" t="inlineStr">
        <is>
          <t>C++</t>
        </is>
      </c>
      <c r="I375" s="4" t="inlineStr">
        <is>
          <t>332 ms</t>
        </is>
      </c>
      <c r="J375" s="4" t="inlineStr">
        <is>
          <t>33 MB</t>
        </is>
      </c>
      <c r="K375" s="4" t="n">
        <v>5</v>
      </c>
      <c r="L375" s="4" t="inlineStr">
        <is>
          <t>50/50</t>
        </is>
      </c>
      <c r="M375" s="9" t="inlineStr">
        <is>
          <t>Submission 941376684</t>
        </is>
      </c>
      <c r="N375" s="4" t="inlineStr">
        <is>
          <t>Yes</t>
        </is>
      </c>
    </row>
    <row r="376">
      <c r="A376" s="11" t="n">
        <v>45045.41424768518</v>
      </c>
      <c r="B376" s="4" t="inlineStr">
        <is>
          <t>2023-04</t>
        </is>
      </c>
      <c r="C376" s="4" t="n">
        <v>130</v>
      </c>
      <c r="D376" s="9" t="inlineStr">
        <is>
          <t>Surrounded Regions</t>
        </is>
      </c>
      <c r="E376" s="4" t="inlineStr">
        <is>
          <t>Medium</t>
        </is>
      </c>
      <c r="F376" s="4" t="inlineStr">
        <is>
          <t>Graph: Grid BFS/DFS</t>
        </is>
      </c>
      <c r="G376" s="4" t="inlineStr">
        <is>
          <t>Accepted</t>
        </is>
      </c>
      <c r="H376" s="4" t="inlineStr">
        <is>
          <t>C++</t>
        </is>
      </c>
      <c r="I376" s="4" t="inlineStr">
        <is>
          <t>25 ms</t>
        </is>
      </c>
      <c r="J376" s="4" t="inlineStr">
        <is>
          <t>11 MB</t>
        </is>
      </c>
      <c r="K376" s="4" t="n">
        <v>5.1</v>
      </c>
      <c r="L376" s="4" t="inlineStr">
        <is>
          <t>58/58</t>
        </is>
      </c>
      <c r="M376" s="9" t="inlineStr">
        <is>
          <t>Submission 941379617</t>
        </is>
      </c>
      <c r="N376" s="4" t="inlineStr">
        <is>
          <t>Yes</t>
        </is>
      </c>
    </row>
    <row r="377">
      <c r="A377" s="11" t="n">
        <v>45045.41487268519</v>
      </c>
      <c r="B377" s="4" t="inlineStr">
        <is>
          <t>2023-04</t>
        </is>
      </c>
      <c r="C377" s="4" t="n">
        <v>130</v>
      </c>
      <c r="D377" s="9" t="inlineStr">
        <is>
          <t>Surrounded Regions</t>
        </is>
      </c>
      <c r="E377" s="4" t="inlineStr">
        <is>
          <t>Medium</t>
        </is>
      </c>
      <c r="F377" s="4" t="inlineStr">
        <is>
          <t>Graph: Grid BFS/DFS</t>
        </is>
      </c>
      <c r="G377" s="4" t="inlineStr">
        <is>
          <t>Runtime Error</t>
        </is>
      </c>
      <c r="H377" s="4" t="inlineStr">
        <is>
          <t>C++</t>
        </is>
      </c>
      <c r="I377" s="4" t="inlineStr">
        <is>
          <t>N/A</t>
        </is>
      </c>
      <c r="J377" s="4" t="inlineStr">
        <is>
          <t>N/A</t>
        </is>
      </c>
      <c r="K377" s="4" t="n"/>
      <c r="L377" s="4" t="inlineStr">
        <is>
          <t>3/58</t>
        </is>
      </c>
      <c r="M377" s="9" t="inlineStr">
        <is>
          <t>Submission 941379852</t>
        </is>
      </c>
      <c r="N377" s="4" t="inlineStr">
        <is>
          <t>Yes</t>
        </is>
      </c>
    </row>
    <row r="378">
      <c r="A378" s="11" t="n">
        <v>45045.41539351852</v>
      </c>
      <c r="B378" s="4" t="inlineStr">
        <is>
          <t>2023-04</t>
        </is>
      </c>
      <c r="C378" s="4" t="n">
        <v>130</v>
      </c>
      <c r="D378" s="9" t="inlineStr">
        <is>
          <t>Surrounded Regions</t>
        </is>
      </c>
      <c r="E378" s="4" t="inlineStr">
        <is>
          <t>Medium</t>
        </is>
      </c>
      <c r="F378" s="4" t="inlineStr">
        <is>
          <t>Graph: Grid BFS/DFS</t>
        </is>
      </c>
      <c r="G378" s="4" t="inlineStr">
        <is>
          <t>Accepted</t>
        </is>
      </c>
      <c r="H378" s="4" t="inlineStr">
        <is>
          <t>C++</t>
        </is>
      </c>
      <c r="I378" s="4" t="inlineStr">
        <is>
          <t>11 ms</t>
        </is>
      </c>
      <c r="J378" s="4" t="inlineStr">
        <is>
          <t>10.9 MB</t>
        </is>
      </c>
      <c r="K378" s="4" t="n">
        <v>5.1</v>
      </c>
      <c r="L378" s="4" t="inlineStr">
        <is>
          <t>58/58</t>
        </is>
      </c>
      <c r="M378" s="9" t="inlineStr">
        <is>
          <t>Submission 941380038</t>
        </is>
      </c>
      <c r="N378" s="4" t="inlineStr">
        <is>
          <t>Yes</t>
        </is>
      </c>
    </row>
    <row r="379">
      <c r="A379" s="11" t="n">
        <v>45045.42936342592</v>
      </c>
      <c r="B379" s="4" t="inlineStr">
        <is>
          <t>2023-04</t>
        </is>
      </c>
      <c r="C379" s="4" t="n">
        <v>130</v>
      </c>
      <c r="D379" s="9" t="inlineStr">
        <is>
          <t>Surrounded Regions</t>
        </is>
      </c>
      <c r="E379" s="4" t="inlineStr">
        <is>
          <t>Medium</t>
        </is>
      </c>
      <c r="F379" s="4" t="inlineStr">
        <is>
          <t>Graph: Grid BFS/DFS</t>
        </is>
      </c>
      <c r="G379" s="4" t="inlineStr">
        <is>
          <t>Accepted</t>
        </is>
      </c>
      <c r="H379" s="4" t="inlineStr">
        <is>
          <t>C++</t>
        </is>
      </c>
      <c r="I379" s="4" t="inlineStr">
        <is>
          <t>24 ms</t>
        </is>
      </c>
      <c r="J379" s="4" t="inlineStr">
        <is>
          <t>11.5 MB</t>
        </is>
      </c>
      <c r="K379" s="4" t="n">
        <v>5.1</v>
      </c>
      <c r="L379" s="4" t="inlineStr">
        <is>
          <t>58/58</t>
        </is>
      </c>
      <c r="M379" s="9" t="inlineStr">
        <is>
          <t>Submission 941385744</t>
        </is>
      </c>
      <c r="N379" s="4" t="inlineStr">
        <is>
          <t>Yes</t>
        </is>
      </c>
    </row>
    <row r="380">
      <c r="A380" s="11" t="n">
        <v>45045.44091435185</v>
      </c>
      <c r="B380" s="4" t="inlineStr">
        <is>
          <t>2023-04</t>
        </is>
      </c>
      <c r="C380" s="4" t="n">
        <v>1020</v>
      </c>
      <c r="D380" s="9" t="inlineStr">
        <is>
          <t>Number of Enclaves</t>
        </is>
      </c>
      <c r="E380" s="4" t="inlineStr">
        <is>
          <t>Medium</t>
        </is>
      </c>
      <c r="F380" s="4" t="inlineStr">
        <is>
          <t>Graph: Grid BFS/DFS</t>
        </is>
      </c>
      <c r="G380" s="4" t="inlineStr">
        <is>
          <t>Accepted</t>
        </is>
      </c>
      <c r="H380" s="4" t="inlineStr">
        <is>
          <t>C++</t>
        </is>
      </c>
      <c r="I380" s="4" t="inlineStr">
        <is>
          <t>222 ms</t>
        </is>
      </c>
      <c r="J380" s="4" t="inlineStr">
        <is>
          <t>69.7 MB</t>
        </is>
      </c>
      <c r="K380" s="4" t="n">
        <v>5</v>
      </c>
      <c r="L380" s="4" t="inlineStr">
        <is>
          <t>58/58</t>
        </is>
      </c>
      <c r="M380" s="9" t="inlineStr">
        <is>
          <t>Submission 941390538</t>
        </is>
      </c>
      <c r="N380" s="4" t="inlineStr">
        <is>
          <t>Yes</t>
        </is>
      </c>
    </row>
    <row r="381">
      <c r="A381" s="11" t="n">
        <v>45045.50105324074</v>
      </c>
      <c r="B381" s="4" t="inlineStr">
        <is>
          <t>2023-04</t>
        </is>
      </c>
      <c r="C381" s="4" t="n">
        <v>694</v>
      </c>
      <c r="D381" s="9" t="inlineStr">
        <is>
          <t>Number of Distinct Islands</t>
        </is>
      </c>
      <c r="E381" s="4" t="inlineStr">
        <is>
          <t>Medium</t>
        </is>
      </c>
      <c r="F381" s="4" t="inlineStr">
        <is>
          <t>Graph: Grid BFS/DFS</t>
        </is>
      </c>
      <c r="G381" s="4" t="inlineStr">
        <is>
          <t>Accepted</t>
        </is>
      </c>
      <c r="H381" s="4" t="inlineStr">
        <is>
          <t>C++</t>
        </is>
      </c>
      <c r="I381" s="4" t="inlineStr">
        <is>
          <t>296 ms</t>
        </is>
      </c>
      <c r="J381" s="4" t="inlineStr">
        <is>
          <t>30.5 MB</t>
        </is>
      </c>
      <c r="K381" s="4" t="n">
        <v>5.6</v>
      </c>
      <c r="L381" s="4" t="inlineStr">
        <is>
          <t>759/759</t>
        </is>
      </c>
      <c r="M381" s="9" t="inlineStr">
        <is>
          <t>Submission 941417839</t>
        </is>
      </c>
      <c r="N381" s="4" t="inlineStr">
        <is>
          <t>Yes</t>
        </is>
      </c>
    </row>
    <row r="382">
      <c r="A382" s="11" t="n">
        <v>45045.52236111111</v>
      </c>
      <c r="B382" s="4" t="inlineStr">
        <is>
          <t>2023-04</t>
        </is>
      </c>
      <c r="C382" s="4" t="n">
        <v>785</v>
      </c>
      <c r="D382" s="9" t="inlineStr">
        <is>
          <t>Is Graph Bipartite?</t>
        </is>
      </c>
      <c r="E382" s="4" t="inlineStr">
        <is>
          <t>Medium</t>
        </is>
      </c>
      <c r="F382" s="4" t="inlineStr">
        <is>
          <t>Graph: General BFS/DFS</t>
        </is>
      </c>
      <c r="G382" s="4" t="inlineStr">
        <is>
          <t>Wrong Answer</t>
        </is>
      </c>
      <c r="H382" s="4" t="inlineStr">
        <is>
          <t>C++</t>
        </is>
      </c>
      <c r="I382" s="4" t="inlineStr">
        <is>
          <t>N/A</t>
        </is>
      </c>
      <c r="J382" s="4" t="inlineStr">
        <is>
          <t>N/A</t>
        </is>
      </c>
      <c r="K382" s="4" t="n"/>
      <c r="L382" s="4" t="inlineStr">
        <is>
          <t>66/81</t>
        </is>
      </c>
      <c r="M382" s="9" t="inlineStr">
        <is>
          <t>Submission 941428205</t>
        </is>
      </c>
      <c r="N382" s="4" t="inlineStr">
        <is>
          <t>Yes</t>
        </is>
      </c>
    </row>
    <row r="383">
      <c r="A383" s="11" t="n">
        <v>45045.52457175926</v>
      </c>
      <c r="B383" s="4" t="inlineStr">
        <is>
          <t>2023-04</t>
        </is>
      </c>
      <c r="C383" s="4" t="n">
        <v>785</v>
      </c>
      <c r="D383" s="9" t="inlineStr">
        <is>
          <t>Is Graph Bipartite?</t>
        </is>
      </c>
      <c r="E383" s="4" t="inlineStr">
        <is>
          <t>Medium</t>
        </is>
      </c>
      <c r="F383" s="4" t="inlineStr">
        <is>
          <t>Graph: General BFS/DFS</t>
        </is>
      </c>
      <c r="G383" s="4" t="inlineStr">
        <is>
          <t>Accepted</t>
        </is>
      </c>
      <c r="H383" s="4" t="inlineStr">
        <is>
          <t>C++</t>
        </is>
      </c>
      <c r="I383" s="4" t="inlineStr">
        <is>
          <t>19 ms</t>
        </is>
      </c>
      <c r="J383" s="4" t="inlineStr">
        <is>
          <t>13.7 MB</t>
        </is>
      </c>
      <c r="K383" s="4" t="n">
        <v>5.2</v>
      </c>
      <c r="L383" s="4" t="inlineStr">
        <is>
          <t>81/81</t>
        </is>
      </c>
      <c r="M383" s="9" t="inlineStr">
        <is>
          <t>Submission 941429243</t>
        </is>
      </c>
      <c r="N383" s="4" t="inlineStr">
        <is>
          <t>Yes</t>
        </is>
      </c>
    </row>
    <row r="384">
      <c r="A384" s="11" t="n">
        <v>45045.53038194445</v>
      </c>
      <c r="B384" s="4" t="inlineStr">
        <is>
          <t>2023-04</t>
        </is>
      </c>
      <c r="C384" s="4" t="n">
        <v>785</v>
      </c>
      <c r="D384" s="9" t="inlineStr">
        <is>
          <t>Is Graph Bipartite?</t>
        </is>
      </c>
      <c r="E384" s="4" t="inlineStr">
        <is>
          <t>Medium</t>
        </is>
      </c>
      <c r="F384" s="4" t="inlineStr">
        <is>
          <t>Graph: General BFS/DFS</t>
        </is>
      </c>
      <c r="G384" s="4" t="inlineStr">
        <is>
          <t>Accepted</t>
        </is>
      </c>
      <c r="H384" s="4" t="inlineStr">
        <is>
          <t>C++</t>
        </is>
      </c>
      <c r="I384" s="4" t="inlineStr">
        <is>
          <t>25 ms</t>
        </is>
      </c>
      <c r="J384" s="4" t="inlineStr">
        <is>
          <t>13.5 MB</t>
        </is>
      </c>
      <c r="K384" s="4" t="n">
        <v>5.2</v>
      </c>
      <c r="L384" s="4" t="inlineStr">
        <is>
          <t>81/81</t>
        </is>
      </c>
      <c r="M384" s="9" t="inlineStr">
        <is>
          <t>Submission 941431927</t>
        </is>
      </c>
      <c r="N384" s="4" t="inlineStr">
        <is>
          <t>Yes</t>
        </is>
      </c>
    </row>
    <row r="385">
      <c r="A385" s="11" t="n">
        <v>45045.55923611111</v>
      </c>
      <c r="B385" s="4" t="inlineStr">
        <is>
          <t>2023-04</t>
        </is>
      </c>
      <c r="C385" s="4" t="n">
        <v>802</v>
      </c>
      <c r="D385" s="9" t="inlineStr">
        <is>
          <t>Find Eventual Safe States</t>
        </is>
      </c>
      <c r="E385" s="4" t="inlineStr">
        <is>
          <t>Medium</t>
        </is>
      </c>
      <c r="F385" s="4" t="inlineStr">
        <is>
          <t>Graph: Topological Sort</t>
        </is>
      </c>
      <c r="G385" s="4" t="inlineStr">
        <is>
          <t>Accepted</t>
        </is>
      </c>
      <c r="H385" s="4" t="inlineStr">
        <is>
          <t>C++</t>
        </is>
      </c>
      <c r="I385" s="4" t="inlineStr">
        <is>
          <t>167 ms</t>
        </is>
      </c>
      <c r="J385" s="4" t="inlineStr">
        <is>
          <t>48.2 MB</t>
        </is>
      </c>
      <c r="K385" s="4" t="n">
        <v>5</v>
      </c>
      <c r="L385" s="4" t="inlineStr">
        <is>
          <t>112/112</t>
        </is>
      </c>
      <c r="M385" s="9" t="inlineStr">
        <is>
          <t>Submission 941444983</t>
        </is>
      </c>
      <c r="N385" s="4" t="inlineStr">
        <is>
          <t>Yes</t>
        </is>
      </c>
    </row>
    <row r="386">
      <c r="A386" s="11" t="n">
        <v>45045.60450231482</v>
      </c>
      <c r="B386" s="4" t="inlineStr">
        <is>
          <t>2023-04</t>
        </is>
      </c>
      <c r="C386" s="4" t="n">
        <v>207</v>
      </c>
      <c r="D386" s="9" t="inlineStr">
        <is>
          <t>Course Schedule</t>
        </is>
      </c>
      <c r="E386" s="4" t="inlineStr">
        <is>
          <t>Medium</t>
        </is>
      </c>
      <c r="F386" s="4" t="inlineStr">
        <is>
          <t>Graph: Topological Sort</t>
        </is>
      </c>
      <c r="G386" s="4" t="inlineStr">
        <is>
          <t>Accepted</t>
        </is>
      </c>
      <c r="H386" s="4" t="inlineStr">
        <is>
          <t>C++</t>
        </is>
      </c>
      <c r="I386" s="4" t="inlineStr">
        <is>
          <t>25 ms</t>
        </is>
      </c>
      <c r="J386" s="4" t="inlineStr">
        <is>
          <t>13.3 MB</t>
        </is>
      </c>
      <c r="K386" s="4" t="n">
        <v>6.7</v>
      </c>
      <c r="L386" s="4" t="inlineStr">
        <is>
          <t>52/52</t>
        </is>
      </c>
      <c r="M386" s="9" t="inlineStr">
        <is>
          <t>Submission 941464543</t>
        </is>
      </c>
      <c r="N386" s="4" t="inlineStr">
        <is>
          <t>Yes</t>
        </is>
      </c>
    </row>
    <row r="387">
      <c r="A387" s="11" t="n">
        <v>45045.63862268518</v>
      </c>
      <c r="B387" s="4" t="inlineStr">
        <is>
          <t>2023-04</t>
        </is>
      </c>
      <c r="C387" s="4" t="n">
        <v>269</v>
      </c>
      <c r="D387" s="9" t="inlineStr">
        <is>
          <t>Alien Dictionary</t>
        </is>
      </c>
      <c r="E387" s="4" t="inlineStr">
        <is>
          <t>Hard</t>
        </is>
      </c>
      <c r="F387" s="4" t="inlineStr">
        <is>
          <t>Graph: Topological Sort</t>
        </is>
      </c>
      <c r="G387" s="4" t="inlineStr">
        <is>
          <t>Wrong Answer</t>
        </is>
      </c>
      <c r="H387" s="4" t="inlineStr">
        <is>
          <t>C++</t>
        </is>
      </c>
      <c r="I387" s="4" t="inlineStr">
        <is>
          <t>N/A</t>
        </is>
      </c>
      <c r="J387" s="4" t="inlineStr">
        <is>
          <t>N/A</t>
        </is>
      </c>
      <c r="K387" s="4" t="n"/>
      <c r="L387" s="4" t="inlineStr">
        <is>
          <t>124/127</t>
        </is>
      </c>
      <c r="M387" s="9" t="inlineStr">
        <is>
          <t>Submission 941479595</t>
        </is>
      </c>
      <c r="N387" s="4" t="inlineStr">
        <is>
          <t>Yes</t>
        </is>
      </c>
    </row>
    <row r="388">
      <c r="A388" s="11" t="n">
        <v>45045.64050925926</v>
      </c>
      <c r="B388" s="4" t="inlineStr">
        <is>
          <t>2023-04</t>
        </is>
      </c>
      <c r="C388" s="4" t="n">
        <v>269</v>
      </c>
      <c r="D388" s="9" t="inlineStr">
        <is>
          <t>Alien Dictionary</t>
        </is>
      </c>
      <c r="E388" s="4" t="inlineStr">
        <is>
          <t>Hard</t>
        </is>
      </c>
      <c r="F388" s="4" t="inlineStr">
        <is>
          <t>Graph: Topological Sort</t>
        </is>
      </c>
      <c r="G388" s="4" t="inlineStr">
        <is>
          <t>Wrong Answer</t>
        </is>
      </c>
      <c r="H388" s="4" t="inlineStr">
        <is>
          <t>C++</t>
        </is>
      </c>
      <c r="I388" s="4" t="inlineStr">
        <is>
          <t>N/A</t>
        </is>
      </c>
      <c r="J388" s="4" t="inlineStr">
        <is>
          <t>N/A</t>
        </is>
      </c>
      <c r="K388" s="4" t="n"/>
      <c r="L388" s="4" t="inlineStr">
        <is>
          <t>124/127</t>
        </is>
      </c>
      <c r="M388" s="9" t="inlineStr">
        <is>
          <t>Submission 941480449</t>
        </is>
      </c>
      <c r="N388" s="4" t="inlineStr">
        <is>
          <t>Yes</t>
        </is>
      </c>
    </row>
    <row r="389">
      <c r="A389" s="11" t="n">
        <v>45045.64153935185</v>
      </c>
      <c r="B389" s="4" t="inlineStr">
        <is>
          <t>2023-04</t>
        </is>
      </c>
      <c r="C389" s="4" t="n">
        <v>269</v>
      </c>
      <c r="D389" s="9" t="inlineStr">
        <is>
          <t>Alien Dictionary</t>
        </is>
      </c>
      <c r="E389" s="4" t="inlineStr">
        <is>
          <t>Hard</t>
        </is>
      </c>
      <c r="F389" s="4" t="inlineStr">
        <is>
          <t>Graph: Topological Sort</t>
        </is>
      </c>
      <c r="G389" s="4" t="inlineStr">
        <is>
          <t>Wrong Answer</t>
        </is>
      </c>
      <c r="H389" s="4" t="inlineStr">
        <is>
          <t>C++</t>
        </is>
      </c>
      <c r="I389" s="4" t="inlineStr">
        <is>
          <t>N/A</t>
        </is>
      </c>
      <c r="J389" s="4" t="inlineStr">
        <is>
          <t>N/A</t>
        </is>
      </c>
      <c r="K389" s="4" t="n"/>
      <c r="L389" s="4" t="inlineStr">
        <is>
          <t>125/127</t>
        </is>
      </c>
      <c r="M389" s="9" t="inlineStr">
        <is>
          <t>Submission 941480942</t>
        </is>
      </c>
      <c r="N389" s="4" t="inlineStr">
        <is>
          <t>Yes</t>
        </is>
      </c>
    </row>
    <row r="390">
      <c r="A390" s="11" t="n">
        <v>45045.64199074074</v>
      </c>
      <c r="B390" s="4" t="inlineStr">
        <is>
          <t>2023-04</t>
        </is>
      </c>
      <c r="C390" s="4" t="n">
        <v>269</v>
      </c>
      <c r="D390" s="9" t="inlineStr">
        <is>
          <t>Alien Dictionary</t>
        </is>
      </c>
      <c r="E390" s="4" t="inlineStr">
        <is>
          <t>Hard</t>
        </is>
      </c>
      <c r="F390" s="4" t="inlineStr">
        <is>
          <t>Graph: Topological Sort</t>
        </is>
      </c>
      <c r="G390" s="4" t="inlineStr">
        <is>
          <t>Accepted</t>
        </is>
      </c>
      <c r="H390" s="4" t="inlineStr">
        <is>
          <t>C++</t>
        </is>
      </c>
      <c r="I390" s="4" t="inlineStr">
        <is>
          <t>10 ms</t>
        </is>
      </c>
      <c r="J390" s="4" t="inlineStr">
        <is>
          <t>9.5 MB</t>
        </is>
      </c>
      <c r="K390" s="4" t="n">
        <v>6.3</v>
      </c>
      <c r="L390" s="4" t="inlineStr">
        <is>
          <t>127/127</t>
        </is>
      </c>
      <c r="M390" s="9" t="inlineStr">
        <is>
          <t>Submission 941481149</t>
        </is>
      </c>
      <c r="N390" s="4" t="inlineStr">
        <is>
          <t>Yes</t>
        </is>
      </c>
    </row>
    <row r="391">
      <c r="A391" s="11" t="n">
        <v>45045.71458333333</v>
      </c>
      <c r="B391" s="4" t="inlineStr">
        <is>
          <t>2023-04</t>
        </is>
      </c>
      <c r="C391" s="4" t="n">
        <v>127</v>
      </c>
      <c r="D391" s="9" t="inlineStr">
        <is>
          <t>Word Ladder</t>
        </is>
      </c>
      <c r="E391" s="4" t="inlineStr">
        <is>
          <t>Hard</t>
        </is>
      </c>
      <c r="F391" s="4" t="inlineStr">
        <is>
          <t>Graph: General BFS/DFS</t>
        </is>
      </c>
      <c r="G391" s="4" t="inlineStr">
        <is>
          <t>Accepted</t>
        </is>
      </c>
      <c r="H391" s="4" t="inlineStr">
        <is>
          <t>C++</t>
        </is>
      </c>
      <c r="I391" s="4" t="inlineStr">
        <is>
          <t>84 ms</t>
        </is>
      </c>
      <c r="J391" s="4" t="inlineStr">
        <is>
          <t>13.8 MB</t>
        </is>
      </c>
      <c r="K391" s="4" t="n">
        <v>36.3</v>
      </c>
      <c r="L391" s="4" t="inlineStr">
        <is>
          <t>50/50</t>
        </is>
      </c>
      <c r="M391" s="9" t="inlineStr">
        <is>
          <t>Submission 941514736</t>
        </is>
      </c>
      <c r="N391" s="4" t="inlineStr">
        <is>
          <t>Yes</t>
        </is>
      </c>
    </row>
    <row r="392">
      <c r="A392" s="11" t="n">
        <v>45046.39180555556</v>
      </c>
      <c r="B392" s="4" t="inlineStr">
        <is>
          <t>2023-04</t>
        </is>
      </c>
      <c r="C392" s="4" t="n">
        <v>126</v>
      </c>
      <c r="D392" s="9" t="inlineStr">
        <is>
          <t>Word Ladder II</t>
        </is>
      </c>
      <c r="E392" s="4" t="inlineStr">
        <is>
          <t>Hard</t>
        </is>
      </c>
      <c r="F392" s="4" t="inlineStr">
        <is>
          <t>Graph: General BFS/DFS</t>
        </is>
      </c>
      <c r="G392" s="4" t="inlineStr">
        <is>
          <t>Compile Error</t>
        </is>
      </c>
      <c r="H392" s="4" t="inlineStr">
        <is>
          <t>C++</t>
        </is>
      </c>
      <c r="I392" s="4" t="inlineStr">
        <is>
          <t>N/A</t>
        </is>
      </c>
      <c r="J392" s="4" t="inlineStr">
        <is>
          <t>N/A</t>
        </is>
      </c>
      <c r="K392" s="4" t="n"/>
      <c r="L392" s="4" t="inlineStr"/>
      <c r="M392" s="9" t="inlineStr">
        <is>
          <t>Submission 941913351</t>
        </is>
      </c>
      <c r="N392" s="4" t="inlineStr">
        <is>
          <t>Yes</t>
        </is>
      </c>
    </row>
    <row r="393">
      <c r="A393" s="11" t="n">
        <v>45046.3938425926</v>
      </c>
      <c r="B393" s="4" t="inlineStr">
        <is>
          <t>2023-04</t>
        </is>
      </c>
      <c r="C393" s="4" t="n">
        <v>126</v>
      </c>
      <c r="D393" s="9" t="inlineStr">
        <is>
          <t>Word Ladder II</t>
        </is>
      </c>
      <c r="E393" s="4" t="inlineStr">
        <is>
          <t>Hard</t>
        </is>
      </c>
      <c r="F393" s="4" t="inlineStr">
        <is>
          <t>Graph: General BFS/DFS</t>
        </is>
      </c>
      <c r="G393" s="4" t="inlineStr">
        <is>
          <t>Time Limit Exceeded</t>
        </is>
      </c>
      <c r="H393" s="4" t="inlineStr">
        <is>
          <t>C++</t>
        </is>
      </c>
      <c r="I393" s="4" t="inlineStr">
        <is>
          <t>N/A</t>
        </is>
      </c>
      <c r="J393" s="4" t="inlineStr">
        <is>
          <t>N/A</t>
        </is>
      </c>
      <c r="K393" s="4" t="n"/>
      <c r="L393" s="4" t="inlineStr">
        <is>
          <t>32/36</t>
        </is>
      </c>
      <c r="M393" s="9" t="inlineStr">
        <is>
          <t>Submission 941915375</t>
        </is>
      </c>
      <c r="N393" s="4" t="inlineStr">
        <is>
          <t>Yes</t>
        </is>
      </c>
    </row>
    <row r="394">
      <c r="A394" s="11" t="n">
        <v>45046.49800925926</v>
      </c>
      <c r="B394" s="4" t="inlineStr">
        <is>
          <t>2023-04</t>
        </is>
      </c>
      <c r="C394" s="4" t="n">
        <v>1091</v>
      </c>
      <c r="D394" s="9" t="inlineStr">
        <is>
          <t>Shortest Path in Binary Matrix</t>
        </is>
      </c>
      <c r="E394" s="4" t="inlineStr">
        <is>
          <t>Medium</t>
        </is>
      </c>
      <c r="F394" s="4" t="inlineStr">
        <is>
          <t>Graph: Shortest Path</t>
        </is>
      </c>
      <c r="G394" s="4" t="inlineStr">
        <is>
          <t>Accepted</t>
        </is>
      </c>
      <c r="H394" s="4" t="inlineStr">
        <is>
          <t>C++</t>
        </is>
      </c>
      <c r="I394" s="4" t="inlineStr">
        <is>
          <t>466 ms</t>
        </is>
      </c>
      <c r="J394" s="4" t="inlineStr">
        <is>
          <t>19.1 MB</t>
        </is>
      </c>
      <c r="K394" s="4" t="n">
        <v>5.1</v>
      </c>
      <c r="L394" s="4" t="inlineStr">
        <is>
          <t>89/89</t>
        </is>
      </c>
      <c r="M394" s="9" t="inlineStr">
        <is>
          <t>Submission 941971420</t>
        </is>
      </c>
      <c r="N394" s="4" t="inlineStr">
        <is>
          <t>Yes</t>
        </is>
      </c>
    </row>
    <row r="395">
      <c r="A395" s="11" t="n">
        <v>45046.49895833333</v>
      </c>
      <c r="B395" s="4" t="inlineStr">
        <is>
          <t>2023-04</t>
        </is>
      </c>
      <c r="C395" s="4" t="n">
        <v>1091</v>
      </c>
      <c r="D395" s="9" t="inlineStr">
        <is>
          <t>Shortest Path in Binary Matrix</t>
        </is>
      </c>
      <c r="E395" s="4" t="inlineStr">
        <is>
          <t>Medium</t>
        </is>
      </c>
      <c r="F395" s="4" t="inlineStr">
        <is>
          <t>Graph: Shortest Path</t>
        </is>
      </c>
      <c r="G395" s="4" t="inlineStr">
        <is>
          <t>Accepted</t>
        </is>
      </c>
      <c r="H395" s="4" t="inlineStr">
        <is>
          <t>C++</t>
        </is>
      </c>
      <c r="I395" s="4" t="inlineStr">
        <is>
          <t>589 ms</t>
        </is>
      </c>
      <c r="J395" s="4" t="inlineStr">
        <is>
          <t>19.1 MB</t>
        </is>
      </c>
      <c r="K395" s="4" t="n">
        <v>5.1</v>
      </c>
      <c r="L395" s="4" t="inlineStr">
        <is>
          <t>89/89</t>
        </is>
      </c>
      <c r="M395" s="9" t="inlineStr">
        <is>
          <t>Submission 941971993</t>
        </is>
      </c>
      <c r="N395" s="4" t="inlineStr">
        <is>
          <t>Yes</t>
        </is>
      </c>
    </row>
    <row r="396">
      <c r="A396" s="11" t="n">
        <v>45046.49969907408</v>
      </c>
      <c r="B396" s="4" t="inlineStr">
        <is>
          <t>2023-04</t>
        </is>
      </c>
      <c r="C396" s="4" t="n">
        <v>1091</v>
      </c>
      <c r="D396" s="9" t="inlineStr">
        <is>
          <t>Shortest Path in Binary Matrix</t>
        </is>
      </c>
      <c r="E396" s="4" t="inlineStr">
        <is>
          <t>Medium</t>
        </is>
      </c>
      <c r="F396" s="4" t="inlineStr">
        <is>
          <t>Graph: Shortest Path</t>
        </is>
      </c>
      <c r="G396" s="4" t="inlineStr">
        <is>
          <t>Accepted</t>
        </is>
      </c>
      <c r="H396" s="4" t="inlineStr">
        <is>
          <t>C++</t>
        </is>
      </c>
      <c r="I396" s="4" t="inlineStr">
        <is>
          <t>516 ms</t>
        </is>
      </c>
      <c r="J396" s="4" t="inlineStr">
        <is>
          <t>19.3 MB</t>
        </is>
      </c>
      <c r="K396" s="4" t="n">
        <v>5.1</v>
      </c>
      <c r="L396" s="4" t="inlineStr">
        <is>
          <t>89/89</t>
        </is>
      </c>
      <c r="M396" s="9" t="inlineStr">
        <is>
          <t>Submission 941972432</t>
        </is>
      </c>
      <c r="N396" s="4" t="inlineStr">
        <is>
          <t>Yes</t>
        </is>
      </c>
    </row>
    <row r="397">
      <c r="A397" s="11" t="n">
        <v>45046.53587962963</v>
      </c>
      <c r="B397" s="4" t="inlineStr">
        <is>
          <t>2023-04</t>
        </is>
      </c>
      <c r="C397" s="4" t="n">
        <v>1631</v>
      </c>
      <c r="D397" s="9" t="inlineStr">
        <is>
          <t>Path With Minimum Effort</t>
        </is>
      </c>
      <c r="E397" s="4" t="inlineStr">
        <is>
          <t>Medium</t>
        </is>
      </c>
      <c r="F397" s="4" t="inlineStr">
        <is>
          <t>Graph: Shortest Path</t>
        </is>
      </c>
      <c r="G397" s="4" t="inlineStr">
        <is>
          <t>Wrong Answer</t>
        </is>
      </c>
      <c r="H397" s="4" t="inlineStr">
        <is>
          <t>C++</t>
        </is>
      </c>
      <c r="I397" s="4" t="inlineStr">
        <is>
          <t>N/A</t>
        </is>
      </c>
      <c r="J397" s="4" t="inlineStr">
        <is>
          <t>N/A</t>
        </is>
      </c>
      <c r="K397" s="4" t="n"/>
      <c r="L397" s="4" t="inlineStr">
        <is>
          <t>3/75</t>
        </is>
      </c>
      <c r="M397" s="9" t="inlineStr">
        <is>
          <t>Submission 941993188</t>
        </is>
      </c>
      <c r="N397" s="4" t="inlineStr">
        <is>
          <t>Yes</t>
        </is>
      </c>
    </row>
    <row r="398">
      <c r="A398" s="11" t="n">
        <v>45046.53670138889</v>
      </c>
      <c r="B398" s="4" t="inlineStr">
        <is>
          <t>2023-04</t>
        </is>
      </c>
      <c r="C398" s="4" t="n">
        <v>1631</v>
      </c>
      <c r="D398" s="9" t="inlineStr">
        <is>
          <t>Path With Minimum Effort</t>
        </is>
      </c>
      <c r="E398" s="4" t="inlineStr">
        <is>
          <t>Medium</t>
        </is>
      </c>
      <c r="F398" s="4" t="inlineStr">
        <is>
          <t>Graph: Shortest Path</t>
        </is>
      </c>
      <c r="G398" s="4" t="inlineStr">
        <is>
          <t>Runtime Error</t>
        </is>
      </c>
      <c r="H398" s="4" t="inlineStr">
        <is>
          <t>C++</t>
        </is>
      </c>
      <c r="I398" s="4" t="inlineStr">
        <is>
          <t>N/A</t>
        </is>
      </c>
      <c r="J398" s="4" t="inlineStr">
        <is>
          <t>N/A</t>
        </is>
      </c>
      <c r="K398" s="4" t="n"/>
      <c r="L398" s="4" t="inlineStr">
        <is>
          <t>4/75</t>
        </is>
      </c>
      <c r="M398" s="9" t="inlineStr">
        <is>
          <t>Submission 941993668</t>
        </is>
      </c>
      <c r="N398" s="4" t="inlineStr">
        <is>
          <t>Yes</t>
        </is>
      </c>
    </row>
    <row r="399">
      <c r="A399" s="11" t="n">
        <v>45046.53858796296</v>
      </c>
      <c r="B399" s="4" t="inlineStr">
        <is>
          <t>2023-04</t>
        </is>
      </c>
      <c r="C399" s="4" t="n">
        <v>1631</v>
      </c>
      <c r="D399" s="9" t="inlineStr">
        <is>
          <t>Path With Minimum Effort</t>
        </is>
      </c>
      <c r="E399" s="4" t="inlineStr">
        <is>
          <t>Medium</t>
        </is>
      </c>
      <c r="F399" s="4" t="inlineStr">
        <is>
          <t>Graph: Shortest Path</t>
        </is>
      </c>
      <c r="G399" s="4" t="inlineStr">
        <is>
          <t>Accepted</t>
        </is>
      </c>
      <c r="H399" s="4" t="inlineStr">
        <is>
          <t>C++</t>
        </is>
      </c>
      <c r="I399" s="4" t="inlineStr">
        <is>
          <t>282 ms</t>
        </is>
      </c>
      <c r="J399" s="4" t="inlineStr">
        <is>
          <t>20 MB</t>
        </is>
      </c>
      <c r="K399" s="4" t="n">
        <v>5.2</v>
      </c>
      <c r="L399" s="4" t="inlineStr">
        <is>
          <t>75/75</t>
        </is>
      </c>
      <c r="M399" s="9" t="inlineStr">
        <is>
          <t>Submission 941994698</t>
        </is>
      </c>
      <c r="N399" s="4" t="inlineStr">
        <is>
          <t>Yes</t>
        </is>
      </c>
    </row>
    <row r="400">
      <c r="A400" s="11" t="n">
        <v>45046.54350694444</v>
      </c>
      <c r="B400" s="4" t="inlineStr">
        <is>
          <t>2023-04</t>
        </is>
      </c>
      <c r="C400" s="4" t="n">
        <v>1631</v>
      </c>
      <c r="D400" s="9" t="inlineStr">
        <is>
          <t>Path With Minimum Effort</t>
        </is>
      </c>
      <c r="E400" s="4" t="inlineStr">
        <is>
          <t>Medium</t>
        </is>
      </c>
      <c r="F400" s="4" t="inlineStr">
        <is>
          <t>Graph: Shortest Path</t>
        </is>
      </c>
      <c r="G400" s="4" t="inlineStr">
        <is>
          <t>Accepted</t>
        </is>
      </c>
      <c r="H400" s="4" t="inlineStr">
        <is>
          <t>C++</t>
        </is>
      </c>
      <c r="I400" s="4" t="inlineStr">
        <is>
          <t>234 ms</t>
        </is>
      </c>
      <c r="J400" s="4" t="inlineStr">
        <is>
          <t>19.9 MB</t>
        </is>
      </c>
      <c r="K400" s="4" t="n">
        <v>6.9</v>
      </c>
      <c r="L400" s="4" t="inlineStr">
        <is>
          <t>75/75</t>
        </is>
      </c>
      <c r="M400" s="9" t="inlineStr">
        <is>
          <t>Submission 941997459</t>
        </is>
      </c>
      <c r="N400" s="4" t="inlineStr">
        <is>
          <t>Yes</t>
        </is>
      </c>
    </row>
    <row r="401">
      <c r="A401" s="11" t="n">
        <v>45046.56664351852</v>
      </c>
      <c r="B401" s="4" t="inlineStr">
        <is>
          <t>2023-04</t>
        </is>
      </c>
      <c r="C401" s="4" t="n">
        <v>787</v>
      </c>
      <c r="D401" s="9" t="inlineStr">
        <is>
          <t>Cheapest Flights Within K Stops</t>
        </is>
      </c>
      <c r="E401" s="4" t="inlineStr">
        <is>
          <t>Medium</t>
        </is>
      </c>
      <c r="F401" s="4" t="inlineStr">
        <is>
          <t>Graph: Shortest Path</t>
        </is>
      </c>
      <c r="G401" s="4" t="inlineStr">
        <is>
          <t>Accepted</t>
        </is>
      </c>
      <c r="H401" s="4" t="inlineStr">
        <is>
          <t>C++</t>
        </is>
      </c>
      <c r="I401" s="4" t="inlineStr">
        <is>
          <t>29 ms</t>
        </is>
      </c>
      <c r="J401" s="4" t="inlineStr">
        <is>
          <t>13.6 MB</t>
        </is>
      </c>
      <c r="K401" s="4" t="n">
        <v>10.8</v>
      </c>
      <c r="L401" s="4" t="inlineStr">
        <is>
          <t>52/52</t>
        </is>
      </c>
      <c r="M401" s="9" t="inlineStr">
        <is>
          <t>Submission 942009113</t>
        </is>
      </c>
      <c r="N401" s="4" t="inlineStr">
        <is>
          <t>Yes</t>
        </is>
      </c>
    </row>
    <row r="402">
      <c r="A402" s="11" t="n">
        <v>45046.56863425926</v>
      </c>
      <c r="B402" s="4" t="inlineStr">
        <is>
          <t>2023-04</t>
        </is>
      </c>
      <c r="C402" s="4" t="n">
        <v>787</v>
      </c>
      <c r="D402" s="9" t="inlineStr">
        <is>
          <t>Cheapest Flights Within K Stops</t>
        </is>
      </c>
      <c r="E402" s="4" t="inlineStr">
        <is>
          <t>Medium</t>
        </is>
      </c>
      <c r="F402" s="4" t="inlineStr">
        <is>
          <t>Graph: Shortest Path</t>
        </is>
      </c>
      <c r="G402" s="4" t="inlineStr">
        <is>
          <t>Accepted</t>
        </is>
      </c>
      <c r="H402" s="4" t="inlineStr">
        <is>
          <t>C++</t>
        </is>
      </c>
      <c r="I402" s="4" t="inlineStr">
        <is>
          <t>24 ms</t>
        </is>
      </c>
      <c r="J402" s="4" t="inlineStr">
        <is>
          <t>13.7 MB</t>
        </is>
      </c>
      <c r="K402" s="4" t="n">
        <v>11.2</v>
      </c>
      <c r="L402" s="4" t="inlineStr">
        <is>
          <t>52/52</t>
        </is>
      </c>
      <c r="M402" s="9" t="inlineStr">
        <is>
          <t>Submission 942009995</t>
        </is>
      </c>
      <c r="N402" s="4" t="inlineStr">
        <is>
          <t>Yes</t>
        </is>
      </c>
    </row>
    <row r="403">
      <c r="A403" s="11" t="n">
        <v>45046.60123842592</v>
      </c>
      <c r="B403" s="4" t="inlineStr">
        <is>
          <t>2023-04</t>
        </is>
      </c>
      <c r="C403" s="4" t="n">
        <v>1976</v>
      </c>
      <c r="D403" s="9" t="inlineStr">
        <is>
          <t>Number of Ways to Arrive at Destination</t>
        </is>
      </c>
      <c r="E403" s="4" t="inlineStr">
        <is>
          <t>Medium</t>
        </is>
      </c>
      <c r="F403" s="4" t="inlineStr">
        <is>
          <t>Graph: Shortest Path</t>
        </is>
      </c>
      <c r="G403" s="4" t="inlineStr">
        <is>
          <t>Runtime Error</t>
        </is>
      </c>
      <c r="H403" s="4" t="inlineStr">
        <is>
          <t>C++</t>
        </is>
      </c>
      <c r="I403" s="4" t="inlineStr">
        <is>
          <t>N/A</t>
        </is>
      </c>
      <c r="J403" s="4" t="inlineStr">
        <is>
          <t>N/A</t>
        </is>
      </c>
      <c r="K403" s="4" t="n"/>
      <c r="L403" s="4" t="inlineStr">
        <is>
          <t>37/54</t>
        </is>
      </c>
      <c r="M403" s="9" t="inlineStr">
        <is>
          <t>Submission 942025469</t>
        </is>
      </c>
      <c r="N403" s="4" t="inlineStr">
        <is>
          <t>Yes</t>
        </is>
      </c>
    </row>
    <row r="404">
      <c r="A404" s="11" t="n">
        <v>45046.60175925926</v>
      </c>
      <c r="B404" s="4" t="inlineStr">
        <is>
          <t>2023-04</t>
        </is>
      </c>
      <c r="C404" s="4" t="n">
        <v>1976</v>
      </c>
      <c r="D404" s="9" t="inlineStr">
        <is>
          <t>Number of Ways to Arrive at Destination</t>
        </is>
      </c>
      <c r="E404" s="4" t="inlineStr">
        <is>
          <t>Medium</t>
        </is>
      </c>
      <c r="F404" s="4" t="inlineStr">
        <is>
          <t>Graph: Shortest Path</t>
        </is>
      </c>
      <c r="G404" s="4" t="inlineStr">
        <is>
          <t>Wrong Answer</t>
        </is>
      </c>
      <c r="H404" s="4" t="inlineStr">
        <is>
          <t>C++</t>
        </is>
      </c>
      <c r="I404" s="4" t="inlineStr">
        <is>
          <t>N/A</t>
        </is>
      </c>
      <c r="J404" s="4" t="inlineStr">
        <is>
          <t>N/A</t>
        </is>
      </c>
      <c r="K404" s="4" t="n"/>
      <c r="L404" s="4" t="inlineStr">
        <is>
          <t>52/54</t>
        </is>
      </c>
      <c r="M404" s="9" t="inlineStr">
        <is>
          <t>Submission 942025751</t>
        </is>
      </c>
      <c r="N404" s="4" t="inlineStr">
        <is>
          <t>Yes</t>
        </is>
      </c>
    </row>
    <row r="405">
      <c r="A405" s="11" t="n">
        <v>45046.60583333333</v>
      </c>
      <c r="B405" s="4" t="inlineStr">
        <is>
          <t>2023-04</t>
        </is>
      </c>
      <c r="C405" s="4" t="n">
        <v>1976</v>
      </c>
      <c r="D405" s="9" t="inlineStr">
        <is>
          <t>Number of Ways to Arrive at Destination</t>
        </is>
      </c>
      <c r="E405" s="4" t="inlineStr">
        <is>
          <t>Medium</t>
        </is>
      </c>
      <c r="F405" s="4" t="inlineStr">
        <is>
          <t>Graph: Shortest Path</t>
        </is>
      </c>
      <c r="G405" s="4" t="inlineStr">
        <is>
          <t>Accepted</t>
        </is>
      </c>
      <c r="H405" s="4" t="inlineStr">
        <is>
          <t>C++</t>
        </is>
      </c>
      <c r="I405" s="4" t="inlineStr">
        <is>
          <t>86 ms</t>
        </is>
      </c>
      <c r="J405" s="4" t="inlineStr">
        <is>
          <t>35.5 MB</t>
        </is>
      </c>
      <c r="K405" s="4" t="n">
        <v>5.3</v>
      </c>
      <c r="L405" s="4" t="inlineStr">
        <is>
          <t>54/54</t>
        </is>
      </c>
      <c r="M405" s="9" t="inlineStr">
        <is>
          <t>Submission 942027719</t>
        </is>
      </c>
      <c r="N405" s="4" t="inlineStr">
        <is>
          <t>Yes</t>
        </is>
      </c>
    </row>
    <row r="406">
      <c r="A406" s="11" t="n">
        <v>45046.71844907408</v>
      </c>
      <c r="B406" s="4" t="inlineStr">
        <is>
          <t>2023-04</t>
        </is>
      </c>
      <c r="C406" s="4" t="n">
        <v>684</v>
      </c>
      <c r="D406" s="9" t="inlineStr">
        <is>
          <t>Redundant Connection</t>
        </is>
      </c>
      <c r="E406" s="4" t="inlineStr">
        <is>
          <t>Medium</t>
        </is>
      </c>
      <c r="F406" s="4" t="inlineStr">
        <is>
          <t>Graph: Union-Find</t>
        </is>
      </c>
      <c r="G406" s="4" t="inlineStr">
        <is>
          <t>Accepted</t>
        </is>
      </c>
      <c r="H406" s="4" t="inlineStr">
        <is>
          <t>C++</t>
        </is>
      </c>
      <c r="I406" s="4" t="inlineStr">
        <is>
          <t>9 ms</t>
        </is>
      </c>
      <c r="J406" s="4" t="inlineStr">
        <is>
          <t>8.9 MB</t>
        </is>
      </c>
      <c r="K406" s="4" t="n">
        <v>15.5</v>
      </c>
      <c r="L406" s="4" t="inlineStr">
        <is>
          <t>39/39</t>
        </is>
      </c>
      <c r="M406" s="9" t="inlineStr">
        <is>
          <t>Submission 942082217</t>
        </is>
      </c>
      <c r="N406" s="4" t="inlineStr">
        <is>
          <t>Yes</t>
        </is>
      </c>
    </row>
    <row r="407">
      <c r="A407" s="11" t="n">
        <v>45046.75959490741</v>
      </c>
      <c r="B407" s="4" t="inlineStr">
        <is>
          <t>2023-04</t>
        </is>
      </c>
      <c r="C407" s="4" t="n">
        <v>721</v>
      </c>
      <c r="D407" s="9" t="inlineStr">
        <is>
          <t>Accounts Merge</t>
        </is>
      </c>
      <c r="E407" s="4" t="inlineStr">
        <is>
          <t>Medium</t>
        </is>
      </c>
      <c r="F407" s="4" t="inlineStr">
        <is>
          <t>Graph: Union-Find</t>
        </is>
      </c>
      <c r="G407" s="4" t="inlineStr">
        <is>
          <t>Wrong Answer</t>
        </is>
      </c>
      <c r="H407" s="4" t="inlineStr">
        <is>
          <t>C++</t>
        </is>
      </c>
      <c r="I407" s="4" t="inlineStr">
        <is>
          <t>N/A</t>
        </is>
      </c>
      <c r="J407" s="4" t="inlineStr">
        <is>
          <t>N/A</t>
        </is>
      </c>
      <c r="K407" s="4" t="n"/>
      <c r="L407" s="4" t="inlineStr">
        <is>
          <t>49/50</t>
        </is>
      </c>
      <c r="M407" s="9" t="inlineStr">
        <is>
          <t>Submission 942101259</t>
        </is>
      </c>
      <c r="N407" s="4" t="inlineStr">
        <is>
          <t>Yes</t>
        </is>
      </c>
    </row>
    <row r="408">
      <c r="A408" s="11" t="n">
        <v>45046.76059027778</v>
      </c>
      <c r="B408" s="4" t="inlineStr">
        <is>
          <t>2023-04</t>
        </is>
      </c>
      <c r="C408" s="4" t="n">
        <v>721</v>
      </c>
      <c r="D408" s="9" t="inlineStr">
        <is>
          <t>Accounts Merge</t>
        </is>
      </c>
      <c r="E408" s="4" t="inlineStr">
        <is>
          <t>Medium</t>
        </is>
      </c>
      <c r="F408" s="4" t="inlineStr">
        <is>
          <t>Graph: Union-Find</t>
        </is>
      </c>
      <c r="G408" s="4" t="inlineStr">
        <is>
          <t>Accepted</t>
        </is>
      </c>
      <c r="H408" s="4" t="inlineStr">
        <is>
          <t>C++</t>
        </is>
      </c>
      <c r="I408" s="4" t="inlineStr">
        <is>
          <t>99 ms</t>
        </is>
      </c>
      <c r="J408" s="4" t="inlineStr">
        <is>
          <t>36.8 MB</t>
        </is>
      </c>
      <c r="K408" s="4" t="n">
        <v>8.4</v>
      </c>
      <c r="L408" s="4" t="inlineStr">
        <is>
          <t>50/50</t>
        </is>
      </c>
      <c r="M408" s="9" t="inlineStr">
        <is>
          <t>Submission 942101745</t>
        </is>
      </c>
      <c r="N408" s="4" t="inlineStr">
        <is>
          <t>Yes</t>
        </is>
      </c>
    </row>
    <row r="409">
      <c r="A409" s="11" t="n">
        <v>45046.78564814815</v>
      </c>
      <c r="B409" s="4" t="inlineStr">
        <is>
          <t>2023-04</t>
        </is>
      </c>
      <c r="C409" s="4" t="n">
        <v>305</v>
      </c>
      <c r="D409" s="9" t="inlineStr">
        <is>
          <t>Number of Islands II</t>
        </is>
      </c>
      <c r="E409" s="4" t="inlineStr">
        <is>
          <t>Hard</t>
        </is>
      </c>
      <c r="F409" s="4" t="inlineStr">
        <is>
          <t>Graph: Union-Find</t>
        </is>
      </c>
      <c r="G409" s="4" t="inlineStr">
        <is>
          <t>Wrong Answer</t>
        </is>
      </c>
      <c r="H409" s="4" t="inlineStr">
        <is>
          <t>C++</t>
        </is>
      </c>
      <c r="I409" s="4" t="inlineStr">
        <is>
          <t>N/A</t>
        </is>
      </c>
      <c r="J409" s="4" t="inlineStr">
        <is>
          <t>N/A</t>
        </is>
      </c>
      <c r="K409" s="4" t="n"/>
      <c r="L409" s="4" t="inlineStr">
        <is>
          <t>70/162</t>
        </is>
      </c>
      <c r="M409" s="9" t="inlineStr">
        <is>
          <t>Submission 942114115</t>
        </is>
      </c>
      <c r="N409" s="4" t="inlineStr">
        <is>
          <t>Yes</t>
        </is>
      </c>
    </row>
    <row r="410">
      <c r="A410" s="11" t="n">
        <v>45046.79586805555</v>
      </c>
      <c r="B410" s="4" t="inlineStr">
        <is>
          <t>2023-04</t>
        </is>
      </c>
      <c r="C410" s="4" t="n">
        <v>305</v>
      </c>
      <c r="D410" s="9" t="inlineStr">
        <is>
          <t>Number of Islands II</t>
        </is>
      </c>
      <c r="E410" s="4" t="inlineStr">
        <is>
          <t>Hard</t>
        </is>
      </c>
      <c r="F410" s="4" t="inlineStr">
        <is>
          <t>Graph: Union-Find</t>
        </is>
      </c>
      <c r="G410" s="4" t="inlineStr">
        <is>
          <t>Accepted</t>
        </is>
      </c>
      <c r="H410" s="4" t="inlineStr">
        <is>
          <t>C++</t>
        </is>
      </c>
      <c r="I410" s="4" t="inlineStr">
        <is>
          <t>113 ms</t>
        </is>
      </c>
      <c r="J410" s="4" t="inlineStr">
        <is>
          <t>42.7 MB</t>
        </is>
      </c>
      <c r="K410" s="4" t="n">
        <v>9.699999999999999</v>
      </c>
      <c r="L410" s="4" t="inlineStr">
        <is>
          <t>162/162</t>
        </is>
      </c>
      <c r="M410" s="9" t="inlineStr">
        <is>
          <t>Submission 942119013</t>
        </is>
      </c>
      <c r="N410" s="4" t="inlineStr">
        <is>
          <t>Yes</t>
        </is>
      </c>
    </row>
    <row r="411">
      <c r="A411" s="11" t="n">
        <v>45047.42104166667</v>
      </c>
      <c r="B411" s="4" t="inlineStr">
        <is>
          <t>2023-05</t>
        </is>
      </c>
      <c r="C411" s="4" t="n">
        <v>947</v>
      </c>
      <c r="D411" s="9" t="inlineStr">
        <is>
          <t>Most Stones Removed with Same Row or Column</t>
        </is>
      </c>
      <c r="E411" s="4" t="inlineStr">
        <is>
          <t>Medium</t>
        </is>
      </c>
      <c r="F411" s="4" t="inlineStr">
        <is>
          <t>Graph: Union-Find</t>
        </is>
      </c>
      <c r="G411" s="4" t="inlineStr">
        <is>
          <t>Accepted</t>
        </is>
      </c>
      <c r="H411" s="4" t="inlineStr">
        <is>
          <t>C++</t>
        </is>
      </c>
      <c r="I411" s="4" t="inlineStr">
        <is>
          <t>48 ms</t>
        </is>
      </c>
      <c r="J411" s="4" t="inlineStr">
        <is>
          <t>21.3 MB</t>
        </is>
      </c>
      <c r="K411" s="4" t="n">
        <v>29.7</v>
      </c>
      <c r="L411" s="4" t="inlineStr">
        <is>
          <t>69/69</t>
        </is>
      </c>
      <c r="M411" s="9" t="inlineStr">
        <is>
          <t>Submission 942413101</t>
        </is>
      </c>
      <c r="N411" s="4" t="inlineStr">
        <is>
          <t>Yes</t>
        </is>
      </c>
    </row>
    <row r="412">
      <c r="A412" s="11" t="n">
        <v>45047.47894675926</v>
      </c>
      <c r="B412" s="4" t="inlineStr">
        <is>
          <t>2023-05</t>
        </is>
      </c>
      <c r="C412" s="4" t="n">
        <v>1192</v>
      </c>
      <c r="D412" s="9" t="inlineStr">
        <is>
          <t>Critical Connections in a Network</t>
        </is>
      </c>
      <c r="E412" s="4" t="inlineStr">
        <is>
          <t>Hard</t>
        </is>
      </c>
      <c r="F412" s="4" t="inlineStr">
        <is>
          <t>Graph: General BFS/DFS</t>
        </is>
      </c>
      <c r="G412" s="4" t="inlineStr">
        <is>
          <t>Accepted</t>
        </is>
      </c>
      <c r="H412" s="4" t="inlineStr">
        <is>
          <t>C++</t>
        </is>
      </c>
      <c r="I412" s="4" t="inlineStr">
        <is>
          <t>674 ms</t>
        </is>
      </c>
      <c r="J412" s="4" t="inlineStr">
        <is>
          <t>175.2 MB</t>
        </is>
      </c>
      <c r="K412" s="4" t="n">
        <v>5</v>
      </c>
      <c r="L412" s="4" t="inlineStr">
        <is>
          <t>17/17</t>
        </is>
      </c>
      <c r="M412" s="9" t="inlineStr">
        <is>
          <t>Submission 942448003</t>
        </is>
      </c>
      <c r="N412" s="4" t="inlineStr">
        <is>
          <t>Yes</t>
        </is>
      </c>
    </row>
    <row r="413">
      <c r="A413" s="11" t="n">
        <v>45047.48059027778</v>
      </c>
      <c r="B413" s="4" t="inlineStr">
        <is>
          <t>2023-05</t>
        </is>
      </c>
      <c r="C413" s="4" t="n">
        <v>1192</v>
      </c>
      <c r="D413" s="9" t="inlineStr">
        <is>
          <t>Critical Connections in a Network</t>
        </is>
      </c>
      <c r="E413" s="4" t="inlineStr">
        <is>
          <t>Hard</t>
        </is>
      </c>
      <c r="F413" s="4" t="inlineStr">
        <is>
          <t>Graph: General BFS/DFS</t>
        </is>
      </c>
      <c r="G413" s="4" t="inlineStr">
        <is>
          <t>Accepted</t>
        </is>
      </c>
      <c r="H413" s="4" t="inlineStr">
        <is>
          <t>C++</t>
        </is>
      </c>
      <c r="I413" s="4" t="inlineStr">
        <is>
          <t>682 ms</t>
        </is>
      </c>
      <c r="J413" s="4" t="inlineStr">
        <is>
          <t>175.4 MB</t>
        </is>
      </c>
      <c r="K413" s="4" t="n">
        <v>5</v>
      </c>
      <c r="L413" s="4" t="inlineStr">
        <is>
          <t>17/17</t>
        </is>
      </c>
      <c r="M413" s="9" t="inlineStr">
        <is>
          <t>Submission 942449111</t>
        </is>
      </c>
      <c r="N413" s="4" t="inlineStr">
        <is>
          <t>Yes</t>
        </is>
      </c>
    </row>
    <row r="414">
      <c r="A414" s="11" t="n">
        <v>45047.48912037037</v>
      </c>
      <c r="B414" s="4" t="inlineStr">
        <is>
          <t>2023-05</t>
        </is>
      </c>
      <c r="C414" s="4" t="n">
        <v>1192</v>
      </c>
      <c r="D414" s="9" t="inlineStr">
        <is>
          <t>Critical Connections in a Network</t>
        </is>
      </c>
      <c r="E414" s="4" t="inlineStr">
        <is>
          <t>Hard</t>
        </is>
      </c>
      <c r="F414" s="4" t="inlineStr">
        <is>
          <t>Graph: General BFS/DFS</t>
        </is>
      </c>
      <c r="G414" s="4" t="inlineStr">
        <is>
          <t>Accepted</t>
        </is>
      </c>
      <c r="H414" s="4" t="inlineStr">
        <is>
          <t>C++</t>
        </is>
      </c>
      <c r="I414" s="4" t="inlineStr">
        <is>
          <t>717 ms</t>
        </is>
      </c>
      <c r="J414" s="4" t="inlineStr">
        <is>
          <t>175.2 MB</t>
        </is>
      </c>
      <c r="K414" s="4" t="n">
        <v>5</v>
      </c>
      <c r="L414" s="4" t="inlineStr">
        <is>
          <t>17/17</t>
        </is>
      </c>
      <c r="M414" s="9" t="inlineStr">
        <is>
          <t>Submission 942454714</t>
        </is>
      </c>
      <c r="N414" s="4" t="inlineStr">
        <is>
          <t>Yes</t>
        </is>
      </c>
    </row>
    <row r="415">
      <c r="A415" s="11" t="n">
        <v>45048.31637731481</v>
      </c>
      <c r="B415" s="4" t="inlineStr">
        <is>
          <t>2023-05</t>
        </is>
      </c>
      <c r="C415" s="4" t="n">
        <v>1463</v>
      </c>
      <c r="D415" s="9" t="inlineStr">
        <is>
          <t>Cherry Pickup II</t>
        </is>
      </c>
      <c r="E415" s="4" t="inlineStr">
        <is>
          <t>Hard</t>
        </is>
      </c>
      <c r="F415" s="4" t="inlineStr">
        <is>
          <t>DP: Grid / 2D</t>
        </is>
      </c>
      <c r="G415" s="4" t="inlineStr">
        <is>
          <t>Time Limit Exceeded</t>
        </is>
      </c>
      <c r="H415" s="4" t="inlineStr">
        <is>
          <t>C++</t>
        </is>
      </c>
      <c r="I415" s="4" t="inlineStr">
        <is>
          <t>N/A</t>
        </is>
      </c>
      <c r="J415" s="4" t="inlineStr">
        <is>
          <t>N/A</t>
        </is>
      </c>
      <c r="K415" s="4" t="n"/>
      <c r="L415" s="4" t="inlineStr">
        <is>
          <t>58/59</t>
        </is>
      </c>
      <c r="M415" s="9" t="inlineStr">
        <is>
          <t>Submission 942944541</t>
        </is>
      </c>
      <c r="N415" s="4" t="inlineStr">
        <is>
          <t>Yes</t>
        </is>
      </c>
    </row>
    <row r="416">
      <c r="A416" s="11" t="n">
        <v>45048.31737268518</v>
      </c>
      <c r="B416" s="4" t="inlineStr">
        <is>
          <t>2023-05</t>
        </is>
      </c>
      <c r="C416" s="4" t="n">
        <v>1463</v>
      </c>
      <c r="D416" s="9" t="inlineStr">
        <is>
          <t>Cherry Pickup II</t>
        </is>
      </c>
      <c r="E416" s="4" t="inlineStr">
        <is>
          <t>Hard</t>
        </is>
      </c>
      <c r="F416" s="4" t="inlineStr">
        <is>
          <t>DP: Grid / 2D</t>
        </is>
      </c>
      <c r="G416" s="4" t="inlineStr">
        <is>
          <t>Accepted</t>
        </is>
      </c>
      <c r="H416" s="4" t="inlineStr">
        <is>
          <t>C++</t>
        </is>
      </c>
      <c r="I416" s="4" t="inlineStr">
        <is>
          <t>173 ms</t>
        </is>
      </c>
      <c r="J416" s="4" t="inlineStr">
        <is>
          <t>17.4 MB</t>
        </is>
      </c>
      <c r="K416" s="4" t="n">
        <v>5</v>
      </c>
      <c r="L416" s="4" t="inlineStr">
        <is>
          <t>59/59</t>
        </is>
      </c>
      <c r="M416" s="9" t="inlineStr">
        <is>
          <t>Submission 942944998</t>
        </is>
      </c>
      <c r="N416" s="4" t="inlineStr">
        <is>
          <t>Yes</t>
        </is>
      </c>
    </row>
    <row r="417">
      <c r="A417" s="11" t="n">
        <v>45048.32835648148</v>
      </c>
      <c r="B417" s="4" t="inlineStr">
        <is>
          <t>2023-05</t>
        </is>
      </c>
      <c r="C417" s="4" t="n">
        <v>1463</v>
      </c>
      <c r="D417" s="9" t="inlineStr">
        <is>
          <t>Cherry Pickup II</t>
        </is>
      </c>
      <c r="E417" s="4" t="inlineStr">
        <is>
          <t>Hard</t>
        </is>
      </c>
      <c r="F417" s="4" t="inlineStr">
        <is>
          <t>DP: Grid / 2D</t>
        </is>
      </c>
      <c r="G417" s="4" t="inlineStr">
        <is>
          <t>Accepted</t>
        </is>
      </c>
      <c r="H417" s="4" t="inlineStr">
        <is>
          <t>C++</t>
        </is>
      </c>
      <c r="I417" s="4" t="inlineStr">
        <is>
          <t>295 ms</t>
        </is>
      </c>
      <c r="J417" s="4" t="inlineStr">
        <is>
          <t>17.5 MB</t>
        </is>
      </c>
      <c r="K417" s="4" t="n">
        <v>5</v>
      </c>
      <c r="L417" s="4" t="inlineStr">
        <is>
          <t>59/59</t>
        </is>
      </c>
      <c r="M417" s="9" t="inlineStr">
        <is>
          <t>Submission 942950556</t>
        </is>
      </c>
      <c r="N417" s="4" t="inlineStr">
        <is>
          <t>Yes</t>
        </is>
      </c>
    </row>
    <row r="418">
      <c r="A418" s="11" t="n">
        <v>45048.33195601852</v>
      </c>
      <c r="B418" s="4" t="inlineStr">
        <is>
          <t>2023-05</t>
        </is>
      </c>
      <c r="C418" s="4" t="n">
        <v>741</v>
      </c>
      <c r="D418" s="9" t="inlineStr">
        <is>
          <t>Cherry Pickup</t>
        </is>
      </c>
      <c r="E418" s="4" t="inlineStr">
        <is>
          <t>Hard</t>
        </is>
      </c>
      <c r="F418" s="4" t="inlineStr">
        <is>
          <t>DP: Grid / 2D</t>
        </is>
      </c>
      <c r="G418" s="4" t="inlineStr">
        <is>
          <t>Runtime Error</t>
        </is>
      </c>
      <c r="H418" s="4" t="inlineStr">
        <is>
          <t>C++</t>
        </is>
      </c>
      <c r="I418" s="4" t="inlineStr">
        <is>
          <t>N/A</t>
        </is>
      </c>
      <c r="J418" s="4" t="inlineStr">
        <is>
          <t>N/A</t>
        </is>
      </c>
      <c r="K418" s="4" t="n"/>
      <c r="L418" s="4" t="inlineStr">
        <is>
          <t>4/59</t>
        </is>
      </c>
      <c r="M418" s="9" t="inlineStr">
        <is>
          <t>Submission 942952292</t>
        </is>
      </c>
      <c r="N418" s="4" t="inlineStr">
        <is>
          <t>Yes</t>
        </is>
      </c>
    </row>
    <row r="419">
      <c r="A419" s="11" t="n">
        <v>45048.34877314815</v>
      </c>
      <c r="B419" s="4" t="inlineStr">
        <is>
          <t>2023-05</t>
        </is>
      </c>
      <c r="C419" s="4" t="n">
        <v>741</v>
      </c>
      <c r="D419" s="9" t="inlineStr">
        <is>
          <t>Cherry Pickup</t>
        </is>
      </c>
      <c r="E419" s="4" t="inlineStr">
        <is>
          <t>Hard</t>
        </is>
      </c>
      <c r="F419" s="4" t="inlineStr">
        <is>
          <t>DP: Grid / 2D</t>
        </is>
      </c>
      <c r="G419" s="4" t="inlineStr">
        <is>
          <t>Accepted</t>
        </is>
      </c>
      <c r="H419" s="4" t="inlineStr">
        <is>
          <t>C++</t>
        </is>
      </c>
      <c r="I419" s="4" t="inlineStr">
        <is>
          <t>89 ms</t>
        </is>
      </c>
      <c r="J419" s="4" t="inlineStr">
        <is>
          <t>37.4 MB</t>
        </is>
      </c>
      <c r="K419" s="4" t="n">
        <v>21.5</v>
      </c>
      <c r="L419" s="4" t="inlineStr">
        <is>
          <t>59/59</t>
        </is>
      </c>
      <c r="M419" s="9" t="inlineStr">
        <is>
          <t>Submission 942960945</t>
        </is>
      </c>
      <c r="N419" s="4" t="inlineStr">
        <is>
          <t>Yes</t>
        </is>
      </c>
    </row>
    <row r="420">
      <c r="A420" s="11" t="n">
        <v>45048.35180555555</v>
      </c>
      <c r="B420" s="4" t="inlineStr">
        <is>
          <t>2023-05</t>
        </is>
      </c>
      <c r="C420" s="4" t="n">
        <v>741</v>
      </c>
      <c r="D420" s="9" t="inlineStr">
        <is>
          <t>Cherry Pickup</t>
        </is>
      </c>
      <c r="E420" s="4" t="inlineStr">
        <is>
          <t>Hard</t>
        </is>
      </c>
      <c r="F420" s="4" t="inlineStr">
        <is>
          <t>DP: Grid / 2D</t>
        </is>
      </c>
      <c r="G420" s="4" t="inlineStr">
        <is>
          <t>Wrong Answer</t>
        </is>
      </c>
      <c r="H420" s="4" t="inlineStr">
        <is>
          <t>C++</t>
        </is>
      </c>
      <c r="I420" s="4" t="inlineStr">
        <is>
          <t>N/A</t>
        </is>
      </c>
      <c r="J420" s="4" t="inlineStr">
        <is>
          <t>N/A</t>
        </is>
      </c>
      <c r="K420" s="4" t="n"/>
      <c r="L420" s="4" t="inlineStr">
        <is>
          <t>40/59</t>
        </is>
      </c>
      <c r="M420" s="9" t="inlineStr">
        <is>
          <t>Submission 942962528</t>
        </is>
      </c>
      <c r="N420" s="4" t="inlineStr">
        <is>
          <t>Yes</t>
        </is>
      </c>
    </row>
    <row r="421">
      <c r="A421" s="11" t="n">
        <v>45048.35333333333</v>
      </c>
      <c r="B421" s="4" t="inlineStr">
        <is>
          <t>2023-05</t>
        </is>
      </c>
      <c r="C421" s="4" t="n">
        <v>741</v>
      </c>
      <c r="D421" s="9" t="inlineStr">
        <is>
          <t>Cherry Pickup</t>
        </is>
      </c>
      <c r="E421" s="4" t="inlineStr">
        <is>
          <t>Hard</t>
        </is>
      </c>
      <c r="F421" s="4" t="inlineStr">
        <is>
          <t>DP: Grid / 2D</t>
        </is>
      </c>
      <c r="G421" s="4" t="inlineStr">
        <is>
          <t>Accepted</t>
        </is>
      </c>
      <c r="H421" s="4" t="inlineStr">
        <is>
          <t>C++</t>
        </is>
      </c>
      <c r="I421" s="4" t="inlineStr">
        <is>
          <t>79 ms</t>
        </is>
      </c>
      <c r="J421" s="4" t="inlineStr">
        <is>
          <t>23.1 MB</t>
        </is>
      </c>
      <c r="K421" s="4" t="n">
        <v>23</v>
      </c>
      <c r="L421" s="4" t="inlineStr">
        <is>
          <t>59/59</t>
        </is>
      </c>
      <c r="M421" s="9" t="inlineStr">
        <is>
          <t>Submission 942963304</t>
        </is>
      </c>
      <c r="N421" s="4" t="inlineStr">
        <is>
          <t>Yes</t>
        </is>
      </c>
    </row>
    <row r="422">
      <c r="A422" s="11" t="n">
        <v>45048.74680555556</v>
      </c>
      <c r="B422" s="4" t="inlineStr">
        <is>
          <t>2023-05</t>
        </is>
      </c>
      <c r="C422" s="4" t="n">
        <v>1561</v>
      </c>
      <c r="D422" s="9" t="inlineStr">
        <is>
          <t>Maximum Number of Coins You Can Get</t>
        </is>
      </c>
      <c r="E422" s="4" t="inlineStr">
        <is>
          <t>Medium</t>
        </is>
      </c>
      <c r="F422" s="4" t="inlineStr">
        <is>
          <t>Greedy</t>
        </is>
      </c>
      <c r="G422" s="4" t="inlineStr">
        <is>
          <t>Accepted</t>
        </is>
      </c>
      <c r="H422" s="4" t="inlineStr">
        <is>
          <t>C++</t>
        </is>
      </c>
      <c r="I422" s="4" t="inlineStr">
        <is>
          <t>148 ms</t>
        </is>
      </c>
      <c r="J422" s="4" t="inlineStr">
        <is>
          <t>53.4 MB</t>
        </is>
      </c>
      <c r="K422" s="4" t="n">
        <v>5</v>
      </c>
      <c r="L422" s="4" t="inlineStr">
        <is>
          <t>116/116</t>
        </is>
      </c>
      <c r="M422" s="9" t="inlineStr">
        <is>
          <t>Submission 943198196</t>
        </is>
      </c>
      <c r="N422" s="4" t="inlineStr">
        <is>
          <t>Yes</t>
        </is>
      </c>
    </row>
    <row r="423">
      <c r="A423" s="11" t="n">
        <v>45049.46096064815</v>
      </c>
      <c r="B423" s="4" t="inlineStr">
        <is>
          <t>2023-05</t>
        </is>
      </c>
      <c r="C423" s="4" t="n">
        <v>72</v>
      </c>
      <c r="D423" s="9" t="inlineStr">
        <is>
          <t>Edit Distance</t>
        </is>
      </c>
      <c r="E423" s="4" t="inlineStr">
        <is>
          <t>Medium</t>
        </is>
      </c>
      <c r="F423" s="4" t="inlineStr">
        <is>
          <t>DP: Strings (LCS, Edit, Matching)</t>
        </is>
      </c>
      <c r="G423" s="4" t="inlineStr">
        <is>
          <t>Accepted</t>
        </is>
      </c>
      <c r="H423" s="4" t="inlineStr">
        <is>
          <t>C++</t>
        </is>
      </c>
      <c r="I423" s="4" t="inlineStr">
        <is>
          <t>4 ms</t>
        </is>
      </c>
      <c r="J423" s="4" t="inlineStr">
        <is>
          <t>9 MB</t>
        </is>
      </c>
      <c r="K423" s="4" t="n">
        <v>84.09999999999999</v>
      </c>
      <c r="L423" s="4" t="inlineStr">
        <is>
          <t>1146/1146</t>
        </is>
      </c>
      <c r="M423" s="9" t="inlineStr">
        <is>
          <t>Submission 943623300</t>
        </is>
      </c>
      <c r="N423" s="4" t="inlineStr">
        <is>
          <t>Yes</t>
        </is>
      </c>
    </row>
    <row r="424">
      <c r="A424" s="11" t="n">
        <v>45049.47234953703</v>
      </c>
      <c r="B424" s="4" t="inlineStr">
        <is>
          <t>2023-05</t>
        </is>
      </c>
      <c r="C424" s="4" t="n">
        <v>44</v>
      </c>
      <c r="D424" s="9" t="inlineStr">
        <is>
          <t>Wildcard Matching</t>
        </is>
      </c>
      <c r="E424" s="4" t="inlineStr">
        <is>
          <t>Hard</t>
        </is>
      </c>
      <c r="F424" s="4" t="inlineStr">
        <is>
          <t>DP: Strings (LCS, Edit, Matching)</t>
        </is>
      </c>
      <c r="G424" s="4" t="inlineStr">
        <is>
          <t>Time Limit Exceeded</t>
        </is>
      </c>
      <c r="H424" s="4" t="inlineStr">
        <is>
          <t>C++</t>
        </is>
      </c>
      <c r="I424" s="4" t="inlineStr">
        <is>
          <t>N/A</t>
        </is>
      </c>
      <c r="J424" s="4" t="inlineStr">
        <is>
          <t>N/A</t>
        </is>
      </c>
      <c r="K424" s="4" t="n"/>
      <c r="L424" s="4" t="inlineStr">
        <is>
          <t>1583/1811</t>
        </is>
      </c>
      <c r="M424" s="9" t="inlineStr">
        <is>
          <t>Submission 943630731</t>
        </is>
      </c>
      <c r="N424" s="4" t="inlineStr">
        <is>
          <t>Yes</t>
        </is>
      </c>
    </row>
    <row r="425">
      <c r="A425" s="11" t="n">
        <v>45049.47390046297</v>
      </c>
      <c r="B425" s="4" t="inlineStr">
        <is>
          <t>2023-05</t>
        </is>
      </c>
      <c r="C425" s="4" t="n">
        <v>44</v>
      </c>
      <c r="D425" s="9" t="inlineStr">
        <is>
          <t>Wildcard Matching</t>
        </is>
      </c>
      <c r="E425" s="4" t="inlineStr">
        <is>
          <t>Hard</t>
        </is>
      </c>
      <c r="F425" s="4" t="inlineStr">
        <is>
          <t>DP: Strings (LCS, Edit, Matching)</t>
        </is>
      </c>
      <c r="G425" s="4" t="inlineStr">
        <is>
          <t>Accepted</t>
        </is>
      </c>
      <c r="H425" s="4" t="inlineStr">
        <is>
          <t>C++</t>
        </is>
      </c>
      <c r="I425" s="4" t="inlineStr">
        <is>
          <t>53 ms</t>
        </is>
      </c>
      <c r="J425" s="4" t="inlineStr">
        <is>
          <t>27.4 MB</t>
        </is>
      </c>
      <c r="K425" s="4" t="n">
        <v>51</v>
      </c>
      <c r="L425" s="4" t="inlineStr">
        <is>
          <t>1811/1811</t>
        </is>
      </c>
      <c r="M425" s="9" t="inlineStr">
        <is>
          <t>Submission 943631756</t>
        </is>
      </c>
      <c r="N425" s="4" t="inlineStr">
        <is>
          <t>Yes</t>
        </is>
      </c>
    </row>
    <row r="426">
      <c r="A426" s="11" t="n">
        <v>45049.47445601852</v>
      </c>
      <c r="B426" s="4" t="inlineStr">
        <is>
          <t>2023-05</t>
        </is>
      </c>
      <c r="C426" s="4" t="n">
        <v>44</v>
      </c>
      <c r="D426" s="9" t="inlineStr">
        <is>
          <t>Wildcard Matching</t>
        </is>
      </c>
      <c r="E426" s="4" t="inlineStr">
        <is>
          <t>Hard</t>
        </is>
      </c>
      <c r="F426" s="4" t="inlineStr">
        <is>
          <t>DP: Strings (LCS, Edit, Matching)</t>
        </is>
      </c>
      <c r="G426" s="4" t="inlineStr">
        <is>
          <t>Accepted</t>
        </is>
      </c>
      <c r="H426" s="4" t="inlineStr">
        <is>
          <t>C++</t>
        </is>
      </c>
      <c r="I426" s="4" t="inlineStr">
        <is>
          <t>53 ms</t>
        </is>
      </c>
      <c r="J426" s="4" t="inlineStr">
        <is>
          <t>27.9 MB</t>
        </is>
      </c>
      <c r="K426" s="4" t="n">
        <v>51</v>
      </c>
      <c r="L426" s="4" t="inlineStr">
        <is>
          <t>1811/1811</t>
        </is>
      </c>
      <c r="M426" s="9" t="inlineStr">
        <is>
          <t>Submission 943632100</t>
        </is>
      </c>
      <c r="N426" s="4" t="inlineStr">
        <is>
          <t>Yes</t>
        </is>
      </c>
    </row>
    <row r="427">
      <c r="A427" s="11" t="n">
        <v>45049.49690972222</v>
      </c>
      <c r="B427" s="4" t="inlineStr">
        <is>
          <t>2023-05</t>
        </is>
      </c>
      <c r="C427" s="4" t="n">
        <v>122</v>
      </c>
      <c r="D427" s="9" t="inlineStr">
        <is>
          <t>Best Time to Buy and Sell Stock II</t>
        </is>
      </c>
      <c r="E427" s="4" t="inlineStr">
        <is>
          <t>Medium</t>
        </is>
      </c>
      <c r="F427" s="4" t="inlineStr">
        <is>
          <t>DP: Buy &amp; Sell Stock</t>
        </is>
      </c>
      <c r="G427" s="4" t="inlineStr">
        <is>
          <t>Time Limit Exceeded</t>
        </is>
      </c>
      <c r="H427" s="4" t="inlineStr">
        <is>
          <t>C++</t>
        </is>
      </c>
      <c r="I427" s="4" t="inlineStr">
        <is>
          <t>N/A</t>
        </is>
      </c>
      <c r="J427" s="4" t="inlineStr">
        <is>
          <t>N/A</t>
        </is>
      </c>
      <c r="K427" s="4" t="n"/>
      <c r="L427" s="4" t="inlineStr">
        <is>
          <t>198/200</t>
        </is>
      </c>
      <c r="M427" s="9" t="inlineStr">
        <is>
          <t>Submission 943647202</t>
        </is>
      </c>
      <c r="N427" s="4" t="inlineStr">
        <is>
          <t>Yes</t>
        </is>
      </c>
    </row>
    <row r="428">
      <c r="A428" s="11" t="n">
        <v>45049.49862268518</v>
      </c>
      <c r="B428" s="4" t="inlineStr">
        <is>
          <t>2023-05</t>
        </is>
      </c>
      <c r="C428" s="4" t="n">
        <v>122</v>
      </c>
      <c r="D428" s="9" t="inlineStr">
        <is>
          <t>Best Time to Buy and Sell Stock II</t>
        </is>
      </c>
      <c r="E428" s="4" t="inlineStr">
        <is>
          <t>Medium</t>
        </is>
      </c>
      <c r="F428" s="4" t="inlineStr">
        <is>
          <t>DP: Buy &amp; Sell Stock</t>
        </is>
      </c>
      <c r="G428" s="4" t="inlineStr">
        <is>
          <t>Accepted</t>
        </is>
      </c>
      <c r="H428" s="4" t="inlineStr">
        <is>
          <t>C++</t>
        </is>
      </c>
      <c r="I428" s="4" t="inlineStr">
        <is>
          <t>12 ms</t>
        </is>
      </c>
      <c r="J428" s="4" t="inlineStr">
        <is>
          <t>17.1 MB</t>
        </is>
      </c>
      <c r="K428" s="4" t="n">
        <v>20.9</v>
      </c>
      <c r="L428" s="4" t="inlineStr">
        <is>
          <t>200/200</t>
        </is>
      </c>
      <c r="M428" s="9" t="inlineStr">
        <is>
          <t>Submission 943648381</t>
        </is>
      </c>
      <c r="N428" s="4" t="inlineStr">
        <is>
          <t>Yes</t>
        </is>
      </c>
    </row>
    <row r="429">
      <c r="A429" s="11" t="n">
        <v>45049.49900462963</v>
      </c>
      <c r="B429" s="4" t="inlineStr">
        <is>
          <t>2023-05</t>
        </is>
      </c>
      <c r="C429" s="4" t="n">
        <v>122</v>
      </c>
      <c r="D429" s="9" t="inlineStr">
        <is>
          <t>Best Time to Buy and Sell Stock II</t>
        </is>
      </c>
      <c r="E429" s="4" t="inlineStr">
        <is>
          <t>Medium</t>
        </is>
      </c>
      <c r="F429" s="4" t="inlineStr">
        <is>
          <t>DP: Buy &amp; Sell Stock</t>
        </is>
      </c>
      <c r="G429" s="4" t="inlineStr">
        <is>
          <t>Accepted</t>
        </is>
      </c>
      <c r="H429" s="4" t="inlineStr">
        <is>
          <t>C++</t>
        </is>
      </c>
      <c r="I429" s="4" t="inlineStr">
        <is>
          <t>22 ms</t>
        </is>
      </c>
      <c r="J429" s="4" t="inlineStr">
        <is>
          <t>17.2 MB</t>
        </is>
      </c>
      <c r="K429" s="4" t="n">
        <v>5.1</v>
      </c>
      <c r="L429" s="4" t="inlineStr">
        <is>
          <t>200/200</t>
        </is>
      </c>
      <c r="M429" s="9" t="inlineStr">
        <is>
          <t>Submission 943648655</t>
        </is>
      </c>
      <c r="N429" s="4" t="inlineStr">
        <is>
          <t>Yes</t>
        </is>
      </c>
    </row>
    <row r="430">
      <c r="A430" s="11" t="n">
        <v>45049.510625</v>
      </c>
      <c r="B430" s="4" t="inlineStr">
        <is>
          <t>2023-05</t>
        </is>
      </c>
      <c r="C430" s="4" t="n">
        <v>122</v>
      </c>
      <c r="D430" s="9" t="inlineStr">
        <is>
          <t>Best Time to Buy and Sell Stock II</t>
        </is>
      </c>
      <c r="E430" s="4" t="inlineStr">
        <is>
          <t>Medium</t>
        </is>
      </c>
      <c r="F430" s="4" t="inlineStr">
        <is>
          <t>DP: Buy &amp; Sell Stock</t>
        </is>
      </c>
      <c r="G430" s="4" t="inlineStr">
        <is>
          <t>Accepted</t>
        </is>
      </c>
      <c r="H430" s="4" t="inlineStr">
        <is>
          <t>C++</t>
        </is>
      </c>
      <c r="I430" s="4" t="inlineStr">
        <is>
          <t>20 ms</t>
        </is>
      </c>
      <c r="J430" s="4" t="inlineStr">
        <is>
          <t>17.2 MB</t>
        </is>
      </c>
      <c r="K430" s="4" t="n">
        <v>5.1</v>
      </c>
      <c r="L430" s="4" t="inlineStr">
        <is>
          <t>200/200</t>
        </is>
      </c>
      <c r="M430" s="9" t="inlineStr">
        <is>
          <t>Submission 943656453</t>
        </is>
      </c>
      <c r="N430" s="4" t="inlineStr">
        <is>
          <t>Yes</t>
        </is>
      </c>
    </row>
    <row r="431">
      <c r="A431" s="11" t="n">
        <v>45049.52541666666</v>
      </c>
      <c r="B431" s="4" t="inlineStr">
        <is>
          <t>2023-05</t>
        </is>
      </c>
      <c r="C431" s="4" t="n">
        <v>123</v>
      </c>
      <c r="D431" s="9" t="inlineStr">
        <is>
          <t>Best Time to Buy and Sell Stock III</t>
        </is>
      </c>
      <c r="E431" s="4" t="inlineStr">
        <is>
          <t>Hard</t>
        </is>
      </c>
      <c r="F431" s="4" t="inlineStr">
        <is>
          <t>DP: Buy &amp; Sell Stock</t>
        </is>
      </c>
      <c r="G431" s="4" t="inlineStr">
        <is>
          <t>Accepted</t>
        </is>
      </c>
      <c r="H431" s="4" t="inlineStr">
        <is>
          <t>C++</t>
        </is>
      </c>
      <c r="I431" s="4" t="inlineStr">
        <is>
          <t>781 ms</t>
        </is>
      </c>
      <c r="J431" s="4" t="inlineStr">
        <is>
          <t>216.3 MB</t>
        </is>
      </c>
      <c r="K431" s="4" t="n">
        <v>5</v>
      </c>
      <c r="L431" s="4" t="inlineStr">
        <is>
          <t>214/214</t>
        </is>
      </c>
      <c r="M431" s="9" t="inlineStr">
        <is>
          <t>Submission 943665836</t>
        </is>
      </c>
      <c r="N431" s="4" t="inlineStr">
        <is>
          <t>Yes</t>
        </is>
      </c>
    </row>
    <row r="432">
      <c r="A432" s="11" t="n">
        <v>45049.52603009259</v>
      </c>
      <c r="B432" s="4" t="inlineStr">
        <is>
          <t>2023-05</t>
        </is>
      </c>
      <c r="C432" s="4" t="n">
        <v>188</v>
      </c>
      <c r="D432" s="9" t="inlineStr">
        <is>
          <t>Best Time to Buy and Sell Stock IV</t>
        </is>
      </c>
      <c r="E432" s="4" t="inlineStr">
        <is>
          <t>Hard</t>
        </is>
      </c>
      <c r="F432" s="4" t="inlineStr">
        <is>
          <t>DP: Buy &amp; Sell Stock</t>
        </is>
      </c>
      <c r="G432" s="4" t="inlineStr">
        <is>
          <t>Accepted</t>
        </is>
      </c>
      <c r="H432" s="4" t="inlineStr">
        <is>
          <t>C++</t>
        </is>
      </c>
      <c r="I432" s="4" t="inlineStr">
        <is>
          <t>38 ms</t>
        </is>
      </c>
      <c r="J432" s="4" t="inlineStr">
        <is>
          <t>14.6 MB</t>
        </is>
      </c>
      <c r="K432" s="4" t="n">
        <v>12.3</v>
      </c>
      <c r="L432" s="4" t="inlineStr">
        <is>
          <t>210/210</t>
        </is>
      </c>
      <c r="M432" s="9" t="inlineStr">
        <is>
          <t>Submission 943666197</t>
        </is>
      </c>
      <c r="N432" s="4" t="inlineStr">
        <is>
          <t>Yes</t>
        </is>
      </c>
    </row>
    <row r="433">
      <c r="A433" s="11" t="n">
        <v>45049.53793981481</v>
      </c>
      <c r="B433" s="4" t="inlineStr">
        <is>
          <t>2023-05</t>
        </is>
      </c>
      <c r="C433" s="4" t="n">
        <v>188</v>
      </c>
      <c r="D433" s="9" t="inlineStr">
        <is>
          <t>Best Time to Buy and Sell Stock IV</t>
        </is>
      </c>
      <c r="E433" s="4" t="inlineStr">
        <is>
          <t>Hard</t>
        </is>
      </c>
      <c r="F433" s="4" t="inlineStr">
        <is>
          <t>DP: Buy &amp; Sell Stock</t>
        </is>
      </c>
      <c r="G433" s="4" t="inlineStr">
        <is>
          <t>Accepted</t>
        </is>
      </c>
      <c r="H433" s="4" t="inlineStr">
        <is>
          <t>C++</t>
        </is>
      </c>
      <c r="I433" s="4" t="inlineStr">
        <is>
          <t>61 ms</t>
        </is>
      </c>
      <c r="J433" s="4" t="inlineStr">
        <is>
          <t>17.8 MB</t>
        </is>
      </c>
      <c r="K433" s="4" t="n">
        <v>6.5</v>
      </c>
      <c r="L433" s="4" t="inlineStr">
        <is>
          <t>210/210</t>
        </is>
      </c>
      <c r="M433" s="9" t="inlineStr">
        <is>
          <t>Submission 943673458</t>
        </is>
      </c>
      <c r="N433" s="4" t="inlineStr">
        <is>
          <t>Yes</t>
        </is>
      </c>
    </row>
    <row r="434">
      <c r="A434" s="11" t="n">
        <v>45049.53805555555</v>
      </c>
      <c r="B434" s="4" t="inlineStr">
        <is>
          <t>2023-05</t>
        </is>
      </c>
      <c r="C434" s="4" t="n">
        <v>123</v>
      </c>
      <c r="D434" s="9" t="inlineStr">
        <is>
          <t>Best Time to Buy and Sell Stock III</t>
        </is>
      </c>
      <c r="E434" s="4" t="inlineStr">
        <is>
          <t>Hard</t>
        </is>
      </c>
      <c r="F434" s="4" t="inlineStr">
        <is>
          <t>DP: Buy &amp; Sell Stock</t>
        </is>
      </c>
      <c r="G434" s="4" t="inlineStr">
        <is>
          <t>Accepted</t>
        </is>
      </c>
      <c r="H434" s="4" t="inlineStr">
        <is>
          <t>C++</t>
        </is>
      </c>
      <c r="I434" s="4" t="inlineStr">
        <is>
          <t>1556 ms</t>
        </is>
      </c>
      <c r="J434" s="4" t="inlineStr">
        <is>
          <t>348.1 MB</t>
        </is>
      </c>
      <c r="K434" s="4" t="n">
        <v>5</v>
      </c>
      <c r="L434" s="4" t="inlineStr">
        <is>
          <t>214/214</t>
        </is>
      </c>
      <c r="M434" s="9" t="inlineStr">
        <is>
          <t>Submission 943673522</t>
        </is>
      </c>
      <c r="N434" s="4" t="inlineStr">
        <is>
          <t>Yes</t>
        </is>
      </c>
    </row>
    <row r="435">
      <c r="A435" s="11" t="n">
        <v>45049.54412037037</v>
      </c>
      <c r="B435" s="4" t="inlineStr">
        <is>
          <t>2023-05</t>
        </is>
      </c>
      <c r="C435" s="4" t="n">
        <v>123</v>
      </c>
      <c r="D435" s="9" t="inlineStr">
        <is>
          <t>Best Time to Buy and Sell Stock III</t>
        </is>
      </c>
      <c r="E435" s="4" t="inlineStr">
        <is>
          <t>Hard</t>
        </is>
      </c>
      <c r="F435" s="4" t="inlineStr">
        <is>
          <t>DP: Buy &amp; Sell Stock</t>
        </is>
      </c>
      <c r="G435" s="4" t="inlineStr">
        <is>
          <t>Accepted</t>
        </is>
      </c>
      <c r="H435" s="4" t="inlineStr">
        <is>
          <t>C++</t>
        </is>
      </c>
      <c r="I435" s="4" t="inlineStr">
        <is>
          <t>1406 ms</t>
        </is>
      </c>
      <c r="J435" s="4" t="inlineStr">
        <is>
          <t>348.3 MB</t>
        </is>
      </c>
      <c r="K435" s="4" t="n">
        <v>5</v>
      </c>
      <c r="L435" s="4" t="inlineStr">
        <is>
          <t>214/214</t>
        </is>
      </c>
      <c r="M435" s="9" t="inlineStr">
        <is>
          <t>Submission 943677205</t>
        </is>
      </c>
      <c r="N435" s="4" t="inlineStr">
        <is>
          <t>Yes</t>
        </is>
      </c>
    </row>
    <row r="436">
      <c r="A436" s="11" t="n">
        <v>45049.54759259259</v>
      </c>
      <c r="B436" s="4" t="inlineStr">
        <is>
          <t>2023-05</t>
        </is>
      </c>
      <c r="C436" s="4" t="n">
        <v>188</v>
      </c>
      <c r="D436" s="9" t="inlineStr">
        <is>
          <t>Best Time to Buy and Sell Stock IV</t>
        </is>
      </c>
      <c r="E436" s="4" t="inlineStr">
        <is>
          <t>Hard</t>
        </is>
      </c>
      <c r="F436" s="4" t="inlineStr">
        <is>
          <t>DP: Buy &amp; Sell Stock</t>
        </is>
      </c>
      <c r="G436" s="4" t="inlineStr">
        <is>
          <t>Wrong Answer</t>
        </is>
      </c>
      <c r="H436" s="4" t="inlineStr">
        <is>
          <t>C++</t>
        </is>
      </c>
      <c r="I436" s="4" t="inlineStr">
        <is>
          <t>N/A</t>
        </is>
      </c>
      <c r="J436" s="4" t="inlineStr">
        <is>
          <t>N/A</t>
        </is>
      </c>
      <c r="K436" s="4" t="n"/>
      <c r="L436" s="4" t="inlineStr">
        <is>
          <t>176/210</t>
        </is>
      </c>
      <c r="M436" s="9" t="inlineStr">
        <is>
          <t>Submission 943679163</t>
        </is>
      </c>
      <c r="N436" s="4" t="inlineStr">
        <is>
          <t>Yes</t>
        </is>
      </c>
    </row>
    <row r="437">
      <c r="A437" s="11" t="n">
        <v>45049.5490162037</v>
      </c>
      <c r="B437" s="4" t="inlineStr">
        <is>
          <t>2023-05</t>
        </is>
      </c>
      <c r="C437" s="4" t="n">
        <v>123</v>
      </c>
      <c r="D437" s="9" t="inlineStr">
        <is>
          <t>Best Time to Buy and Sell Stock III</t>
        </is>
      </c>
      <c r="E437" s="4" t="inlineStr">
        <is>
          <t>Hard</t>
        </is>
      </c>
      <c r="F437" s="4" t="inlineStr">
        <is>
          <t>DP: Buy &amp; Sell Stock</t>
        </is>
      </c>
      <c r="G437" s="4" t="inlineStr">
        <is>
          <t>Accepted</t>
        </is>
      </c>
      <c r="H437" s="4" t="inlineStr">
        <is>
          <t>C++</t>
        </is>
      </c>
      <c r="I437" s="4" t="inlineStr">
        <is>
          <t>1342 ms</t>
        </is>
      </c>
      <c r="J437" s="4" t="inlineStr">
        <is>
          <t>338.8 MB</t>
        </is>
      </c>
      <c r="K437" s="4" t="n">
        <v>5</v>
      </c>
      <c r="L437" s="4" t="inlineStr">
        <is>
          <t>214/214</t>
        </is>
      </c>
      <c r="M437" s="9" t="inlineStr">
        <is>
          <t>Submission 943680000</t>
        </is>
      </c>
      <c r="N437" s="4" t="inlineStr">
        <is>
          <t>Yes</t>
        </is>
      </c>
    </row>
    <row r="438">
      <c r="A438" s="11" t="n">
        <v>45049.55282407408</v>
      </c>
      <c r="B438" s="4" t="inlineStr">
        <is>
          <t>2023-05</t>
        </is>
      </c>
      <c r="C438" s="4" t="n">
        <v>188</v>
      </c>
      <c r="D438" s="9" t="inlineStr">
        <is>
          <t>Best Time to Buy and Sell Stock IV</t>
        </is>
      </c>
      <c r="E438" s="4" t="inlineStr">
        <is>
          <t>Hard</t>
        </is>
      </c>
      <c r="F438" s="4" t="inlineStr">
        <is>
          <t>DP: Buy &amp; Sell Stock</t>
        </is>
      </c>
      <c r="G438" s="4" t="inlineStr">
        <is>
          <t>Accepted</t>
        </is>
      </c>
      <c r="H438" s="4" t="inlineStr">
        <is>
          <t>C++</t>
        </is>
      </c>
      <c r="I438" s="4" t="inlineStr">
        <is>
          <t>31 ms</t>
        </is>
      </c>
      <c r="J438" s="4" t="inlineStr">
        <is>
          <t>17.8 MB</t>
        </is>
      </c>
      <c r="K438" s="4" t="n">
        <v>12.5</v>
      </c>
      <c r="L438" s="4" t="inlineStr">
        <is>
          <t>210/210</t>
        </is>
      </c>
      <c r="M438" s="9" t="inlineStr">
        <is>
          <t>Submission 943682206</t>
        </is>
      </c>
      <c r="N438" s="4" t="inlineStr">
        <is>
          <t>Yes</t>
        </is>
      </c>
    </row>
    <row r="439">
      <c r="A439" s="11" t="n">
        <v>45049.55384259259</v>
      </c>
      <c r="B439" s="4" t="inlineStr">
        <is>
          <t>2023-05</t>
        </is>
      </c>
      <c r="C439" s="4" t="n">
        <v>123</v>
      </c>
      <c r="D439" s="9" t="inlineStr">
        <is>
          <t>Best Time to Buy and Sell Stock III</t>
        </is>
      </c>
      <c r="E439" s="4" t="inlineStr">
        <is>
          <t>Hard</t>
        </is>
      </c>
      <c r="F439" s="4" t="inlineStr">
        <is>
          <t>DP: Buy &amp; Sell Stock</t>
        </is>
      </c>
      <c r="G439" s="4" t="inlineStr">
        <is>
          <t>Accepted</t>
        </is>
      </c>
      <c r="H439" s="4" t="inlineStr">
        <is>
          <t>C++</t>
        </is>
      </c>
      <c r="I439" s="4" t="inlineStr">
        <is>
          <t>759 ms</t>
        </is>
      </c>
      <c r="J439" s="4" t="inlineStr">
        <is>
          <t>207 MB</t>
        </is>
      </c>
      <c r="K439" s="4" t="n">
        <v>5</v>
      </c>
      <c r="L439" s="4" t="inlineStr">
        <is>
          <t>214/214</t>
        </is>
      </c>
      <c r="M439" s="9" t="inlineStr">
        <is>
          <t>Submission 943682793</t>
        </is>
      </c>
      <c r="N439" s="4" t="inlineStr">
        <is>
          <t>Yes</t>
        </is>
      </c>
    </row>
    <row r="440">
      <c r="A440" s="11" t="n">
        <v>45049.56072916667</v>
      </c>
      <c r="B440" s="4" t="inlineStr">
        <is>
          <t>2023-05</t>
        </is>
      </c>
      <c r="C440" s="4" t="n">
        <v>188</v>
      </c>
      <c r="D440" s="9" t="inlineStr">
        <is>
          <t>Best Time to Buy and Sell Stock IV</t>
        </is>
      </c>
      <c r="E440" s="4" t="inlineStr">
        <is>
          <t>Hard</t>
        </is>
      </c>
      <c r="F440" s="4" t="inlineStr">
        <is>
          <t>DP: Buy &amp; Sell Stock</t>
        </is>
      </c>
      <c r="G440" s="4" t="inlineStr">
        <is>
          <t>Accepted</t>
        </is>
      </c>
      <c r="H440" s="4" t="inlineStr">
        <is>
          <t>C++</t>
        </is>
      </c>
      <c r="I440" s="4" t="inlineStr">
        <is>
          <t>21 ms</t>
        </is>
      </c>
      <c r="J440" s="4" t="inlineStr">
        <is>
          <t>17.9 MB</t>
        </is>
      </c>
      <c r="K440" s="4" t="n">
        <v>13.6</v>
      </c>
      <c r="L440" s="4" t="inlineStr">
        <is>
          <t>210/210</t>
        </is>
      </c>
      <c r="M440" s="9" t="inlineStr">
        <is>
          <t>Submission 943687014</t>
        </is>
      </c>
      <c r="N440" s="4" t="inlineStr">
        <is>
          <t>Yes</t>
        </is>
      </c>
    </row>
    <row r="441">
      <c r="A441" s="11" t="n">
        <v>45049.57361111111</v>
      </c>
      <c r="B441" s="4" t="inlineStr">
        <is>
          <t>2023-05</t>
        </is>
      </c>
      <c r="C441" s="4" t="n">
        <v>309</v>
      </c>
      <c r="D441" s="9" t="inlineStr">
        <is>
          <t>Best Time to Buy and Sell Stock with Cooldown</t>
        </is>
      </c>
      <c r="E441" s="4" t="inlineStr">
        <is>
          <t>Medium</t>
        </is>
      </c>
      <c r="F441" s="4" t="inlineStr">
        <is>
          <t>DP: Buy &amp; Sell Stock</t>
        </is>
      </c>
      <c r="G441" s="4" t="inlineStr">
        <is>
          <t>Accepted</t>
        </is>
      </c>
      <c r="H441" s="4" t="inlineStr">
        <is>
          <t>C++</t>
        </is>
      </c>
      <c r="I441" s="4" t="inlineStr">
        <is>
          <t>9 ms</t>
        </is>
      </c>
      <c r="J441" s="4" t="inlineStr">
        <is>
          <t>12 MB</t>
        </is>
      </c>
      <c r="K441" s="4" t="n">
        <v>6.1</v>
      </c>
      <c r="L441" s="4" t="inlineStr">
        <is>
          <t>210/210</t>
        </is>
      </c>
      <c r="M441" s="9" t="inlineStr">
        <is>
          <t>Submission 943694651</t>
        </is>
      </c>
      <c r="N441" s="4" t="inlineStr">
        <is>
          <t>Yes</t>
        </is>
      </c>
    </row>
    <row r="442">
      <c r="A442" s="11" t="n">
        <v>45049.57559027777</v>
      </c>
      <c r="B442" s="4" t="inlineStr">
        <is>
          <t>2023-05</t>
        </is>
      </c>
      <c r="C442" s="4" t="n">
        <v>714</v>
      </c>
      <c r="D442" s="9" t="inlineStr">
        <is>
          <t>Best Time to Buy and Sell Stock with Transaction Fee</t>
        </is>
      </c>
      <c r="E442" s="4" t="inlineStr">
        <is>
          <t>Medium</t>
        </is>
      </c>
      <c r="F442" s="4" t="inlineStr">
        <is>
          <t>DP: Buy &amp; Sell Stock</t>
        </is>
      </c>
      <c r="G442" s="4" t="inlineStr">
        <is>
          <t>Accepted</t>
        </is>
      </c>
      <c r="H442" s="4" t="inlineStr">
        <is>
          <t>C++</t>
        </is>
      </c>
      <c r="I442" s="4" t="inlineStr">
        <is>
          <t>275 ms</t>
        </is>
      </c>
      <c r="J442" s="4" t="inlineStr">
        <is>
          <t>94.6 MB</t>
        </is>
      </c>
      <c r="K442" s="4" t="n">
        <v>5.3</v>
      </c>
      <c r="L442" s="4" t="inlineStr">
        <is>
          <t>44/44</t>
        </is>
      </c>
      <c r="M442" s="9" t="inlineStr">
        <is>
          <t>Submission 943695800</t>
        </is>
      </c>
      <c r="N442" s="4" t="inlineStr">
        <is>
          <t>Yes</t>
        </is>
      </c>
    </row>
    <row r="443">
      <c r="A443" s="11" t="n">
        <v>45049.78934027778</v>
      </c>
      <c r="B443" s="4" t="inlineStr">
        <is>
          <t>2023-05</t>
        </is>
      </c>
      <c r="C443" s="4" t="n">
        <v>300</v>
      </c>
      <c r="D443" s="9" t="inlineStr">
        <is>
          <t>Longest Increasing Subsequence</t>
        </is>
      </c>
      <c r="E443" s="4" t="inlineStr">
        <is>
          <t>Medium</t>
        </is>
      </c>
      <c r="F443" s="4" t="inlineStr">
        <is>
          <t>DP: LIS Family</t>
        </is>
      </c>
      <c r="G443" s="4" t="inlineStr">
        <is>
          <t>Accepted</t>
        </is>
      </c>
      <c r="H443" s="4" t="inlineStr">
        <is>
          <t>C++</t>
        </is>
      </c>
      <c r="I443" s="4" t="inlineStr">
        <is>
          <t>1055 ms</t>
        </is>
      </c>
      <c r="J443" s="4" t="inlineStr">
        <is>
          <t>572.2 MB</t>
        </is>
      </c>
      <c r="K443" s="4" t="n">
        <v>5</v>
      </c>
      <c r="L443" s="4" t="inlineStr">
        <is>
          <t>54/54</t>
        </is>
      </c>
      <c r="M443" s="9" t="inlineStr">
        <is>
          <t>Submission 943813582</t>
        </is>
      </c>
      <c r="N443" s="4" t="inlineStr">
        <is>
          <t>Yes</t>
        </is>
      </c>
    </row>
    <row r="444">
      <c r="A444" s="11" t="n">
        <v>45049.79085648148</v>
      </c>
      <c r="B444" s="4" t="inlineStr">
        <is>
          <t>2023-05</t>
        </is>
      </c>
      <c r="C444" s="4" t="n">
        <v>300</v>
      </c>
      <c r="D444" s="9" t="inlineStr">
        <is>
          <t>Longest Increasing Subsequence</t>
        </is>
      </c>
      <c r="E444" s="4" t="inlineStr">
        <is>
          <t>Medium</t>
        </is>
      </c>
      <c r="F444" s="4" t="inlineStr">
        <is>
          <t>DP: LIS Family</t>
        </is>
      </c>
      <c r="G444" s="4" t="inlineStr">
        <is>
          <t>Accepted</t>
        </is>
      </c>
      <c r="H444" s="4" t="inlineStr">
        <is>
          <t>C++</t>
        </is>
      </c>
      <c r="I444" s="4" t="inlineStr">
        <is>
          <t>728 ms</t>
        </is>
      </c>
      <c r="J444" s="4" t="inlineStr">
        <is>
          <t>292.5 MB</t>
        </is>
      </c>
      <c r="K444" s="4" t="n">
        <v>5</v>
      </c>
      <c r="L444" s="4" t="inlineStr">
        <is>
          <t>54/54</t>
        </is>
      </c>
      <c r="M444" s="9" t="inlineStr">
        <is>
          <t>Submission 943814542</t>
        </is>
      </c>
      <c r="N444" s="4" t="inlineStr">
        <is>
          <t>Yes</t>
        </is>
      </c>
    </row>
    <row r="445">
      <c r="A445" s="11" t="n">
        <v>45049.79380787037</v>
      </c>
      <c r="B445" s="4" t="inlineStr">
        <is>
          <t>2023-05</t>
        </is>
      </c>
      <c r="C445" s="4" t="n">
        <v>300</v>
      </c>
      <c r="D445" s="9" t="inlineStr">
        <is>
          <t>Longest Increasing Subsequence</t>
        </is>
      </c>
      <c r="E445" s="4" t="inlineStr">
        <is>
          <t>Medium</t>
        </is>
      </c>
      <c r="F445" s="4" t="inlineStr">
        <is>
          <t>DP: LIS Family</t>
        </is>
      </c>
      <c r="G445" s="4" t="inlineStr">
        <is>
          <t>Accepted</t>
        </is>
      </c>
      <c r="H445" s="4" t="inlineStr">
        <is>
          <t>C++</t>
        </is>
      </c>
      <c r="I445" s="4" t="inlineStr">
        <is>
          <t>495 ms</t>
        </is>
      </c>
      <c r="J445" s="4" t="inlineStr">
        <is>
          <t>292.3 MB</t>
        </is>
      </c>
      <c r="K445" s="4" t="n">
        <v>22.9</v>
      </c>
      <c r="L445" s="4" t="inlineStr">
        <is>
          <t>54/54</t>
        </is>
      </c>
      <c r="M445" s="9" t="inlineStr">
        <is>
          <t>Submission 943816431</t>
        </is>
      </c>
      <c r="N445" s="4" t="inlineStr">
        <is>
          <t>Yes</t>
        </is>
      </c>
    </row>
    <row r="446">
      <c r="A446" s="11" t="n">
        <v>45049.79506944444</v>
      </c>
      <c r="B446" s="4" t="inlineStr">
        <is>
          <t>2023-05</t>
        </is>
      </c>
      <c r="C446" s="4" t="n">
        <v>300</v>
      </c>
      <c r="D446" s="9" t="inlineStr">
        <is>
          <t>Longest Increasing Subsequence</t>
        </is>
      </c>
      <c r="E446" s="4" t="inlineStr">
        <is>
          <t>Medium</t>
        </is>
      </c>
      <c r="F446" s="4" t="inlineStr">
        <is>
          <t>DP: LIS Family</t>
        </is>
      </c>
      <c r="G446" s="4" t="inlineStr">
        <is>
          <t>Accepted</t>
        </is>
      </c>
      <c r="H446" s="4" t="inlineStr">
        <is>
          <t>C++</t>
        </is>
      </c>
      <c r="I446" s="4" t="inlineStr">
        <is>
          <t>376 ms</t>
        </is>
      </c>
      <c r="J446" s="4" t="inlineStr">
        <is>
          <t>292.3 MB</t>
        </is>
      </c>
      <c r="K446" s="4" t="n">
        <v>26.8</v>
      </c>
      <c r="L446" s="4" t="inlineStr">
        <is>
          <t>54/54</t>
        </is>
      </c>
      <c r="M446" s="9" t="inlineStr">
        <is>
          <t>Submission 943817237</t>
        </is>
      </c>
      <c r="N446" s="4" t="inlineStr">
        <is>
          <t>Yes</t>
        </is>
      </c>
    </row>
    <row r="447">
      <c r="A447" s="11" t="n">
        <v>45049.80629629629</v>
      </c>
      <c r="B447" s="4" t="inlineStr">
        <is>
          <t>2023-05</t>
        </is>
      </c>
      <c r="C447" s="4" t="n">
        <v>300</v>
      </c>
      <c r="D447" s="9" t="inlineStr">
        <is>
          <t>Longest Increasing Subsequence</t>
        </is>
      </c>
      <c r="E447" s="4" t="inlineStr">
        <is>
          <t>Medium</t>
        </is>
      </c>
      <c r="F447" s="4" t="inlineStr">
        <is>
          <t>DP: LIS Family</t>
        </is>
      </c>
      <c r="G447" s="4" t="inlineStr">
        <is>
          <t>Accepted</t>
        </is>
      </c>
      <c r="H447" s="4" t="inlineStr">
        <is>
          <t>C++</t>
        </is>
      </c>
      <c r="I447" s="4" t="inlineStr">
        <is>
          <t>394 ms</t>
        </is>
      </c>
      <c r="J447" s="4" t="inlineStr">
        <is>
          <t>292.6 MB</t>
        </is>
      </c>
      <c r="K447" s="4" t="n">
        <v>26.2</v>
      </c>
      <c r="L447" s="4" t="inlineStr">
        <is>
          <t>54/54</t>
        </is>
      </c>
      <c r="M447" s="9" t="inlineStr">
        <is>
          <t>Submission 943824540</t>
        </is>
      </c>
      <c r="N447" s="4" t="inlineStr">
        <is>
          <t>Yes</t>
        </is>
      </c>
    </row>
    <row r="448">
      <c r="A448" s="11" t="n">
        <v>45050.27410879629</v>
      </c>
      <c r="B448" s="4" t="inlineStr">
        <is>
          <t>2023-05</t>
        </is>
      </c>
      <c r="C448" s="4" t="n">
        <v>300</v>
      </c>
      <c r="D448" s="9" t="inlineStr">
        <is>
          <t>Longest Increasing Subsequence</t>
        </is>
      </c>
      <c r="E448" s="4" t="inlineStr">
        <is>
          <t>Medium</t>
        </is>
      </c>
      <c r="F448" s="4" t="inlineStr">
        <is>
          <t>DP: LIS Family</t>
        </is>
      </c>
      <c r="G448" s="4" t="inlineStr">
        <is>
          <t>Accepted</t>
        </is>
      </c>
      <c r="H448" s="4" t="inlineStr">
        <is>
          <t>C++</t>
        </is>
      </c>
      <c r="I448" s="4" t="inlineStr">
        <is>
          <t>91 ms</t>
        </is>
      </c>
      <c r="J448" s="4" t="inlineStr">
        <is>
          <t>292.3 MB</t>
        </is>
      </c>
      <c r="K448" s="4" t="n">
        <v>40.3</v>
      </c>
      <c r="L448" s="4" t="inlineStr">
        <is>
          <t>54/54</t>
        </is>
      </c>
      <c r="M448" s="9" t="inlineStr">
        <is>
          <t>Submission 944091398</t>
        </is>
      </c>
      <c r="N448" s="4" t="inlineStr">
        <is>
          <t>Yes</t>
        </is>
      </c>
    </row>
    <row r="449">
      <c r="A449" s="11" t="n">
        <v>45050.28131944445</v>
      </c>
      <c r="B449" s="4" t="inlineStr">
        <is>
          <t>2023-05</t>
        </is>
      </c>
      <c r="C449" s="4" t="n">
        <v>368</v>
      </c>
      <c r="D449" s="9" t="inlineStr">
        <is>
          <t>Largest Divisible Subset</t>
        </is>
      </c>
      <c r="E449" s="4" t="inlineStr">
        <is>
          <t>Medium</t>
        </is>
      </c>
      <c r="F449" s="4" t="inlineStr">
        <is>
          <t>DP: LIS Family</t>
        </is>
      </c>
      <c r="G449" s="4" t="inlineStr">
        <is>
          <t>Accepted</t>
        </is>
      </c>
      <c r="H449" s="4" t="inlineStr">
        <is>
          <t>C++</t>
        </is>
      </c>
      <c r="I449" s="4" t="inlineStr">
        <is>
          <t>72 ms</t>
        </is>
      </c>
      <c r="J449" s="4" t="inlineStr">
        <is>
          <t>8.9 MB</t>
        </is>
      </c>
      <c r="K449" s="4" t="n">
        <v>8.1</v>
      </c>
      <c r="L449" s="4" t="inlineStr">
        <is>
          <t>49/49</t>
        </is>
      </c>
      <c r="M449" s="9" t="inlineStr">
        <is>
          <t>Submission 944094141</t>
        </is>
      </c>
      <c r="N449" s="4" t="inlineStr">
        <is>
          <t>Yes</t>
        </is>
      </c>
    </row>
    <row r="450">
      <c r="A450" s="11" t="n">
        <v>45050.36623842592</v>
      </c>
      <c r="B450" s="4" t="inlineStr">
        <is>
          <t>2023-05</t>
        </is>
      </c>
      <c r="C450" s="4" t="n">
        <v>1547</v>
      </c>
      <c r="D450" s="9" t="inlineStr">
        <is>
          <t>Minimum Cost to Cut a Stick</t>
        </is>
      </c>
      <c r="E450" s="4" t="inlineStr">
        <is>
          <t>Hard</t>
        </is>
      </c>
      <c r="F450" s="4" t="inlineStr">
        <is>
          <t>DP: Partition / Interval (MCM)</t>
        </is>
      </c>
      <c r="G450" s="4" t="inlineStr">
        <is>
          <t>Accepted</t>
        </is>
      </c>
      <c r="H450" s="4" t="inlineStr">
        <is>
          <t>C++</t>
        </is>
      </c>
      <c r="I450" s="4" t="inlineStr">
        <is>
          <t>144 ms</t>
        </is>
      </c>
      <c r="J450" s="4" t="inlineStr">
        <is>
          <t>10.4 MB</t>
        </is>
      </c>
      <c r="K450" s="4" t="n">
        <v>5.2</v>
      </c>
      <c r="L450" s="4" t="inlineStr">
        <is>
          <t>100/100</t>
        </is>
      </c>
      <c r="M450" s="9" t="inlineStr">
        <is>
          <t>Submission 944131291</t>
        </is>
      </c>
      <c r="N450" s="4" t="inlineStr">
        <is>
          <t>Yes</t>
        </is>
      </c>
    </row>
    <row r="451">
      <c r="A451" s="11" t="n">
        <v>45050.36858796296</v>
      </c>
      <c r="B451" s="4" t="inlineStr">
        <is>
          <t>2023-05</t>
        </is>
      </c>
      <c r="C451" s="4" t="n">
        <v>1547</v>
      </c>
      <c r="D451" s="9" t="inlineStr">
        <is>
          <t>Minimum Cost to Cut a Stick</t>
        </is>
      </c>
      <c r="E451" s="4" t="inlineStr">
        <is>
          <t>Hard</t>
        </is>
      </c>
      <c r="F451" s="4" t="inlineStr">
        <is>
          <t>DP: Partition / Interval (MCM)</t>
        </is>
      </c>
      <c r="G451" s="4" t="inlineStr">
        <is>
          <t>Accepted</t>
        </is>
      </c>
      <c r="H451" s="4" t="inlineStr">
        <is>
          <t>C++</t>
        </is>
      </c>
      <c r="I451" s="4" t="inlineStr">
        <is>
          <t>143 ms</t>
        </is>
      </c>
      <c r="J451" s="4" t="inlineStr">
        <is>
          <t>10.1 MB</t>
        </is>
      </c>
      <c r="K451" s="4" t="n">
        <v>5.2</v>
      </c>
      <c r="L451" s="4" t="inlineStr">
        <is>
          <t>100/100</t>
        </is>
      </c>
      <c r="M451" s="9" t="inlineStr">
        <is>
          <t>Submission 944132427</t>
        </is>
      </c>
      <c r="N451" s="4" t="inlineStr">
        <is>
          <t>Yes</t>
        </is>
      </c>
    </row>
    <row r="452">
      <c r="A452" s="11" t="n">
        <v>45050.37310185185</v>
      </c>
      <c r="B452" s="4" t="inlineStr">
        <is>
          <t>2023-05</t>
        </is>
      </c>
      <c r="C452" s="4" t="n">
        <v>312</v>
      </c>
      <c r="D452" s="9" t="inlineStr">
        <is>
          <t>Burst Balloons</t>
        </is>
      </c>
      <c r="E452" s="4" t="inlineStr">
        <is>
          <t>Hard</t>
        </is>
      </c>
      <c r="F452" s="4" t="inlineStr">
        <is>
          <t>DP: Partition / Interval (MCM)</t>
        </is>
      </c>
      <c r="G452" s="4" t="inlineStr">
        <is>
          <t>Accepted</t>
        </is>
      </c>
      <c r="H452" s="4" t="inlineStr">
        <is>
          <t>C++</t>
        </is>
      </c>
      <c r="I452" s="4" t="inlineStr">
        <is>
          <t>818 ms</t>
        </is>
      </c>
      <c r="J452" s="4" t="inlineStr">
        <is>
          <t>10.5 MB</t>
        </is>
      </c>
      <c r="K452" s="4" t="n">
        <v>5.1</v>
      </c>
      <c r="L452" s="4" t="inlineStr">
        <is>
          <t>73/73</t>
        </is>
      </c>
      <c r="M452" s="9" t="inlineStr">
        <is>
          <t>Submission 944134740</t>
        </is>
      </c>
      <c r="N452" s="4" t="inlineStr">
        <is>
          <t>Yes</t>
        </is>
      </c>
    </row>
    <row r="453">
      <c r="A453" s="11" t="n">
        <v>45050.42123842592</v>
      </c>
      <c r="B453" s="4" t="inlineStr">
        <is>
          <t>2023-05</t>
        </is>
      </c>
      <c r="C453" s="4" t="n">
        <v>132</v>
      </c>
      <c r="D453" s="9" t="inlineStr">
        <is>
          <t>Palindrome Partitioning II</t>
        </is>
      </c>
      <c r="E453" s="4" t="inlineStr">
        <is>
          <t>Hard</t>
        </is>
      </c>
      <c r="F453" s="4" t="inlineStr">
        <is>
          <t>DP: Partition / Interval (MCM)</t>
        </is>
      </c>
      <c r="G453" s="4" t="inlineStr">
        <is>
          <t>Accepted</t>
        </is>
      </c>
      <c r="H453" s="4" t="inlineStr">
        <is>
          <t>C++</t>
        </is>
      </c>
      <c r="I453" s="4" t="inlineStr">
        <is>
          <t>390 ms</t>
        </is>
      </c>
      <c r="J453" s="4" t="inlineStr">
        <is>
          <t>6.7 MB</t>
        </is>
      </c>
      <c r="K453" s="4" t="n">
        <v>44.4</v>
      </c>
      <c r="L453" s="4" t="inlineStr">
        <is>
          <t>36/36</t>
        </is>
      </c>
      <c r="M453" s="9" t="inlineStr">
        <is>
          <t>Submission 944160153</t>
        </is>
      </c>
      <c r="N453" s="4" t="inlineStr">
        <is>
          <t>Yes</t>
        </is>
      </c>
    </row>
    <row r="454">
      <c r="A454" s="11" t="n">
        <v>45050.42454861111</v>
      </c>
      <c r="B454" s="4" t="inlineStr">
        <is>
          <t>2023-05</t>
        </is>
      </c>
      <c r="C454" s="4" t="n">
        <v>132</v>
      </c>
      <c r="D454" s="9" t="inlineStr">
        <is>
          <t>Palindrome Partitioning II</t>
        </is>
      </c>
      <c r="E454" s="4" t="inlineStr">
        <is>
          <t>Hard</t>
        </is>
      </c>
      <c r="F454" s="4" t="inlineStr">
        <is>
          <t>DP: Partition / Interval (MCM)</t>
        </is>
      </c>
      <c r="G454" s="4" t="inlineStr">
        <is>
          <t>Accepted</t>
        </is>
      </c>
      <c r="H454" s="4" t="inlineStr">
        <is>
          <t>C++</t>
        </is>
      </c>
      <c r="I454" s="4" t="inlineStr">
        <is>
          <t>655 ms</t>
        </is>
      </c>
      <c r="J454" s="4" t="inlineStr">
        <is>
          <t>6.6 MB</t>
        </is>
      </c>
      <c r="K454" s="4" t="n">
        <v>44.4</v>
      </c>
      <c r="L454" s="4" t="inlineStr">
        <is>
          <t>36/36</t>
        </is>
      </c>
      <c r="M454" s="9" t="inlineStr">
        <is>
          <t>Submission 944161976</t>
        </is>
      </c>
      <c r="N454" s="4" t="inlineStr">
        <is>
          <t>Yes</t>
        </is>
      </c>
    </row>
    <row r="455">
      <c r="A455" s="11" t="n">
        <v>45050.42539351852</v>
      </c>
      <c r="B455" s="4" t="inlineStr">
        <is>
          <t>2023-05</t>
        </is>
      </c>
      <c r="C455" s="4" t="n">
        <v>132</v>
      </c>
      <c r="D455" s="9" t="inlineStr">
        <is>
          <t>Palindrome Partitioning II</t>
        </is>
      </c>
      <c r="E455" s="4" t="inlineStr">
        <is>
          <t>Hard</t>
        </is>
      </c>
      <c r="F455" s="4" t="inlineStr">
        <is>
          <t>DP: Partition / Interval (MCM)</t>
        </is>
      </c>
      <c r="G455" s="4" t="inlineStr">
        <is>
          <t>Accepted</t>
        </is>
      </c>
      <c r="H455" s="4" t="inlineStr">
        <is>
          <t>C++</t>
        </is>
      </c>
      <c r="I455" s="4" t="inlineStr">
        <is>
          <t>646 ms</t>
        </is>
      </c>
      <c r="J455" s="4" t="inlineStr">
        <is>
          <t>6.5 MB</t>
        </is>
      </c>
      <c r="K455" s="4" t="n">
        <v>44.4</v>
      </c>
      <c r="L455" s="4" t="inlineStr">
        <is>
          <t>36/36</t>
        </is>
      </c>
      <c r="M455" s="9" t="inlineStr">
        <is>
          <t>Submission 944162403</t>
        </is>
      </c>
      <c r="N455" s="4" t="inlineStr">
        <is>
          <t>Yes</t>
        </is>
      </c>
    </row>
    <row r="456">
      <c r="A456" s="11" t="n">
        <v>45050.45033564815</v>
      </c>
      <c r="B456" s="4" t="inlineStr">
        <is>
          <t>2023-05</t>
        </is>
      </c>
      <c r="C456" s="4" t="n">
        <v>1043</v>
      </c>
      <c r="D456" s="9" t="inlineStr">
        <is>
          <t>Partition Array for Maximum Sum</t>
        </is>
      </c>
      <c r="E456" s="4" t="inlineStr">
        <is>
          <t>Medium</t>
        </is>
      </c>
      <c r="F456" s="4" t="inlineStr">
        <is>
          <t>DP: Partition / Interval (MCM)</t>
        </is>
      </c>
      <c r="G456" s="4" t="inlineStr">
        <is>
          <t>Accepted</t>
        </is>
      </c>
      <c r="H456" s="4" t="inlineStr">
        <is>
          <t>C++</t>
        </is>
      </c>
      <c r="I456" s="4" t="inlineStr">
        <is>
          <t>26 ms</t>
        </is>
      </c>
      <c r="J456" s="4" t="inlineStr">
        <is>
          <t>8.6 MB</t>
        </is>
      </c>
      <c r="K456" s="4" t="n">
        <v>10.9</v>
      </c>
      <c r="L456" s="4" t="inlineStr">
        <is>
          <t>52/52</t>
        </is>
      </c>
      <c r="M456" s="9" t="inlineStr">
        <is>
          <t>Submission 944176802</t>
        </is>
      </c>
      <c r="N456" s="4" t="inlineStr">
        <is>
          <t>Yes</t>
        </is>
      </c>
    </row>
    <row r="457">
      <c r="A457" s="11" t="n">
        <v>45050.45197916667</v>
      </c>
      <c r="B457" s="4" t="inlineStr">
        <is>
          <t>2023-05</t>
        </is>
      </c>
      <c r="C457" s="4" t="n">
        <v>1043</v>
      </c>
      <c r="D457" s="9" t="inlineStr">
        <is>
          <t>Partition Array for Maximum Sum</t>
        </is>
      </c>
      <c r="E457" s="4" t="inlineStr">
        <is>
          <t>Medium</t>
        </is>
      </c>
      <c r="F457" s="4" t="inlineStr">
        <is>
          <t>DP: Partition / Interval (MCM)</t>
        </is>
      </c>
      <c r="G457" s="4" t="inlineStr">
        <is>
          <t>Accepted</t>
        </is>
      </c>
      <c r="H457" s="4" t="inlineStr">
        <is>
          <t>C++</t>
        </is>
      </c>
      <c r="I457" s="4" t="inlineStr">
        <is>
          <t>41 ms</t>
        </is>
      </c>
      <c r="J457" s="4" t="inlineStr">
        <is>
          <t>8.8 MB</t>
        </is>
      </c>
      <c r="K457" s="4" t="n">
        <v>9</v>
      </c>
      <c r="L457" s="4" t="inlineStr">
        <is>
          <t>52/52</t>
        </is>
      </c>
      <c r="M457" s="9" t="inlineStr">
        <is>
          <t>Submission 944177839</t>
        </is>
      </c>
      <c r="N457" s="4" t="inlineStr">
        <is>
          <t>Yes</t>
        </is>
      </c>
    </row>
    <row r="458">
      <c r="A458" s="11" t="n">
        <v>45050.45217592592</v>
      </c>
      <c r="B458" s="4" t="inlineStr">
        <is>
          <t>2023-05</t>
        </is>
      </c>
      <c r="C458" s="4" t="n">
        <v>1043</v>
      </c>
      <c r="D458" s="9" t="inlineStr">
        <is>
          <t>Partition Array for Maximum Sum</t>
        </is>
      </c>
      <c r="E458" s="4" t="inlineStr">
        <is>
          <t>Medium</t>
        </is>
      </c>
      <c r="F458" s="4" t="inlineStr">
        <is>
          <t>DP: Partition / Interval (MCM)</t>
        </is>
      </c>
      <c r="G458" s="4" t="inlineStr">
        <is>
          <t>Accepted</t>
        </is>
      </c>
      <c r="H458" s="4" t="inlineStr">
        <is>
          <t>C++</t>
        </is>
      </c>
      <c r="I458" s="4" t="inlineStr">
        <is>
          <t>13 ms</t>
        </is>
      </c>
      <c r="J458" s="4" t="inlineStr">
        <is>
          <t>8.6 MB</t>
        </is>
      </c>
      <c r="K458" s="4" t="n"/>
      <c r="L458" s="4" t="inlineStr"/>
      <c r="M458" s="9" t="inlineStr">
        <is>
          <t>Submission 944177961</t>
        </is>
      </c>
      <c r="N458" s="4" t="inlineStr">
        <is>
          <t>Yes</t>
        </is>
      </c>
    </row>
    <row r="459">
      <c r="A459" s="11" t="n">
        <v>45050.5030787037</v>
      </c>
      <c r="B459" s="4" t="inlineStr">
        <is>
          <t>2023-05</t>
        </is>
      </c>
      <c r="C459" s="4" t="n">
        <v>2387</v>
      </c>
      <c r="D459" s="9" t="inlineStr">
        <is>
          <t>Median of a Row Wise Sorted Matrix</t>
        </is>
      </c>
      <c r="E459" s="4" t="inlineStr">
        <is>
          <t>Medium</t>
        </is>
      </c>
      <c r="F459" s="4" t="inlineStr">
        <is>
          <t>Binary Search on Answer</t>
        </is>
      </c>
      <c r="G459" s="4" t="inlineStr">
        <is>
          <t>Accepted</t>
        </is>
      </c>
      <c r="H459" s="4" t="inlineStr">
        <is>
          <t>C++</t>
        </is>
      </c>
      <c r="I459" s="4" t="inlineStr">
        <is>
          <t>172 ms</t>
        </is>
      </c>
      <c r="J459" s="4" t="inlineStr">
        <is>
          <t>35.2 MB</t>
        </is>
      </c>
      <c r="K459" s="4" t="n">
        <v>5.9</v>
      </c>
      <c r="L459" s="4" t="inlineStr">
        <is>
          <t>24/24</t>
        </is>
      </c>
      <c r="M459" s="9" t="inlineStr">
        <is>
          <t>Submission 944209105</t>
        </is>
      </c>
      <c r="N459" s="4" t="inlineStr">
        <is>
          <t>Yes</t>
        </is>
      </c>
    </row>
    <row r="460">
      <c r="A460" s="11" t="n">
        <v>45050.54634259259</v>
      </c>
      <c r="B460" s="4" t="inlineStr">
        <is>
          <t>2023-05</t>
        </is>
      </c>
      <c r="C460" s="4" t="n">
        <v>540</v>
      </c>
      <c r="D460" s="9" t="inlineStr">
        <is>
          <t>Single Element in a Sorted Array</t>
        </is>
      </c>
      <c r="E460" s="4" t="inlineStr">
        <is>
          <t>Medium</t>
        </is>
      </c>
      <c r="F460" s="4" t="inlineStr">
        <is>
          <t>Binary Search</t>
        </is>
      </c>
      <c r="G460" s="4" t="inlineStr">
        <is>
          <t>Accepted</t>
        </is>
      </c>
      <c r="H460" s="4" t="inlineStr">
        <is>
          <t>C++</t>
        </is>
      </c>
      <c r="I460" s="4" t="inlineStr">
        <is>
          <t>30 ms</t>
        </is>
      </c>
      <c r="J460" s="4" t="inlineStr">
        <is>
          <t>22.4 MB</t>
        </is>
      </c>
      <c r="K460" s="4" t="n">
        <v>3.5</v>
      </c>
      <c r="L460" s="4" t="inlineStr">
        <is>
          <t>15/15</t>
        </is>
      </c>
      <c r="M460" s="9" t="inlineStr">
        <is>
          <t>Submission 944234757</t>
        </is>
      </c>
      <c r="N460" s="4" t="inlineStr">
        <is>
          <t>Yes</t>
        </is>
      </c>
    </row>
    <row r="461">
      <c r="A461" s="11" t="n">
        <v>45050.56832175926</v>
      </c>
      <c r="B461" s="4" t="inlineStr">
        <is>
          <t>2023-05</t>
        </is>
      </c>
      <c r="C461" s="4" t="n">
        <v>33</v>
      </c>
      <c r="D461" s="9" t="inlineStr">
        <is>
          <t>Search in Rotated Sorted Array</t>
        </is>
      </c>
      <c r="E461" s="4" t="inlineStr">
        <is>
          <t>Medium</t>
        </is>
      </c>
      <c r="F461" s="4" t="inlineStr">
        <is>
          <t>Binary Search</t>
        </is>
      </c>
      <c r="G461" s="4" t="inlineStr">
        <is>
          <t>Accepted</t>
        </is>
      </c>
      <c r="H461" s="4" t="inlineStr">
        <is>
          <t>C++</t>
        </is>
      </c>
      <c r="I461" s="4" t="inlineStr">
        <is>
          <t>0 ms</t>
        </is>
      </c>
      <c r="J461" s="4" t="inlineStr">
        <is>
          <t>11.2 MB</t>
        </is>
      </c>
      <c r="K461" s="4" t="n">
        <v>100</v>
      </c>
      <c r="L461" s="4" t="inlineStr">
        <is>
          <t>195/195</t>
        </is>
      </c>
      <c r="M461" s="9" t="inlineStr">
        <is>
          <t>Submission 944246756</t>
        </is>
      </c>
      <c r="N461" s="4" t="inlineStr">
        <is>
          <t>Yes</t>
        </is>
      </c>
    </row>
    <row r="462">
      <c r="A462" s="11" t="n">
        <v>45050.56859953704</v>
      </c>
      <c r="B462" s="4" t="inlineStr">
        <is>
          <t>2023-05</t>
        </is>
      </c>
      <c r="C462" s="4" t="n">
        <v>33</v>
      </c>
      <c r="D462" s="9" t="inlineStr">
        <is>
          <t>Search in Rotated Sorted Array</t>
        </is>
      </c>
      <c r="E462" s="4" t="inlineStr">
        <is>
          <t>Medium</t>
        </is>
      </c>
      <c r="F462" s="4" t="inlineStr">
        <is>
          <t>Binary Search</t>
        </is>
      </c>
      <c r="G462" s="4" t="inlineStr">
        <is>
          <t>Accepted</t>
        </is>
      </c>
      <c r="H462" s="4" t="inlineStr">
        <is>
          <t>C++</t>
        </is>
      </c>
      <c r="I462" s="4" t="inlineStr">
        <is>
          <t>11 ms</t>
        </is>
      </c>
      <c r="J462" s="4" t="inlineStr">
        <is>
          <t>11 MB</t>
        </is>
      </c>
      <c r="K462" s="4" t="n">
        <v>0.4</v>
      </c>
      <c r="L462" s="4" t="inlineStr">
        <is>
          <t>195/195</t>
        </is>
      </c>
      <c r="M462" s="9" t="inlineStr">
        <is>
          <t>Submission 944246907</t>
        </is>
      </c>
      <c r="N462" s="4" t="inlineStr">
        <is>
          <t>Yes</t>
        </is>
      </c>
    </row>
    <row r="463">
      <c r="A463" s="11" t="n">
        <v>45050.56921296296</v>
      </c>
      <c r="B463" s="4" t="inlineStr">
        <is>
          <t>2023-05</t>
        </is>
      </c>
      <c r="C463" s="4" t="n">
        <v>33</v>
      </c>
      <c r="D463" s="9" t="inlineStr">
        <is>
          <t>Search in Rotated Sorted Array</t>
        </is>
      </c>
      <c r="E463" s="4" t="inlineStr">
        <is>
          <t>Medium</t>
        </is>
      </c>
      <c r="F463" s="4" t="inlineStr">
        <is>
          <t>Binary Search</t>
        </is>
      </c>
      <c r="G463" s="4" t="inlineStr">
        <is>
          <t>Accepted</t>
        </is>
      </c>
      <c r="H463" s="4" t="inlineStr">
        <is>
          <t>C++</t>
        </is>
      </c>
      <c r="I463" s="4" t="inlineStr">
        <is>
          <t>11 ms</t>
        </is>
      </c>
      <c r="J463" s="4" t="inlineStr">
        <is>
          <t>11.1 MB</t>
        </is>
      </c>
      <c r="K463" s="4" t="n">
        <v>0.4</v>
      </c>
      <c r="L463" s="4" t="inlineStr">
        <is>
          <t>195/195</t>
        </is>
      </c>
      <c r="M463" s="9" t="inlineStr">
        <is>
          <t>Submission 944247245</t>
        </is>
      </c>
      <c r="N463" s="4" t="inlineStr">
        <is>
          <t>Yes</t>
        </is>
      </c>
    </row>
    <row r="464">
      <c r="A464" s="11" t="n">
        <v>45050.59784722222</v>
      </c>
      <c r="B464" s="4" t="inlineStr">
        <is>
          <t>2023-05</t>
        </is>
      </c>
      <c r="C464" s="4" t="n">
        <v>4</v>
      </c>
      <c r="D464" s="9" t="inlineStr">
        <is>
          <t>Median of Two Sorted Arrays</t>
        </is>
      </c>
      <c r="E464" s="4" t="inlineStr">
        <is>
          <t>Hard</t>
        </is>
      </c>
      <c r="F464" s="4" t="inlineStr">
        <is>
          <t>Binary Search</t>
        </is>
      </c>
      <c r="G464" s="4" t="inlineStr">
        <is>
          <t>Wrong Answer</t>
        </is>
      </c>
      <c r="H464" s="4" t="inlineStr">
        <is>
          <t>C++</t>
        </is>
      </c>
      <c r="I464" s="4" t="inlineStr">
        <is>
          <t>N/A</t>
        </is>
      </c>
      <c r="J464" s="4" t="inlineStr">
        <is>
          <t>N/A</t>
        </is>
      </c>
      <c r="K464" s="4" t="n"/>
      <c r="L464" s="4" t="inlineStr">
        <is>
          <t>1680/2094</t>
        </is>
      </c>
      <c r="M464" s="9" t="inlineStr">
        <is>
          <t>Submission 944262345</t>
        </is>
      </c>
      <c r="N464" s="4" t="inlineStr">
        <is>
          <t>Yes</t>
        </is>
      </c>
    </row>
    <row r="465">
      <c r="A465" s="11" t="n">
        <v>45050.59837962963</v>
      </c>
      <c r="B465" s="4" t="inlineStr">
        <is>
          <t>2023-05</t>
        </is>
      </c>
      <c r="C465" s="4" t="n">
        <v>4</v>
      </c>
      <c r="D465" s="9" t="inlineStr">
        <is>
          <t>Median of Two Sorted Arrays</t>
        </is>
      </c>
      <c r="E465" s="4" t="inlineStr">
        <is>
          <t>Hard</t>
        </is>
      </c>
      <c r="F465" s="4" t="inlineStr">
        <is>
          <t>Binary Search</t>
        </is>
      </c>
      <c r="G465" s="4" t="inlineStr">
        <is>
          <t>Wrong Answer</t>
        </is>
      </c>
      <c r="H465" s="4" t="inlineStr">
        <is>
          <t>C++</t>
        </is>
      </c>
      <c r="I465" s="4" t="inlineStr">
        <is>
          <t>N/A</t>
        </is>
      </c>
      <c r="J465" s="4" t="inlineStr">
        <is>
          <t>N/A</t>
        </is>
      </c>
      <c r="K465" s="4" t="n"/>
      <c r="L465" s="4" t="inlineStr">
        <is>
          <t>1680/2094</t>
        </is>
      </c>
      <c r="M465" s="9" t="inlineStr">
        <is>
          <t>Submission 944262653</t>
        </is>
      </c>
      <c r="N465" s="4" t="inlineStr">
        <is>
          <t>Yes</t>
        </is>
      </c>
    </row>
    <row r="466">
      <c r="A466" s="11" t="n">
        <v>45050.60333333333</v>
      </c>
      <c r="B466" s="4" t="inlineStr">
        <is>
          <t>2023-05</t>
        </is>
      </c>
      <c r="C466" s="4" t="n">
        <v>4</v>
      </c>
      <c r="D466" s="9" t="inlineStr">
        <is>
          <t>Median of Two Sorted Arrays</t>
        </is>
      </c>
      <c r="E466" s="4" t="inlineStr">
        <is>
          <t>Hard</t>
        </is>
      </c>
      <c r="F466" s="4" t="inlineStr">
        <is>
          <t>Binary Search</t>
        </is>
      </c>
      <c r="G466" s="4" t="inlineStr">
        <is>
          <t>Accepted</t>
        </is>
      </c>
      <c r="H466" s="4" t="inlineStr">
        <is>
          <t>C++</t>
        </is>
      </c>
      <c r="I466" s="4" t="inlineStr">
        <is>
          <t>48 ms</t>
        </is>
      </c>
      <c r="J466" s="4" t="inlineStr">
        <is>
          <t>89.2 MB</t>
        </is>
      </c>
      <c r="K466" s="4" t="n">
        <v>5.9</v>
      </c>
      <c r="L466" s="4" t="inlineStr">
        <is>
          <t>2094/2094</t>
        </is>
      </c>
      <c r="M466" s="9" t="inlineStr">
        <is>
          <t>Submission 944265436</t>
        </is>
      </c>
      <c r="N466" s="4" t="inlineStr">
        <is>
          <t>Yes</t>
        </is>
      </c>
    </row>
    <row r="467">
      <c r="A467" s="11" t="n">
        <v>45050.60545138889</v>
      </c>
      <c r="B467" s="4" t="inlineStr">
        <is>
          <t>2023-05</t>
        </is>
      </c>
      <c r="C467" s="4" t="n">
        <v>4</v>
      </c>
      <c r="D467" s="9" t="inlineStr">
        <is>
          <t>Median of Two Sorted Arrays</t>
        </is>
      </c>
      <c r="E467" s="4" t="inlineStr">
        <is>
          <t>Hard</t>
        </is>
      </c>
      <c r="F467" s="4" t="inlineStr">
        <is>
          <t>Binary Search</t>
        </is>
      </c>
      <c r="G467" s="4" t="inlineStr">
        <is>
          <t>Accepted</t>
        </is>
      </c>
      <c r="H467" s="4" t="inlineStr">
        <is>
          <t>C++</t>
        </is>
      </c>
      <c r="I467" s="4" t="inlineStr">
        <is>
          <t>60 ms</t>
        </is>
      </c>
      <c r="J467" s="4" t="inlineStr">
        <is>
          <t>89.2 MB</t>
        </is>
      </c>
      <c r="K467" s="4" t="n">
        <v>5.9</v>
      </c>
      <c r="L467" s="4" t="inlineStr">
        <is>
          <t>2094/2094</t>
        </is>
      </c>
      <c r="M467" s="9" t="inlineStr">
        <is>
          <t>Submission 944266663</t>
        </is>
      </c>
      <c r="N467" s="4" t="inlineStr">
        <is>
          <t>Yes</t>
        </is>
      </c>
    </row>
    <row r="468">
      <c r="A468" s="11" t="n">
        <v>45050.69121527778</v>
      </c>
      <c r="B468" s="4" t="inlineStr">
        <is>
          <t>2023-05</t>
        </is>
      </c>
      <c r="C468" s="4" t="n">
        <v>208</v>
      </c>
      <c r="D468" s="9" t="inlineStr">
        <is>
          <t>Implement Trie (Prefix Tree)</t>
        </is>
      </c>
      <c r="E468" s="4" t="inlineStr">
        <is>
          <t>Medium</t>
        </is>
      </c>
      <c r="F468" s="4" t="inlineStr">
        <is>
          <t>Trie</t>
        </is>
      </c>
      <c r="G468" s="4" t="inlineStr">
        <is>
          <t>Accepted</t>
        </is>
      </c>
      <c r="H468" s="4" t="inlineStr">
        <is>
          <t>C++</t>
        </is>
      </c>
      <c r="I468" s="4" t="inlineStr">
        <is>
          <t>74 ms</t>
        </is>
      </c>
      <c r="J468" s="4" t="inlineStr">
        <is>
          <t>48.2 MB</t>
        </is>
      </c>
      <c r="K468" s="4" t="n">
        <v>6.1</v>
      </c>
      <c r="L468" s="4" t="inlineStr">
        <is>
          <t>16/16</t>
        </is>
      </c>
      <c r="M468" s="9" t="inlineStr">
        <is>
          <t>Submission 944313239</t>
        </is>
      </c>
      <c r="N468" s="4" t="inlineStr">
        <is>
          <t>Yes</t>
        </is>
      </c>
    </row>
    <row r="469">
      <c r="A469" s="11" t="n">
        <v>45050.69325231481</v>
      </c>
      <c r="B469" s="4" t="inlineStr">
        <is>
          <t>2023-05</t>
        </is>
      </c>
      <c r="C469" s="4" t="n">
        <v>208</v>
      </c>
      <c r="D469" s="9" t="inlineStr">
        <is>
          <t>Implement Trie (Prefix Tree)</t>
        </is>
      </c>
      <c r="E469" s="4" t="inlineStr">
        <is>
          <t>Medium</t>
        </is>
      </c>
      <c r="F469" s="4" t="inlineStr">
        <is>
          <t>Trie</t>
        </is>
      </c>
      <c r="G469" s="4" t="inlineStr">
        <is>
          <t>Accepted</t>
        </is>
      </c>
      <c r="H469" s="4" t="inlineStr">
        <is>
          <t>C++</t>
        </is>
      </c>
      <c r="I469" s="4" t="inlineStr">
        <is>
          <t>67 ms</t>
        </is>
      </c>
      <c r="J469" s="4" t="inlineStr">
        <is>
          <t>48.1 MB</t>
        </is>
      </c>
      <c r="K469" s="4" t="n">
        <v>6.5</v>
      </c>
      <c r="L469" s="4" t="inlineStr">
        <is>
          <t>16/16</t>
        </is>
      </c>
      <c r="M469" s="9" t="inlineStr">
        <is>
          <t>Submission 944314286</t>
        </is>
      </c>
      <c r="N469" s="4" t="inlineStr">
        <is>
          <t>Yes</t>
        </is>
      </c>
    </row>
    <row r="470">
      <c r="A470" s="11" t="n">
        <v>45050.71436342593</v>
      </c>
      <c r="B470" s="4" t="inlineStr">
        <is>
          <t>2023-05</t>
        </is>
      </c>
      <c r="C470" s="4" t="n">
        <v>1804</v>
      </c>
      <c r="D470" s="9" t="inlineStr">
        <is>
          <t>Implement Trie II (Prefix Tree)</t>
        </is>
      </c>
      <c r="E470" s="4" t="inlineStr">
        <is>
          <t>Medium</t>
        </is>
      </c>
      <c r="F470" s="4" t="inlineStr">
        <is>
          <t>Trie</t>
        </is>
      </c>
      <c r="G470" s="4" t="inlineStr">
        <is>
          <t>Accepted</t>
        </is>
      </c>
      <c r="H470" s="4" t="inlineStr">
        <is>
          <t>C++</t>
        </is>
      </c>
      <c r="I470" s="4" t="inlineStr">
        <is>
          <t>209 ms</t>
        </is>
      </c>
      <c r="J470" s="4" t="inlineStr">
        <is>
          <t>67.8 MB</t>
        </is>
      </c>
      <c r="K470" s="4" t="n">
        <v>6.1</v>
      </c>
      <c r="L470" s="4" t="inlineStr">
        <is>
          <t>78/78</t>
        </is>
      </c>
      <c r="M470" s="9" t="inlineStr">
        <is>
          <t>Submission 944324967</t>
        </is>
      </c>
      <c r="N470" s="4" t="inlineStr">
        <is>
          <t>Yes</t>
        </is>
      </c>
    </row>
    <row r="471">
      <c r="A471" s="11" t="n">
        <v>45050.72806712963</v>
      </c>
      <c r="B471" s="4" t="inlineStr">
        <is>
          <t>2023-05</t>
        </is>
      </c>
      <c r="C471" s="4" t="n">
        <v>1858</v>
      </c>
      <c r="D471" s="9" t="inlineStr">
        <is>
          <t>Longest Word With All Prefixes</t>
        </is>
      </c>
      <c r="E471" s="4" t="inlineStr">
        <is>
          <t>Medium</t>
        </is>
      </c>
      <c r="F471" s="4" t="inlineStr">
        <is>
          <t>Trie</t>
        </is>
      </c>
      <c r="G471" s="4" t="inlineStr">
        <is>
          <t>Wrong Answer</t>
        </is>
      </c>
      <c r="H471" s="4" t="inlineStr">
        <is>
          <t>C++</t>
        </is>
      </c>
      <c r="I471" s="4" t="inlineStr">
        <is>
          <t>N/A</t>
        </is>
      </c>
      <c r="J471" s="4" t="inlineStr">
        <is>
          <t>N/A</t>
        </is>
      </c>
      <c r="K471" s="4" t="n"/>
      <c r="L471" s="4" t="inlineStr">
        <is>
          <t>9/68</t>
        </is>
      </c>
      <c r="M471" s="9" t="inlineStr">
        <is>
          <t>Submission 944331978</t>
        </is>
      </c>
      <c r="N471" s="4" t="inlineStr">
        <is>
          <t>Yes</t>
        </is>
      </c>
    </row>
    <row r="472">
      <c r="A472" s="11" t="n">
        <v>45050.7311574074</v>
      </c>
      <c r="B472" s="4" t="inlineStr">
        <is>
          <t>2023-05</t>
        </is>
      </c>
      <c r="C472" s="4" t="n">
        <v>1858</v>
      </c>
      <c r="D472" s="9" t="inlineStr">
        <is>
          <t>Longest Word With All Prefixes</t>
        </is>
      </c>
      <c r="E472" s="4" t="inlineStr">
        <is>
          <t>Medium</t>
        </is>
      </c>
      <c r="F472" s="4" t="inlineStr">
        <is>
          <t>Trie</t>
        </is>
      </c>
      <c r="G472" s="4" t="inlineStr">
        <is>
          <t>Accepted</t>
        </is>
      </c>
      <c r="H472" s="4" t="inlineStr">
        <is>
          <t>C++</t>
        </is>
      </c>
      <c r="I472" s="4" t="inlineStr">
        <is>
          <t>241 ms</t>
        </is>
      </c>
      <c r="J472" s="4" t="inlineStr">
        <is>
          <t>152.9 MB</t>
        </is>
      </c>
      <c r="K472" s="4" t="n">
        <v>5.9</v>
      </c>
      <c r="L472" s="4" t="inlineStr">
        <is>
          <t>68/68</t>
        </is>
      </c>
      <c r="M472" s="9" t="inlineStr">
        <is>
          <t>Submission 944333566</t>
        </is>
      </c>
      <c r="N472" s="4" t="inlineStr">
        <is>
          <t>Yes</t>
        </is>
      </c>
    </row>
    <row r="473">
      <c r="A473" s="11" t="n">
        <v>45051.30478009259</v>
      </c>
      <c r="B473" s="4" t="inlineStr">
        <is>
          <t>2023-05</t>
        </is>
      </c>
      <c r="C473" s="4" t="n">
        <v>236</v>
      </c>
      <c r="D473" s="9" t="inlineStr">
        <is>
          <t>Lowest Common Ancestor of a Binary Tree</t>
        </is>
      </c>
      <c r="E473" s="4" t="inlineStr">
        <is>
          <t>Medium</t>
        </is>
      </c>
      <c r="F473" s="4" t="inlineStr">
        <is>
          <t>Binary Tree (DFS &amp; Recursion)</t>
        </is>
      </c>
      <c r="G473" s="4" t="inlineStr">
        <is>
          <t>Accepted</t>
        </is>
      </c>
      <c r="H473" s="4" t="inlineStr">
        <is>
          <t>C++</t>
        </is>
      </c>
      <c r="I473" s="4" t="inlineStr">
        <is>
          <t>27 ms</t>
        </is>
      </c>
      <c r="J473" s="4" t="inlineStr">
        <is>
          <t>14.1 MB</t>
        </is>
      </c>
      <c r="K473" s="4" t="n">
        <v>99.2</v>
      </c>
      <c r="L473" s="4" t="inlineStr">
        <is>
          <t>31/31</t>
        </is>
      </c>
      <c r="M473" s="9" t="inlineStr">
        <is>
          <t>Submission 944666986</t>
        </is>
      </c>
      <c r="N473" s="4" t="inlineStr">
        <is>
          <t>Yes</t>
        </is>
      </c>
    </row>
    <row r="474">
      <c r="A474" s="11" t="n">
        <v>45051.31126157408</v>
      </c>
      <c r="B474" s="4" t="inlineStr">
        <is>
          <t>2023-05</t>
        </is>
      </c>
      <c r="C474" s="4" t="n">
        <v>662</v>
      </c>
      <c r="D474" s="9" t="inlineStr">
        <is>
          <t>Maximum Width of Binary Tree</t>
        </is>
      </c>
      <c r="E474" s="4" t="inlineStr">
        <is>
          <t>Medium</t>
        </is>
      </c>
      <c r="F474" s="4" t="inlineStr">
        <is>
          <t>Binary Tree (BFS / Level Order)</t>
        </is>
      </c>
      <c r="G474" s="4" t="inlineStr">
        <is>
          <t>Runtime Error</t>
        </is>
      </c>
      <c r="H474" s="4" t="inlineStr">
        <is>
          <t>C++</t>
        </is>
      </c>
      <c r="I474" s="4" t="inlineStr">
        <is>
          <t>N/A</t>
        </is>
      </c>
      <c r="J474" s="4" t="inlineStr">
        <is>
          <t>N/A</t>
        </is>
      </c>
      <c r="K474" s="4" t="n"/>
      <c r="L474" s="4" t="inlineStr">
        <is>
          <t>72/114</t>
        </is>
      </c>
      <c r="M474" s="9" t="inlineStr">
        <is>
          <t>Submission 944669999</t>
        </is>
      </c>
      <c r="N474" s="4" t="inlineStr">
        <is>
          <t>Yes</t>
        </is>
      </c>
    </row>
    <row r="475">
      <c r="A475" s="11" t="n">
        <v>45051.3162037037</v>
      </c>
      <c r="B475" s="4" t="inlineStr">
        <is>
          <t>2023-05</t>
        </is>
      </c>
      <c r="C475" s="4" t="n">
        <v>662</v>
      </c>
      <c r="D475" s="9" t="inlineStr">
        <is>
          <t>Maximum Width of Binary Tree</t>
        </is>
      </c>
      <c r="E475" s="4" t="inlineStr">
        <is>
          <t>Medium</t>
        </is>
      </c>
      <c r="F475" s="4" t="inlineStr">
        <is>
          <t>Binary Tree (BFS / Level Order)</t>
        </is>
      </c>
      <c r="G475" s="4" t="inlineStr">
        <is>
          <t>Runtime Error</t>
        </is>
      </c>
      <c r="H475" s="4" t="inlineStr">
        <is>
          <t>C++</t>
        </is>
      </c>
      <c r="I475" s="4" t="inlineStr">
        <is>
          <t>N/A</t>
        </is>
      </c>
      <c r="J475" s="4" t="inlineStr">
        <is>
          <t>N/A</t>
        </is>
      </c>
      <c r="K475" s="4" t="n"/>
      <c r="L475" s="4" t="inlineStr">
        <is>
          <t>72/114</t>
        </is>
      </c>
      <c r="M475" s="9" t="inlineStr">
        <is>
          <t>Submission 944672326</t>
        </is>
      </c>
      <c r="N475" s="4" t="inlineStr">
        <is>
          <t>Yes</t>
        </is>
      </c>
    </row>
    <row r="476">
      <c r="A476" s="11" t="n">
        <v>45051.31721064815</v>
      </c>
      <c r="B476" s="4" t="inlineStr">
        <is>
          <t>2023-05</t>
        </is>
      </c>
      <c r="C476" s="4" t="n">
        <v>662</v>
      </c>
      <c r="D476" s="9" t="inlineStr">
        <is>
          <t>Maximum Width of Binary Tree</t>
        </is>
      </c>
      <c r="E476" s="4" t="inlineStr">
        <is>
          <t>Medium</t>
        </is>
      </c>
      <c r="F476" s="4" t="inlineStr">
        <is>
          <t>Binary Tree (BFS / Level Order)</t>
        </is>
      </c>
      <c r="G476" s="4" t="inlineStr">
        <is>
          <t>Accepted</t>
        </is>
      </c>
      <c r="H476" s="4" t="inlineStr">
        <is>
          <t>C++</t>
        </is>
      </c>
      <c r="I476" s="4" t="inlineStr">
        <is>
          <t>10 ms</t>
        </is>
      </c>
      <c r="J476" s="4" t="inlineStr">
        <is>
          <t>17.3 MB</t>
        </is>
      </c>
      <c r="K476" s="4" t="n">
        <v>2.4</v>
      </c>
      <c r="L476" s="4" t="inlineStr">
        <is>
          <t>114/114</t>
        </is>
      </c>
      <c r="M476" s="9" t="inlineStr">
        <is>
          <t>Submission 944672783</t>
        </is>
      </c>
      <c r="N476" s="4" t="inlineStr">
        <is>
          <t>Yes</t>
        </is>
      </c>
    </row>
    <row r="477">
      <c r="A477" s="11" t="n">
        <v>45051.34133101852</v>
      </c>
      <c r="B477" s="4" t="inlineStr">
        <is>
          <t>2023-05</t>
        </is>
      </c>
      <c r="C477" s="4" t="n">
        <v>863</v>
      </c>
      <c r="D477" s="9" t="inlineStr">
        <is>
          <t>All Nodes Distance K in Binary Tree</t>
        </is>
      </c>
      <c r="E477" s="4" t="inlineStr">
        <is>
          <t>Medium</t>
        </is>
      </c>
      <c r="F477" s="4" t="inlineStr">
        <is>
          <t>Binary Tree (DFS &amp; Recursion)</t>
        </is>
      </c>
      <c r="G477" s="4" t="inlineStr">
        <is>
          <t>Accepted</t>
        </is>
      </c>
      <c r="H477" s="4" t="inlineStr">
        <is>
          <t>C++</t>
        </is>
      </c>
      <c r="I477" s="4" t="inlineStr">
        <is>
          <t>3 ms</t>
        </is>
      </c>
      <c r="J477" s="4" t="inlineStr">
        <is>
          <t>13.1 MB</t>
        </is>
      </c>
      <c r="K477" s="4" t="n">
        <v>82.90000000000001</v>
      </c>
      <c r="L477" s="4" t="inlineStr">
        <is>
          <t>57/57</t>
        </is>
      </c>
      <c r="M477" s="9" t="inlineStr">
        <is>
          <t>Submission 944684853</t>
        </is>
      </c>
      <c r="N477" s="4" t="inlineStr">
        <is>
          <t>Yes</t>
        </is>
      </c>
    </row>
    <row r="478">
      <c r="A478" s="11" t="n">
        <v>45051.35322916666</v>
      </c>
      <c r="B478" s="4" t="inlineStr">
        <is>
          <t>2023-05</t>
        </is>
      </c>
      <c r="C478" s="4" t="n">
        <v>222</v>
      </c>
      <c r="D478" s="9" t="inlineStr">
        <is>
          <t>Count Complete Tree Nodes</t>
        </is>
      </c>
      <c r="E478" s="4" t="inlineStr">
        <is>
          <t>Medium</t>
        </is>
      </c>
      <c r="F478" s="4" t="inlineStr">
        <is>
          <t>Binary Tree (DFS &amp; Recursion)</t>
        </is>
      </c>
      <c r="G478" s="4" t="inlineStr">
        <is>
          <t>Accepted</t>
        </is>
      </c>
      <c r="H478" s="4" t="inlineStr">
        <is>
          <t>C++</t>
        </is>
      </c>
      <c r="I478" s="4" t="inlineStr">
        <is>
          <t>41 ms</t>
        </is>
      </c>
      <c r="J478" s="4" t="inlineStr">
        <is>
          <t>30.9 MB</t>
        </is>
      </c>
      <c r="K478" s="4" t="n">
        <v>0.1</v>
      </c>
      <c r="L478" s="4" t="inlineStr">
        <is>
          <t>18/18</t>
        </is>
      </c>
      <c r="M478" s="9" t="inlineStr">
        <is>
          <t>Submission 944690918</t>
        </is>
      </c>
      <c r="N478" s="4" t="inlineStr">
        <is>
          <t>Yes</t>
        </is>
      </c>
    </row>
    <row r="479">
      <c r="A479" s="11" t="n">
        <v>45051.36347222222</v>
      </c>
      <c r="B479" s="4" t="inlineStr">
        <is>
          <t>2023-05</t>
        </is>
      </c>
      <c r="C479" s="4" t="n">
        <v>105</v>
      </c>
      <c r="D479" s="9" t="inlineStr">
        <is>
          <t>Construct Binary Tree from Preorder and Inorder Traversal</t>
        </is>
      </c>
      <c r="E479" s="4" t="inlineStr">
        <is>
          <t>Medium</t>
        </is>
      </c>
      <c r="F479" s="4" t="inlineStr">
        <is>
          <t>Binary Tree (DFS &amp; Recursion)</t>
        </is>
      </c>
      <c r="G479" s="4" t="inlineStr">
        <is>
          <t>Accepted</t>
        </is>
      </c>
      <c r="H479" s="4" t="inlineStr">
        <is>
          <t>C++</t>
        </is>
      </c>
      <c r="I479" s="4" t="inlineStr">
        <is>
          <t>11 ms</t>
        </is>
      </c>
      <c r="J479" s="4" t="inlineStr">
        <is>
          <t>26.3 MB</t>
        </is>
      </c>
      <c r="K479" s="4" t="n">
        <v>17.8</v>
      </c>
      <c r="L479" s="4" t="inlineStr">
        <is>
          <t>203/203</t>
        </is>
      </c>
      <c r="M479" s="9" t="inlineStr">
        <is>
          <t>Submission 944696483</t>
        </is>
      </c>
      <c r="N479" s="4" t="inlineStr">
        <is>
          <t>Yes</t>
        </is>
      </c>
    </row>
    <row r="480">
      <c r="A480" s="11" t="n">
        <v>45051.37431712963</v>
      </c>
      <c r="B480" s="4" t="inlineStr">
        <is>
          <t>2023-05</t>
        </is>
      </c>
      <c r="C480" s="4" t="n">
        <v>106</v>
      </c>
      <c r="D480" s="9" t="inlineStr">
        <is>
          <t>Construct Binary Tree from Inorder and Postorder Traversal</t>
        </is>
      </c>
      <c r="E480" s="4" t="inlineStr">
        <is>
          <t>Medium</t>
        </is>
      </c>
      <c r="F480" s="4" t="inlineStr">
        <is>
          <t>Binary Tree (DFS &amp; Recursion)</t>
        </is>
      </c>
      <c r="G480" s="4" t="inlineStr">
        <is>
          <t>Accepted</t>
        </is>
      </c>
      <c r="H480" s="4" t="inlineStr">
        <is>
          <t>C++</t>
        </is>
      </c>
      <c r="I480" s="4" t="inlineStr">
        <is>
          <t>12 ms</t>
        </is>
      </c>
      <c r="J480" s="4" t="inlineStr">
        <is>
          <t>26.3 MB</t>
        </is>
      </c>
      <c r="K480" s="4" t="n">
        <v>8.699999999999999</v>
      </c>
      <c r="L480" s="4" t="inlineStr">
        <is>
          <t>202/202</t>
        </is>
      </c>
      <c r="M480" s="9" t="inlineStr">
        <is>
          <t>Submission 944702434</t>
        </is>
      </c>
      <c r="N480" s="4" t="inlineStr">
        <is>
          <t>Yes</t>
        </is>
      </c>
    </row>
    <row r="481">
      <c r="A481" s="11" t="n">
        <v>45051.37511574074</v>
      </c>
      <c r="B481" s="4" t="inlineStr">
        <is>
          <t>2023-05</t>
        </is>
      </c>
      <c r="C481" s="4" t="n">
        <v>106</v>
      </c>
      <c r="D481" s="9" t="inlineStr">
        <is>
          <t>Construct Binary Tree from Inorder and Postorder Traversal</t>
        </is>
      </c>
      <c r="E481" s="4" t="inlineStr">
        <is>
          <t>Medium</t>
        </is>
      </c>
      <c r="F481" s="4" t="inlineStr">
        <is>
          <t>Binary Tree (DFS &amp; Recursion)</t>
        </is>
      </c>
      <c r="G481" s="4" t="inlineStr">
        <is>
          <t>Accepted</t>
        </is>
      </c>
      <c r="H481" s="4" t="inlineStr">
        <is>
          <t>C++</t>
        </is>
      </c>
      <c r="I481" s="4" t="inlineStr">
        <is>
          <t>25 ms</t>
        </is>
      </c>
      <c r="J481" s="4" t="inlineStr">
        <is>
          <t>26.4 MB</t>
        </is>
      </c>
      <c r="K481" s="4" t="n">
        <v>5</v>
      </c>
      <c r="L481" s="4" t="inlineStr">
        <is>
          <t>202/202</t>
        </is>
      </c>
      <c r="M481" s="9" t="inlineStr">
        <is>
          <t>Submission 944702857</t>
        </is>
      </c>
      <c r="N481" s="4" t="inlineStr">
        <is>
          <t>Yes</t>
        </is>
      </c>
    </row>
    <row r="482">
      <c r="A482" s="11" t="n">
        <v>45051.43266203703</v>
      </c>
      <c r="B482" s="4" t="inlineStr">
        <is>
          <t>2023-05</t>
        </is>
      </c>
      <c r="C482" s="4" t="n">
        <v>2050</v>
      </c>
      <c r="D482" s="9" t="inlineStr">
        <is>
          <t>Parallel Courses III</t>
        </is>
      </c>
      <c r="E482" s="4" t="inlineStr">
        <is>
          <t>Hard</t>
        </is>
      </c>
      <c r="F482" s="4" t="inlineStr">
        <is>
          <t>Graph: Topological Sort</t>
        </is>
      </c>
      <c r="G482" s="4" t="inlineStr">
        <is>
          <t>Accepted</t>
        </is>
      </c>
      <c r="H482" s="4" t="inlineStr">
        <is>
          <t>C++</t>
        </is>
      </c>
      <c r="I482" s="4" t="inlineStr">
        <is>
          <t>421 ms</t>
        </is>
      </c>
      <c r="J482" s="4" t="inlineStr">
        <is>
          <t>131.5 MB</t>
        </is>
      </c>
      <c r="K482" s="4" t="n">
        <v>5</v>
      </c>
      <c r="L482" s="4" t="inlineStr">
        <is>
          <t>42/42</t>
        </is>
      </c>
      <c r="M482" s="9" t="inlineStr">
        <is>
          <t>Submission 944738156</t>
        </is>
      </c>
      <c r="N482" s="4" t="inlineStr">
        <is>
          <t>Yes</t>
        </is>
      </c>
    </row>
    <row r="483">
      <c r="A483" s="11" t="n">
        <v>45051.55753472223</v>
      </c>
      <c r="B483" s="4" t="inlineStr">
        <is>
          <t>2023-05</t>
        </is>
      </c>
      <c r="C483" s="4" t="n">
        <v>252</v>
      </c>
      <c r="D483" s="9" t="inlineStr">
        <is>
          <t>Meeting Rooms</t>
        </is>
      </c>
      <c r="E483" s="4" t="inlineStr">
        <is>
          <t>Easy</t>
        </is>
      </c>
      <c r="F483" s="4" t="inlineStr">
        <is>
          <t>Intervals &amp; Sweep Line</t>
        </is>
      </c>
      <c r="G483" s="4" t="inlineStr">
        <is>
          <t>Runtime Error</t>
        </is>
      </c>
      <c r="H483" s="4" t="inlineStr">
        <is>
          <t>C++</t>
        </is>
      </c>
      <c r="I483" s="4" t="inlineStr">
        <is>
          <t>N/A</t>
        </is>
      </c>
      <c r="J483" s="4" t="inlineStr">
        <is>
          <t>N/A</t>
        </is>
      </c>
      <c r="K483" s="4" t="n"/>
      <c r="L483" s="4" t="inlineStr">
        <is>
          <t>2/78</t>
        </is>
      </c>
      <c r="M483" s="9" t="inlineStr">
        <is>
          <t>Submission 944826655</t>
        </is>
      </c>
      <c r="N483" s="4" t="inlineStr">
        <is>
          <t>Yes</t>
        </is>
      </c>
    </row>
    <row r="484">
      <c r="A484" s="11" t="n">
        <v>45051.55804398148</v>
      </c>
      <c r="B484" s="4" t="inlineStr">
        <is>
          <t>2023-05</t>
        </is>
      </c>
      <c r="C484" s="4" t="n">
        <v>252</v>
      </c>
      <c r="D484" s="9" t="inlineStr">
        <is>
          <t>Meeting Rooms</t>
        </is>
      </c>
      <c r="E484" s="4" t="inlineStr">
        <is>
          <t>Easy</t>
        </is>
      </c>
      <c r="F484" s="4" t="inlineStr">
        <is>
          <t>Intervals &amp; Sweep Line</t>
        </is>
      </c>
      <c r="G484" s="4" t="inlineStr">
        <is>
          <t>Wrong Answer</t>
        </is>
      </c>
      <c r="H484" s="4" t="inlineStr">
        <is>
          <t>C++</t>
        </is>
      </c>
      <c r="I484" s="4" t="inlineStr">
        <is>
          <t>N/A</t>
        </is>
      </c>
      <c r="J484" s="4" t="inlineStr">
        <is>
          <t>N/A</t>
        </is>
      </c>
      <c r="K484" s="4" t="n"/>
      <c r="L484" s="4" t="inlineStr">
        <is>
          <t>74/78</t>
        </is>
      </c>
      <c r="M484" s="9" t="inlineStr">
        <is>
          <t>Submission 944826968</t>
        </is>
      </c>
      <c r="N484" s="4" t="inlineStr">
        <is>
          <t>Yes</t>
        </is>
      </c>
    </row>
    <row r="485">
      <c r="A485" s="11" t="n">
        <v>45051.55846064815</v>
      </c>
      <c r="B485" s="4" t="inlineStr">
        <is>
          <t>2023-05</t>
        </is>
      </c>
      <c r="C485" s="4" t="n">
        <v>252</v>
      </c>
      <c r="D485" s="9" t="inlineStr">
        <is>
          <t>Meeting Rooms</t>
        </is>
      </c>
      <c r="E485" s="4" t="inlineStr">
        <is>
          <t>Easy</t>
        </is>
      </c>
      <c r="F485" s="4" t="inlineStr">
        <is>
          <t>Intervals &amp; Sweep Line</t>
        </is>
      </c>
      <c r="G485" s="4" t="inlineStr">
        <is>
          <t>Accepted</t>
        </is>
      </c>
      <c r="H485" s="4" t="inlineStr">
        <is>
          <t>C++</t>
        </is>
      </c>
      <c r="I485" s="4" t="inlineStr">
        <is>
          <t>22 ms</t>
        </is>
      </c>
      <c r="J485" s="4" t="inlineStr">
        <is>
          <t>11.6 MB</t>
        </is>
      </c>
      <c r="K485" s="4" t="n">
        <v>5.8</v>
      </c>
      <c r="L485" s="4" t="inlineStr">
        <is>
          <t>78/78</t>
        </is>
      </c>
      <c r="M485" s="9" t="inlineStr">
        <is>
          <t>Submission 944827224</t>
        </is>
      </c>
      <c r="N485" s="4" t="inlineStr">
        <is>
          <t>Yes</t>
        </is>
      </c>
    </row>
    <row r="486">
      <c r="A486" s="11" t="n">
        <v>45051.6134375</v>
      </c>
      <c r="B486" s="4" t="inlineStr">
        <is>
          <t>2023-05</t>
        </is>
      </c>
      <c r="C486" s="4" t="n">
        <v>253</v>
      </c>
      <c r="D486" s="9" t="inlineStr">
        <is>
          <t>Meeting Rooms II</t>
        </is>
      </c>
      <c r="E486" s="4" t="inlineStr">
        <is>
          <t>Medium</t>
        </is>
      </c>
      <c r="F486" s="4" t="inlineStr">
        <is>
          <t>Intervals &amp; Sweep Line</t>
        </is>
      </c>
      <c r="G486" s="4" t="inlineStr">
        <is>
          <t>Accepted</t>
        </is>
      </c>
      <c r="H486" s="4" t="inlineStr">
        <is>
          <t>C++</t>
        </is>
      </c>
      <c r="I486" s="4" t="inlineStr">
        <is>
          <t>22 ms</t>
        </is>
      </c>
      <c r="J486" s="4" t="inlineStr">
        <is>
          <t>11.7 MB</t>
        </is>
      </c>
      <c r="K486" s="4" t="n">
        <v>6.6</v>
      </c>
      <c r="L486" s="4" t="inlineStr">
        <is>
          <t>78/78</t>
        </is>
      </c>
      <c r="M486" s="9" t="inlineStr">
        <is>
          <t>Submission 944860535</t>
        </is>
      </c>
      <c r="N486" s="4" t="inlineStr">
        <is>
          <t>Yes</t>
        </is>
      </c>
    </row>
    <row r="487">
      <c r="A487" s="11" t="n">
        <v>45051.63640046296</v>
      </c>
      <c r="B487" s="4" t="inlineStr">
        <is>
          <t>2023-05</t>
        </is>
      </c>
      <c r="C487" s="4" t="n">
        <v>2402</v>
      </c>
      <c r="D487" s="9" t="inlineStr">
        <is>
          <t>Meeting Rooms III</t>
        </is>
      </c>
      <c r="E487" s="4" t="inlineStr">
        <is>
          <t>Hard</t>
        </is>
      </c>
      <c r="F487" s="4" t="inlineStr">
        <is>
          <t>Heap / Top-K</t>
        </is>
      </c>
      <c r="G487" s="4" t="inlineStr">
        <is>
          <t>Runtime Error</t>
        </is>
      </c>
      <c r="H487" s="4" t="inlineStr">
        <is>
          <t>C++</t>
        </is>
      </c>
      <c r="I487" s="4" t="inlineStr">
        <is>
          <t>N/A</t>
        </is>
      </c>
      <c r="J487" s="4" t="inlineStr">
        <is>
          <t>N/A</t>
        </is>
      </c>
      <c r="K487" s="4" t="n"/>
      <c r="L487" s="4" t="inlineStr">
        <is>
          <t>72/82</t>
        </is>
      </c>
      <c r="M487" s="9" t="inlineStr">
        <is>
          <t>Submission 944875062</t>
        </is>
      </c>
      <c r="N487" s="4" t="inlineStr">
        <is>
          <t>Yes</t>
        </is>
      </c>
    </row>
    <row r="488">
      <c r="A488" s="11" t="n">
        <v>45051.63729166667</v>
      </c>
      <c r="B488" s="4" t="inlineStr">
        <is>
          <t>2023-05</t>
        </is>
      </c>
      <c r="C488" s="4" t="n">
        <v>2402</v>
      </c>
      <c r="D488" s="9" t="inlineStr">
        <is>
          <t>Meeting Rooms III</t>
        </is>
      </c>
      <c r="E488" s="4" t="inlineStr">
        <is>
          <t>Hard</t>
        </is>
      </c>
      <c r="F488" s="4" t="inlineStr">
        <is>
          <t>Heap / Top-K</t>
        </is>
      </c>
      <c r="G488" s="4" t="inlineStr">
        <is>
          <t>Accepted</t>
        </is>
      </c>
      <c r="H488" s="4" t="inlineStr">
        <is>
          <t>C++</t>
        </is>
      </c>
      <c r="I488" s="4" t="inlineStr">
        <is>
          <t>568 ms</t>
        </is>
      </c>
      <c r="J488" s="4" t="inlineStr">
        <is>
          <t>96.8 MB</t>
        </is>
      </c>
      <c r="K488" s="4" t="n">
        <v>5</v>
      </c>
      <c r="L488" s="4" t="inlineStr">
        <is>
          <t>82/82</t>
        </is>
      </c>
      <c r="M488" s="9" t="inlineStr">
        <is>
          <t>Submission 944875573</t>
        </is>
      </c>
      <c r="N488" s="4" t="inlineStr">
        <is>
          <t>Yes</t>
        </is>
      </c>
    </row>
    <row r="489">
      <c r="A489" s="11" t="n">
        <v>45051.64331018519</v>
      </c>
      <c r="B489" s="4" t="inlineStr">
        <is>
          <t>2023-05</t>
        </is>
      </c>
      <c r="C489" s="4" t="n">
        <v>2402</v>
      </c>
      <c r="D489" s="9" t="inlineStr">
        <is>
          <t>Meeting Rooms III</t>
        </is>
      </c>
      <c r="E489" s="4" t="inlineStr">
        <is>
          <t>Hard</t>
        </is>
      </c>
      <c r="F489" s="4" t="inlineStr">
        <is>
          <t>Heap / Top-K</t>
        </is>
      </c>
      <c r="G489" s="4" t="inlineStr">
        <is>
          <t>Accepted</t>
        </is>
      </c>
      <c r="H489" s="4" t="inlineStr">
        <is>
          <t>C++</t>
        </is>
      </c>
      <c r="I489" s="4" t="inlineStr">
        <is>
          <t>585 ms</t>
        </is>
      </c>
      <c r="J489" s="4" t="inlineStr">
        <is>
          <t>96.7 MB</t>
        </is>
      </c>
      <c r="K489" s="4" t="n">
        <v>5</v>
      </c>
      <c r="L489" s="4" t="inlineStr">
        <is>
          <t>82/82</t>
        </is>
      </c>
      <c r="M489" s="9" t="inlineStr">
        <is>
          <t>Submission 944879115</t>
        </is>
      </c>
      <c r="N489" s="4" t="inlineStr">
        <is>
          <t>Yes</t>
        </is>
      </c>
    </row>
    <row r="490">
      <c r="A490" s="11" t="n">
        <v>45051.64372685185</v>
      </c>
      <c r="B490" s="4" t="inlineStr">
        <is>
          <t>2023-05</t>
        </is>
      </c>
      <c r="C490" s="4" t="n">
        <v>2402</v>
      </c>
      <c r="D490" s="9" t="inlineStr">
        <is>
          <t>Meeting Rooms III</t>
        </is>
      </c>
      <c r="E490" s="4" t="inlineStr">
        <is>
          <t>Hard</t>
        </is>
      </c>
      <c r="F490" s="4" t="inlineStr">
        <is>
          <t>Heap / Top-K</t>
        </is>
      </c>
      <c r="G490" s="4" t="inlineStr">
        <is>
          <t>Accepted</t>
        </is>
      </c>
      <c r="H490" s="4" t="inlineStr">
        <is>
          <t>C++</t>
        </is>
      </c>
      <c r="I490" s="4" t="inlineStr">
        <is>
          <t>559 ms</t>
        </is>
      </c>
      <c r="J490" s="4" t="inlineStr">
        <is>
          <t>96.8 MB</t>
        </is>
      </c>
      <c r="K490" s="4" t="n">
        <v>5</v>
      </c>
      <c r="L490" s="4" t="inlineStr">
        <is>
          <t>82/82</t>
        </is>
      </c>
      <c r="M490" s="9" t="inlineStr">
        <is>
          <t>Submission 944879357</t>
        </is>
      </c>
      <c r="N490" s="4" t="inlineStr">
        <is>
          <t>Yes</t>
        </is>
      </c>
    </row>
    <row r="491">
      <c r="A491" s="11" t="n">
        <v>45051.67959490741</v>
      </c>
      <c r="B491" s="4" t="inlineStr">
        <is>
          <t>2023-05</t>
        </is>
      </c>
      <c r="C491" s="4" t="n">
        <v>1606</v>
      </c>
      <c r="D491" s="9" t="inlineStr">
        <is>
          <t>Find Servers That Handled Most Number of Requests</t>
        </is>
      </c>
      <c r="E491" s="4" t="inlineStr">
        <is>
          <t>Hard</t>
        </is>
      </c>
      <c r="F491" s="4" t="inlineStr">
        <is>
          <t>Heap / Top-K</t>
        </is>
      </c>
      <c r="G491" s="4" t="inlineStr">
        <is>
          <t>Wrong Answer</t>
        </is>
      </c>
      <c r="H491" s="4" t="inlineStr">
        <is>
          <t>C++</t>
        </is>
      </c>
      <c r="I491" s="4" t="inlineStr">
        <is>
          <t>N/A</t>
        </is>
      </c>
      <c r="J491" s="4" t="inlineStr">
        <is>
          <t>N/A</t>
        </is>
      </c>
      <c r="K491" s="4" t="n"/>
      <c r="L491" s="4" t="inlineStr">
        <is>
          <t>4/108</t>
        </is>
      </c>
      <c r="M491" s="9" t="inlineStr">
        <is>
          <t>Submission 944900894</t>
        </is>
      </c>
      <c r="N491" s="4" t="inlineStr">
        <is>
          <t>Yes</t>
        </is>
      </c>
    </row>
    <row r="492">
      <c r="A492" s="11" t="n">
        <v>45051.74961805555</v>
      </c>
      <c r="B492" s="4" t="inlineStr">
        <is>
          <t>2023-05</t>
        </is>
      </c>
      <c r="C492" s="4" t="n">
        <v>1606</v>
      </c>
      <c r="D492" s="9" t="inlineStr">
        <is>
          <t>Find Servers That Handled Most Number of Requests</t>
        </is>
      </c>
      <c r="E492" s="4" t="inlineStr">
        <is>
          <t>Hard</t>
        </is>
      </c>
      <c r="F492" s="4" t="inlineStr">
        <is>
          <t>Heap / Top-K</t>
        </is>
      </c>
      <c r="G492" s="4" t="inlineStr">
        <is>
          <t>Runtime Error</t>
        </is>
      </c>
      <c r="H492" s="4" t="inlineStr">
        <is>
          <t>C++</t>
        </is>
      </c>
      <c r="I492" s="4" t="inlineStr">
        <is>
          <t>N/A</t>
        </is>
      </c>
      <c r="J492" s="4" t="inlineStr">
        <is>
          <t>N/A</t>
        </is>
      </c>
      <c r="K492" s="4" t="n"/>
      <c r="L492" s="4" t="inlineStr">
        <is>
          <t>5/108</t>
        </is>
      </c>
      <c r="M492" s="9" t="inlineStr">
        <is>
          <t>Submission 944941314</t>
        </is>
      </c>
      <c r="N492" s="4" t="inlineStr">
        <is>
          <t>Yes</t>
        </is>
      </c>
    </row>
    <row r="493">
      <c r="A493" s="11" t="n">
        <v>45051.75055555555</v>
      </c>
      <c r="B493" s="4" t="inlineStr">
        <is>
          <t>2023-05</t>
        </is>
      </c>
      <c r="C493" s="4" t="n">
        <v>1606</v>
      </c>
      <c r="D493" s="9" t="inlineStr">
        <is>
          <t>Find Servers That Handled Most Number of Requests</t>
        </is>
      </c>
      <c r="E493" s="4" t="inlineStr">
        <is>
          <t>Hard</t>
        </is>
      </c>
      <c r="F493" s="4" t="inlineStr">
        <is>
          <t>Heap / Top-K</t>
        </is>
      </c>
      <c r="G493" s="4" t="inlineStr">
        <is>
          <t>Time Limit Exceeded</t>
        </is>
      </c>
      <c r="H493" s="4" t="inlineStr">
        <is>
          <t>C++</t>
        </is>
      </c>
      <c r="I493" s="4" t="inlineStr">
        <is>
          <t>N/A</t>
        </is>
      </c>
      <c r="J493" s="4" t="inlineStr">
        <is>
          <t>N/A</t>
        </is>
      </c>
      <c r="K493" s="4" t="n"/>
      <c r="L493" s="4" t="inlineStr">
        <is>
          <t>98/108</t>
        </is>
      </c>
      <c r="M493" s="9" t="inlineStr">
        <is>
          <t>Submission 944941874</t>
        </is>
      </c>
      <c r="N493" s="4" t="inlineStr">
        <is>
          <t>Yes</t>
        </is>
      </c>
    </row>
    <row r="494">
      <c r="A494" s="11" t="n">
        <v>45051.75129629629</v>
      </c>
      <c r="B494" s="4" t="inlineStr">
        <is>
          <t>2023-05</t>
        </is>
      </c>
      <c r="C494" s="4" t="n">
        <v>1606</v>
      </c>
      <c r="D494" s="9" t="inlineStr">
        <is>
          <t>Find Servers That Handled Most Number of Requests</t>
        </is>
      </c>
      <c r="E494" s="4" t="inlineStr">
        <is>
          <t>Hard</t>
        </is>
      </c>
      <c r="F494" s="4" t="inlineStr">
        <is>
          <t>Heap / Top-K</t>
        </is>
      </c>
      <c r="G494" s="4" t="inlineStr">
        <is>
          <t>Accepted</t>
        </is>
      </c>
      <c r="H494" s="4" t="inlineStr">
        <is>
          <t>C++</t>
        </is>
      </c>
      <c r="I494" s="4" t="inlineStr">
        <is>
          <t>468 ms</t>
        </is>
      </c>
      <c r="J494" s="4" t="inlineStr">
        <is>
          <t>122.1 MB</t>
        </is>
      </c>
      <c r="K494" s="4" t="n">
        <v>5.1</v>
      </c>
      <c r="L494" s="4" t="inlineStr">
        <is>
          <t>108/108</t>
        </is>
      </c>
      <c r="M494" s="9" t="inlineStr">
        <is>
          <t>Submission 944942305</t>
        </is>
      </c>
      <c r="N494" s="4" t="inlineStr">
        <is>
          <t>Yes</t>
        </is>
      </c>
    </row>
    <row r="495">
      <c r="A495" s="11" t="n">
        <v>45051.75303240741</v>
      </c>
      <c r="B495" s="4" t="inlineStr">
        <is>
          <t>2023-05</t>
        </is>
      </c>
      <c r="C495" s="4" t="n">
        <v>1606</v>
      </c>
      <c r="D495" s="9" t="inlineStr">
        <is>
          <t>Find Servers That Handled Most Number of Requests</t>
        </is>
      </c>
      <c r="E495" s="4" t="inlineStr">
        <is>
          <t>Hard</t>
        </is>
      </c>
      <c r="F495" s="4" t="inlineStr">
        <is>
          <t>Heap / Top-K</t>
        </is>
      </c>
      <c r="G495" s="4" t="inlineStr">
        <is>
          <t>Accepted</t>
        </is>
      </c>
      <c r="H495" s="4" t="inlineStr">
        <is>
          <t>C++</t>
        </is>
      </c>
      <c r="I495" s="4" t="inlineStr">
        <is>
          <t>432 ms</t>
        </is>
      </c>
      <c r="J495" s="4" t="inlineStr">
        <is>
          <t>122 MB</t>
        </is>
      </c>
      <c r="K495" s="4" t="n">
        <v>5.1</v>
      </c>
      <c r="L495" s="4" t="inlineStr">
        <is>
          <t>108/108</t>
        </is>
      </c>
      <c r="M495" s="9" t="inlineStr">
        <is>
          <t>Submission 944943301</t>
        </is>
      </c>
      <c r="N495" s="4" t="inlineStr">
        <is>
          <t>Yes</t>
        </is>
      </c>
    </row>
    <row r="496">
      <c r="A496" s="11" t="n">
        <v>45051.77700231481</v>
      </c>
      <c r="B496" s="4" t="inlineStr">
        <is>
          <t>2023-05</t>
        </is>
      </c>
      <c r="C496" s="4" t="n">
        <v>1606</v>
      </c>
      <c r="D496" s="9" t="inlineStr">
        <is>
          <t>Find Servers That Handled Most Number of Requests</t>
        </is>
      </c>
      <c r="E496" s="4" t="inlineStr">
        <is>
          <t>Hard</t>
        </is>
      </c>
      <c r="F496" s="4" t="inlineStr">
        <is>
          <t>Heap / Top-K</t>
        </is>
      </c>
      <c r="G496" s="4" t="inlineStr">
        <is>
          <t>Accepted</t>
        </is>
      </c>
      <c r="H496" s="4" t="inlineStr">
        <is>
          <t>C++</t>
        </is>
      </c>
      <c r="I496" s="4" t="inlineStr">
        <is>
          <t>458 ms</t>
        </is>
      </c>
      <c r="J496" s="4" t="inlineStr">
        <is>
          <t>122.1 MB</t>
        </is>
      </c>
      <c r="K496" s="4" t="n">
        <v>5.1</v>
      </c>
      <c r="L496" s="4" t="inlineStr">
        <is>
          <t>108/108</t>
        </is>
      </c>
      <c r="M496" s="9" t="inlineStr">
        <is>
          <t>Submission 944957969</t>
        </is>
      </c>
      <c r="N496" s="4" t="inlineStr">
        <is>
          <t>Yes</t>
        </is>
      </c>
    </row>
    <row r="497">
      <c r="A497" s="11" t="n">
        <v>45051.79219907407</v>
      </c>
      <c r="B497" s="4" t="inlineStr">
        <is>
          <t>2023-05</t>
        </is>
      </c>
      <c r="C497" s="4" t="n">
        <v>727</v>
      </c>
      <c r="D497" s="9" t="inlineStr">
        <is>
          <t>Minimum Window Subsequence</t>
        </is>
      </c>
      <c r="E497" s="4" t="inlineStr">
        <is>
          <t>Hard</t>
        </is>
      </c>
      <c r="F497" s="4" t="inlineStr">
        <is>
          <t>DP: Strings (LCS, Edit, Matching)</t>
        </is>
      </c>
      <c r="G497" s="4" t="inlineStr">
        <is>
          <t>Accepted</t>
        </is>
      </c>
      <c r="H497" s="4" t="inlineStr">
        <is>
          <t>C++</t>
        </is>
      </c>
      <c r="I497" s="4" t="inlineStr">
        <is>
          <t>372 ms</t>
        </is>
      </c>
      <c r="J497" s="4" t="inlineStr">
        <is>
          <t>90 MB</t>
        </is>
      </c>
      <c r="K497" s="4" t="n">
        <v>16.3</v>
      </c>
      <c r="L497" s="4" t="inlineStr">
        <is>
          <t>68/68</t>
        </is>
      </c>
      <c r="M497" s="9" t="inlineStr">
        <is>
          <t>Submission 944967796</t>
        </is>
      </c>
      <c r="N497" s="4" t="inlineStr">
        <is>
          <t>Yes</t>
        </is>
      </c>
    </row>
    <row r="498">
      <c r="A498" s="11" t="n">
        <v>45051.79484953704</v>
      </c>
      <c r="B498" s="4" t="inlineStr">
        <is>
          <t>2023-05</t>
        </is>
      </c>
      <c r="C498" s="4" t="n">
        <v>727</v>
      </c>
      <c r="D498" s="9" t="inlineStr">
        <is>
          <t>Minimum Window Subsequence</t>
        </is>
      </c>
      <c r="E498" s="4" t="inlineStr">
        <is>
          <t>Hard</t>
        </is>
      </c>
      <c r="F498" s="4" t="inlineStr">
        <is>
          <t>DP: Strings (LCS, Edit, Matching)</t>
        </is>
      </c>
      <c r="G498" s="4" t="inlineStr">
        <is>
          <t>Accepted</t>
        </is>
      </c>
      <c r="H498" s="4" t="inlineStr">
        <is>
          <t>C++</t>
        </is>
      </c>
      <c r="I498" s="4" t="inlineStr">
        <is>
          <t>8 ms</t>
        </is>
      </c>
      <c r="J498" s="4" t="inlineStr">
        <is>
          <t>8.2 MB</t>
        </is>
      </c>
      <c r="K498" s="4" t="n">
        <v>68.5</v>
      </c>
      <c r="L498" s="4" t="inlineStr">
        <is>
          <t>68/68</t>
        </is>
      </c>
      <c r="M498" s="9" t="inlineStr">
        <is>
          <t>Submission 944969484</t>
        </is>
      </c>
      <c r="N498" s="4" t="inlineStr">
        <is>
          <t>Yes</t>
        </is>
      </c>
    </row>
    <row r="499">
      <c r="A499" s="11" t="n">
        <v>45053.39974537037</v>
      </c>
      <c r="B499" s="4" t="inlineStr">
        <is>
          <t>2023-05</t>
        </is>
      </c>
      <c r="C499" s="4" t="n">
        <v>10</v>
      </c>
      <c r="D499" s="9" t="inlineStr">
        <is>
          <t>Regular Expression Matching</t>
        </is>
      </c>
      <c r="E499" s="4" t="inlineStr">
        <is>
          <t>Hard</t>
        </is>
      </c>
      <c r="F499" s="4" t="inlineStr">
        <is>
          <t>DP: Strings (LCS, Edit, Matching)</t>
        </is>
      </c>
      <c r="G499" s="4" t="inlineStr">
        <is>
          <t>Wrong Answer</t>
        </is>
      </c>
      <c r="H499" s="4" t="inlineStr">
        <is>
          <t>C++</t>
        </is>
      </c>
      <c r="I499" s="4" t="inlineStr">
        <is>
          <t>N/A</t>
        </is>
      </c>
      <c r="J499" s="4" t="inlineStr">
        <is>
          <t>N/A</t>
        </is>
      </c>
      <c r="K499" s="4" t="n"/>
      <c r="L499" s="4" t="inlineStr">
        <is>
          <t>288/354</t>
        </is>
      </c>
      <c r="M499" s="9" t="inlineStr">
        <is>
          <t>Submission 945849140</t>
        </is>
      </c>
      <c r="N499" s="4" t="inlineStr">
        <is>
          <t>Yes</t>
        </is>
      </c>
    </row>
    <row r="500">
      <c r="A500" s="11" t="n">
        <v>45053.41503472222</v>
      </c>
      <c r="B500" s="4" t="inlineStr">
        <is>
          <t>2023-05</t>
        </is>
      </c>
      <c r="C500" s="4" t="n">
        <v>10</v>
      </c>
      <c r="D500" s="9" t="inlineStr">
        <is>
          <t>Regular Expression Matching</t>
        </is>
      </c>
      <c r="E500" s="4" t="inlineStr">
        <is>
          <t>Hard</t>
        </is>
      </c>
      <c r="F500" s="4" t="inlineStr">
        <is>
          <t>DP: Strings (LCS, Edit, Matching)</t>
        </is>
      </c>
      <c r="G500" s="4" t="inlineStr">
        <is>
          <t>Accepted</t>
        </is>
      </c>
      <c r="H500" s="4" t="inlineStr">
        <is>
          <t>C++</t>
        </is>
      </c>
      <c r="I500" s="4" t="inlineStr">
        <is>
          <t>15 ms</t>
        </is>
      </c>
      <c r="J500" s="4" t="inlineStr">
        <is>
          <t>19.3 MB</t>
        </is>
      </c>
      <c r="K500" s="4" t="n">
        <v>12.7</v>
      </c>
      <c r="L500" s="4" t="inlineStr">
        <is>
          <t>354/354</t>
        </is>
      </c>
      <c r="M500" s="9" t="inlineStr">
        <is>
          <t>Submission 945858570</t>
        </is>
      </c>
      <c r="N500" s="4" t="inlineStr">
        <is>
          <t>Yes</t>
        </is>
      </c>
    </row>
    <row r="501">
      <c r="A501" s="11" t="n">
        <v>45053.41612268519</v>
      </c>
      <c r="B501" s="4" t="inlineStr">
        <is>
          <t>2023-05</t>
        </is>
      </c>
      <c r="C501" s="4" t="n">
        <v>10</v>
      </c>
      <c r="D501" s="9" t="inlineStr">
        <is>
          <t>Regular Expression Matching</t>
        </is>
      </c>
      <c r="E501" s="4" t="inlineStr">
        <is>
          <t>Hard</t>
        </is>
      </c>
      <c r="F501" s="4" t="inlineStr">
        <is>
          <t>DP: Strings (LCS, Edit, Matching)</t>
        </is>
      </c>
      <c r="G501" s="4" t="inlineStr">
        <is>
          <t>Wrong Answer</t>
        </is>
      </c>
      <c r="H501" s="4" t="inlineStr">
        <is>
          <t>C++</t>
        </is>
      </c>
      <c r="I501" s="4" t="inlineStr">
        <is>
          <t>N/A</t>
        </is>
      </c>
      <c r="J501" s="4" t="inlineStr">
        <is>
          <t>N/A</t>
        </is>
      </c>
      <c r="K501" s="4" t="n"/>
      <c r="L501" s="4" t="inlineStr">
        <is>
          <t>260/354</t>
        </is>
      </c>
      <c r="M501" s="9" t="inlineStr">
        <is>
          <t>Submission 945859184</t>
        </is>
      </c>
      <c r="N501" s="4" t="inlineStr">
        <is>
          <t>Yes</t>
        </is>
      </c>
    </row>
    <row r="502">
      <c r="A502" s="11" t="n">
        <v>45053.44371527778</v>
      </c>
      <c r="B502" s="4" t="inlineStr">
        <is>
          <t>2023-05</t>
        </is>
      </c>
      <c r="C502" s="4" t="n">
        <v>187</v>
      </c>
      <c r="D502" s="9" t="inlineStr">
        <is>
          <t>Repeated DNA Sequences</t>
        </is>
      </c>
      <c r="E502" s="4" t="inlineStr">
        <is>
          <t>Medium</t>
        </is>
      </c>
      <c r="F502" s="4" t="inlineStr">
        <is>
          <t>Sliding Window</t>
        </is>
      </c>
      <c r="G502" s="4" t="inlineStr">
        <is>
          <t>Accepted</t>
        </is>
      </c>
      <c r="H502" s="4" t="inlineStr">
        <is>
          <t>C++</t>
        </is>
      </c>
      <c r="I502" s="4" t="inlineStr">
        <is>
          <t>130 ms</t>
        </is>
      </c>
      <c r="J502" s="4" t="inlineStr">
        <is>
          <t>22.3 MB</t>
        </is>
      </c>
      <c r="K502" s="4" t="n">
        <v>98.3</v>
      </c>
      <c r="L502" s="4" t="inlineStr">
        <is>
          <t>31/31</t>
        </is>
      </c>
      <c r="M502" s="9" t="inlineStr">
        <is>
          <t>Submission 945874530</t>
        </is>
      </c>
      <c r="N502" s="4" t="inlineStr">
        <is>
          <t>Yes</t>
        </is>
      </c>
    </row>
    <row r="503">
      <c r="A503" s="11" t="n">
        <v>45053.4471875</v>
      </c>
      <c r="B503" s="4" t="inlineStr">
        <is>
          <t>2023-05</t>
        </is>
      </c>
      <c r="C503" s="4" t="n">
        <v>187</v>
      </c>
      <c r="D503" s="9" t="inlineStr">
        <is>
          <t>Repeated DNA Sequences</t>
        </is>
      </c>
      <c r="E503" s="4" t="inlineStr">
        <is>
          <t>Medium</t>
        </is>
      </c>
      <c r="F503" s="4" t="inlineStr">
        <is>
          <t>Sliding Window</t>
        </is>
      </c>
      <c r="G503" s="4" t="inlineStr">
        <is>
          <t>Accepted</t>
        </is>
      </c>
      <c r="H503" s="4" t="inlineStr">
        <is>
          <t>C++</t>
        </is>
      </c>
      <c r="I503" s="4" t="inlineStr">
        <is>
          <t>66 ms</t>
        </is>
      </c>
      <c r="J503" s="4" t="inlineStr">
        <is>
          <t>19.6 MB</t>
        </is>
      </c>
      <c r="K503" s="4" t="n">
        <v>98.90000000000001</v>
      </c>
      <c r="L503" s="4" t="inlineStr">
        <is>
          <t>31/31</t>
        </is>
      </c>
      <c r="M503" s="9" t="inlineStr">
        <is>
          <t>Submission 945876566</t>
        </is>
      </c>
      <c r="N503" s="4" t="inlineStr">
        <is>
          <t>Yes</t>
        </is>
      </c>
    </row>
    <row r="504">
      <c r="A504" s="11" t="n">
        <v>45053.4474537037</v>
      </c>
      <c r="B504" s="4" t="inlineStr">
        <is>
          <t>2023-05</t>
        </is>
      </c>
      <c r="C504" s="4" t="n">
        <v>187</v>
      </c>
      <c r="D504" s="9" t="inlineStr">
        <is>
          <t>Repeated DNA Sequences</t>
        </is>
      </c>
      <c r="E504" s="4" t="inlineStr">
        <is>
          <t>Medium</t>
        </is>
      </c>
      <c r="F504" s="4" t="inlineStr">
        <is>
          <t>Sliding Window</t>
        </is>
      </c>
      <c r="G504" s="4" t="inlineStr">
        <is>
          <t>Accepted</t>
        </is>
      </c>
      <c r="H504" s="4" t="inlineStr">
        <is>
          <t>C++</t>
        </is>
      </c>
      <c r="I504" s="4" t="inlineStr">
        <is>
          <t>66 ms</t>
        </is>
      </c>
      <c r="J504" s="4" t="inlineStr">
        <is>
          <t>19.5 MB</t>
        </is>
      </c>
      <c r="K504" s="4" t="n">
        <v>98.90000000000001</v>
      </c>
      <c r="L504" s="4" t="inlineStr">
        <is>
          <t>31/31</t>
        </is>
      </c>
      <c r="M504" s="9" t="inlineStr">
        <is>
          <t>Submission 945876723</t>
        </is>
      </c>
      <c r="N504" s="4" t="inlineStr">
        <is>
          <t>Yes</t>
        </is>
      </c>
    </row>
    <row r="505">
      <c r="A505" s="11" t="n">
        <v>45053.45880787037</v>
      </c>
      <c r="B505" s="4" t="inlineStr">
        <is>
          <t>2023-05</t>
        </is>
      </c>
      <c r="C505" s="4" t="n">
        <v>239</v>
      </c>
      <c r="D505" s="9" t="inlineStr">
        <is>
          <t>Sliding Window Maximum</t>
        </is>
      </c>
      <c r="E505" s="4" t="inlineStr">
        <is>
          <t>Hard</t>
        </is>
      </c>
      <c r="F505" s="4" t="inlineStr">
        <is>
          <t>Monotonic Stack / Deque</t>
        </is>
      </c>
      <c r="G505" s="4" t="inlineStr">
        <is>
          <t>Wrong Answer</t>
        </is>
      </c>
      <c r="H505" s="4" t="inlineStr">
        <is>
          <t>C++</t>
        </is>
      </c>
      <c r="I505" s="4" t="inlineStr">
        <is>
          <t>N/A</t>
        </is>
      </c>
      <c r="J505" s="4" t="inlineStr">
        <is>
          <t>N/A</t>
        </is>
      </c>
      <c r="K505" s="4" t="n"/>
      <c r="L505" s="4" t="inlineStr">
        <is>
          <t>39/51</t>
        </is>
      </c>
      <c r="M505" s="9" t="inlineStr">
        <is>
          <t>Submission 945883294</t>
        </is>
      </c>
      <c r="N505" s="4" t="inlineStr">
        <is>
          <t>Yes</t>
        </is>
      </c>
    </row>
    <row r="506">
      <c r="A506" s="11" t="n">
        <v>45053.4646412037</v>
      </c>
      <c r="B506" s="4" t="inlineStr">
        <is>
          <t>2023-05</t>
        </is>
      </c>
      <c r="C506" s="4" t="n">
        <v>239</v>
      </c>
      <c r="D506" s="9" t="inlineStr">
        <is>
          <t>Sliding Window Maximum</t>
        </is>
      </c>
      <c r="E506" s="4" t="inlineStr">
        <is>
          <t>Hard</t>
        </is>
      </c>
      <c r="F506" s="4" t="inlineStr">
        <is>
          <t>Monotonic Stack / Deque</t>
        </is>
      </c>
      <c r="G506" s="4" t="inlineStr">
        <is>
          <t>Time Limit Exceeded</t>
        </is>
      </c>
      <c r="H506" s="4" t="inlineStr">
        <is>
          <t>C++</t>
        </is>
      </c>
      <c r="I506" s="4" t="inlineStr">
        <is>
          <t>N/A</t>
        </is>
      </c>
      <c r="J506" s="4" t="inlineStr">
        <is>
          <t>N/A</t>
        </is>
      </c>
      <c r="K506" s="4" t="n"/>
      <c r="L506" s="4" t="inlineStr"/>
      <c r="M506" s="9" t="inlineStr">
        <is>
          <t>Submission 945886665</t>
        </is>
      </c>
      <c r="N506" s="4" t="inlineStr">
        <is>
          <t>Yes</t>
        </is>
      </c>
    </row>
    <row r="507">
      <c r="A507" s="11" t="n">
        <v>45053.46494212963</v>
      </c>
      <c r="B507" s="4" t="inlineStr">
        <is>
          <t>2023-05</t>
        </is>
      </c>
      <c r="C507" s="4" t="n">
        <v>239</v>
      </c>
      <c r="D507" s="9" t="inlineStr">
        <is>
          <t>Sliding Window Maximum</t>
        </is>
      </c>
      <c r="E507" s="4" t="inlineStr">
        <is>
          <t>Hard</t>
        </is>
      </c>
      <c r="F507" s="4" t="inlineStr">
        <is>
          <t>Monotonic Stack / Deque</t>
        </is>
      </c>
      <c r="G507" s="4" t="inlineStr">
        <is>
          <t>Accepted</t>
        </is>
      </c>
      <c r="H507" s="4" t="inlineStr">
        <is>
          <t>C++</t>
        </is>
      </c>
      <c r="I507" s="4" t="inlineStr">
        <is>
          <t>766 ms</t>
        </is>
      </c>
      <c r="J507" s="4" t="inlineStr">
        <is>
          <t>211.9 MB</t>
        </is>
      </c>
      <c r="K507" s="4" t="n">
        <v>5</v>
      </c>
      <c r="L507" s="4" t="inlineStr">
        <is>
          <t>51/51</t>
        </is>
      </c>
      <c r="M507" s="9" t="inlineStr">
        <is>
          <t>Submission 945886830</t>
        </is>
      </c>
      <c r="N507" s="4" t="inlineStr">
        <is>
          <t>Yes</t>
        </is>
      </c>
    </row>
    <row r="508">
      <c r="A508" s="11" t="n">
        <v>45053.47501157408</v>
      </c>
      <c r="B508" s="4" t="inlineStr">
        <is>
          <t>2023-05</t>
        </is>
      </c>
      <c r="C508" s="4" t="n">
        <v>239</v>
      </c>
      <c r="D508" s="9" t="inlineStr">
        <is>
          <t>Sliding Window Maximum</t>
        </is>
      </c>
      <c r="E508" s="4" t="inlineStr">
        <is>
          <t>Hard</t>
        </is>
      </c>
      <c r="F508" s="4" t="inlineStr">
        <is>
          <t>Monotonic Stack / Deque</t>
        </is>
      </c>
      <c r="G508" s="4" t="inlineStr">
        <is>
          <t>Accepted</t>
        </is>
      </c>
      <c r="H508" s="4" t="inlineStr">
        <is>
          <t>C++</t>
        </is>
      </c>
      <c r="I508" s="4" t="inlineStr">
        <is>
          <t>334 ms</t>
        </is>
      </c>
      <c r="J508" s="4" t="inlineStr">
        <is>
          <t>134.7 MB</t>
        </is>
      </c>
      <c r="K508" s="4" t="n">
        <v>7.9</v>
      </c>
      <c r="L508" s="4" t="inlineStr">
        <is>
          <t>51/51</t>
        </is>
      </c>
      <c r="M508" s="9" t="inlineStr">
        <is>
          <t>Submission 945892624</t>
        </is>
      </c>
      <c r="N508" s="4" t="inlineStr">
        <is>
          <t>Yes</t>
        </is>
      </c>
    </row>
    <row r="509">
      <c r="A509" s="11" t="n">
        <v>45053.47616898148</v>
      </c>
      <c r="B509" s="4" t="inlineStr">
        <is>
          <t>2023-05</t>
        </is>
      </c>
      <c r="C509" s="4" t="n">
        <v>239</v>
      </c>
      <c r="D509" s="9" t="inlineStr">
        <is>
          <t>Sliding Window Maximum</t>
        </is>
      </c>
      <c r="E509" s="4" t="inlineStr">
        <is>
          <t>Hard</t>
        </is>
      </c>
      <c r="F509" s="4" t="inlineStr">
        <is>
          <t>Monotonic Stack / Deque</t>
        </is>
      </c>
      <c r="G509" s="4" t="inlineStr">
        <is>
          <t>Wrong Answer</t>
        </is>
      </c>
      <c r="H509" s="4" t="inlineStr">
        <is>
          <t>C++</t>
        </is>
      </c>
      <c r="I509" s="4" t="inlineStr">
        <is>
          <t>N/A</t>
        </is>
      </c>
      <c r="J509" s="4" t="inlineStr">
        <is>
          <t>N/A</t>
        </is>
      </c>
      <c r="K509" s="4" t="n"/>
      <c r="L509" s="4" t="inlineStr">
        <is>
          <t>30/51</t>
        </is>
      </c>
      <c r="M509" s="9" t="inlineStr">
        <is>
          <t>Submission 945893319</t>
        </is>
      </c>
      <c r="N509" s="4" t="inlineStr">
        <is>
          <t>Yes</t>
        </is>
      </c>
    </row>
    <row r="510">
      <c r="A510" s="11" t="n">
        <v>45053.4881712963</v>
      </c>
      <c r="B510" s="4" t="inlineStr">
        <is>
          <t>2023-05</t>
        </is>
      </c>
      <c r="C510" s="4" t="n">
        <v>239</v>
      </c>
      <c r="D510" s="9" t="inlineStr">
        <is>
          <t>Sliding Window Maximum</t>
        </is>
      </c>
      <c r="E510" s="4" t="inlineStr">
        <is>
          <t>Hard</t>
        </is>
      </c>
      <c r="F510" s="4" t="inlineStr">
        <is>
          <t>Monotonic Stack / Deque</t>
        </is>
      </c>
      <c r="G510" s="4" t="inlineStr">
        <is>
          <t>Time Limit Exceeded</t>
        </is>
      </c>
      <c r="H510" s="4" t="inlineStr">
        <is>
          <t>C++</t>
        </is>
      </c>
      <c r="I510" s="4" t="inlineStr">
        <is>
          <t>N/A</t>
        </is>
      </c>
      <c r="J510" s="4" t="inlineStr">
        <is>
          <t>N/A</t>
        </is>
      </c>
      <c r="K510" s="4" t="n"/>
      <c r="L510" s="4" t="inlineStr">
        <is>
          <t>37/51</t>
        </is>
      </c>
      <c r="M510" s="9" t="inlineStr">
        <is>
          <t>Submission 945900791</t>
        </is>
      </c>
      <c r="N510" s="4" t="inlineStr">
        <is>
          <t>Yes</t>
        </is>
      </c>
    </row>
    <row r="511">
      <c r="A511" s="11" t="n">
        <v>45053.48859953704</v>
      </c>
      <c r="B511" s="4" t="inlineStr">
        <is>
          <t>2023-05</t>
        </is>
      </c>
      <c r="C511" s="4" t="n">
        <v>239</v>
      </c>
      <c r="D511" s="9" t="inlineStr">
        <is>
          <t>Sliding Window Maximum</t>
        </is>
      </c>
      <c r="E511" s="4" t="inlineStr">
        <is>
          <t>Hard</t>
        </is>
      </c>
      <c r="F511" s="4" t="inlineStr">
        <is>
          <t>Monotonic Stack / Deque</t>
        </is>
      </c>
      <c r="G511" s="4" t="inlineStr">
        <is>
          <t>Accepted</t>
        </is>
      </c>
      <c r="H511" s="4" t="inlineStr">
        <is>
          <t>C++</t>
        </is>
      </c>
      <c r="I511" s="4" t="inlineStr">
        <is>
          <t>325 ms</t>
        </is>
      </c>
      <c r="J511" s="4" t="inlineStr">
        <is>
          <t>134.7 MB</t>
        </is>
      </c>
      <c r="K511" s="4" t="n">
        <v>8.4</v>
      </c>
      <c r="L511" s="4" t="inlineStr">
        <is>
          <t>51/51</t>
        </is>
      </c>
      <c r="M511" s="9" t="inlineStr">
        <is>
          <t>Submission 945901078</t>
        </is>
      </c>
      <c r="N511" s="4" t="inlineStr">
        <is>
          <t>Yes</t>
        </is>
      </c>
    </row>
    <row r="512">
      <c r="A512" s="11" t="n">
        <v>45054.36034722222</v>
      </c>
      <c r="B512" s="4" t="inlineStr">
        <is>
          <t>2023-05</t>
        </is>
      </c>
      <c r="C512" s="4" t="n">
        <v>76</v>
      </c>
      <c r="D512" s="9" t="inlineStr">
        <is>
          <t>Minimum Window Substring</t>
        </is>
      </c>
      <c r="E512" s="4" t="inlineStr">
        <is>
          <t>Hard</t>
        </is>
      </c>
      <c r="F512" s="4" t="inlineStr">
        <is>
          <t>Sliding Window</t>
        </is>
      </c>
      <c r="G512" s="4" t="inlineStr">
        <is>
          <t>Accepted</t>
        </is>
      </c>
      <c r="H512" s="4" t="inlineStr">
        <is>
          <t>C++</t>
        </is>
      </c>
      <c r="I512" s="4" t="inlineStr">
        <is>
          <t>50 ms</t>
        </is>
      </c>
      <c r="J512" s="4" t="inlineStr">
        <is>
          <t>8.5 MB</t>
        </is>
      </c>
      <c r="K512" s="4" t="n">
        <v>11.9</v>
      </c>
      <c r="L512" s="4" t="inlineStr">
        <is>
          <t>267/267</t>
        </is>
      </c>
      <c r="M512" s="9" t="inlineStr">
        <is>
          <t>Submission 946373397</t>
        </is>
      </c>
      <c r="N512" s="4" t="inlineStr">
        <is>
          <t>Yes</t>
        </is>
      </c>
    </row>
    <row r="513">
      <c r="A513" s="11" t="n">
        <v>45054.40981481481</v>
      </c>
      <c r="B513" s="4" t="inlineStr">
        <is>
          <t>2023-05</t>
        </is>
      </c>
      <c r="C513" s="4" t="n">
        <v>727</v>
      </c>
      <c r="D513" s="9" t="inlineStr">
        <is>
          <t>Minimum Window Subsequence</t>
        </is>
      </c>
      <c r="E513" s="4" t="inlineStr">
        <is>
          <t>Hard</t>
        </is>
      </c>
      <c r="F513" s="4" t="inlineStr">
        <is>
          <t>DP: Strings (LCS, Edit, Matching)</t>
        </is>
      </c>
      <c r="G513" s="4" t="inlineStr">
        <is>
          <t>Accepted</t>
        </is>
      </c>
      <c r="H513" s="4" t="inlineStr">
        <is>
          <t>C++</t>
        </is>
      </c>
      <c r="I513" s="4" t="inlineStr">
        <is>
          <t>10 ms</t>
        </is>
      </c>
      <c r="J513" s="4" t="inlineStr">
        <is>
          <t>8.2 MB</t>
        </is>
      </c>
      <c r="K513" s="4" t="n">
        <v>64.09999999999999</v>
      </c>
      <c r="L513" s="4" t="inlineStr">
        <is>
          <t>68/68</t>
        </is>
      </c>
      <c r="M513" s="9" t="inlineStr">
        <is>
          <t>Submission 946400703</t>
        </is>
      </c>
      <c r="N513" s="4" t="inlineStr">
        <is>
          <t>Yes</t>
        </is>
      </c>
    </row>
    <row r="514">
      <c r="A514" s="11" t="n">
        <v>45057.52552083333</v>
      </c>
      <c r="B514" s="4" t="inlineStr">
        <is>
          <t>2023-05</t>
        </is>
      </c>
      <c r="C514" s="4" t="n">
        <v>337</v>
      </c>
      <c r="D514" s="9" t="inlineStr">
        <is>
          <t>House Robber III</t>
        </is>
      </c>
      <c r="E514" s="4" t="inlineStr">
        <is>
          <t>Medium</t>
        </is>
      </c>
      <c r="F514" s="4" t="inlineStr">
        <is>
          <t>DP: On Trees</t>
        </is>
      </c>
      <c r="G514" s="4" t="inlineStr">
        <is>
          <t>Accepted</t>
        </is>
      </c>
      <c r="H514" s="4" t="inlineStr">
        <is>
          <t>C++</t>
        </is>
      </c>
      <c r="I514" s="4" t="inlineStr">
        <is>
          <t>7 ms</t>
        </is>
      </c>
      <c r="J514" s="4" t="inlineStr">
        <is>
          <t>22.1 MB</t>
        </is>
      </c>
      <c r="K514" s="4" t="n">
        <v>35.1</v>
      </c>
      <c r="L514" s="4" t="inlineStr">
        <is>
          <t>124/124</t>
        </is>
      </c>
      <c r="M514" s="9" t="inlineStr">
        <is>
          <t>Submission 948276626</t>
        </is>
      </c>
      <c r="N514" s="4" t="inlineStr">
        <is>
          <t>Yes</t>
        </is>
      </c>
    </row>
    <row r="515">
      <c r="A515" s="11" t="n">
        <v>45063.60711805556</v>
      </c>
      <c r="B515" s="4" t="inlineStr">
        <is>
          <t>2023-05</t>
        </is>
      </c>
      <c r="C515" s="4" t="n">
        <v>1000</v>
      </c>
      <c r="D515" s="9" t="inlineStr">
        <is>
          <t>Minimum Cost to Merge Stones</t>
        </is>
      </c>
      <c r="E515" s="4" t="inlineStr">
        <is>
          <t>Hard</t>
        </is>
      </c>
      <c r="F515" s="4" t="inlineStr">
        <is>
          <t>DP: Partition / Interval (MCM)</t>
        </is>
      </c>
      <c r="G515" s="4" t="inlineStr">
        <is>
          <t>Accepted</t>
        </is>
      </c>
      <c r="H515" s="4" t="inlineStr">
        <is>
          <t>C++</t>
        </is>
      </c>
      <c r="I515" s="4" t="inlineStr">
        <is>
          <t>49 ms</t>
        </is>
      </c>
      <c r="J515" s="4" t="inlineStr">
        <is>
          <t>10.8 MB</t>
        </is>
      </c>
      <c r="K515" s="4" t="n">
        <v>5.1</v>
      </c>
      <c r="L515" s="4" t="inlineStr">
        <is>
          <t>84/84</t>
        </is>
      </c>
      <c r="M515" s="9" t="inlineStr">
        <is>
          <t>Submission 951963971</t>
        </is>
      </c>
      <c r="N515" s="4" t="inlineStr">
        <is>
          <t>Yes</t>
        </is>
      </c>
    </row>
    <row r="516">
      <c r="A516" s="11" t="n">
        <v>45065.45238425926</v>
      </c>
      <c r="B516" s="4" t="inlineStr">
        <is>
          <t>2023-05</t>
        </is>
      </c>
      <c r="C516" s="4" t="n">
        <v>703</v>
      </c>
      <c r="D516" s="9" t="inlineStr">
        <is>
          <t>Kth Largest Element in a Stream</t>
        </is>
      </c>
      <c r="E516" s="4" t="inlineStr">
        <is>
          <t>Easy</t>
        </is>
      </c>
      <c r="F516" s="4" t="inlineStr">
        <is>
          <t>Heap / Top-K</t>
        </is>
      </c>
      <c r="G516" s="4" t="inlineStr">
        <is>
          <t>Accepted</t>
        </is>
      </c>
      <c r="H516" s="4" t="inlineStr">
        <is>
          <t>C++</t>
        </is>
      </c>
      <c r="I516" s="4" t="inlineStr">
        <is>
          <t>36 ms</t>
        </is>
      </c>
      <c r="J516" s="4" t="inlineStr">
        <is>
          <t>19.7 MB</t>
        </is>
      </c>
      <c r="K516" s="4" t="n">
        <v>5.2</v>
      </c>
      <c r="L516" s="4" t="inlineStr">
        <is>
          <t>10/10</t>
        </is>
      </c>
      <c r="M516" s="9" t="inlineStr">
        <is>
          <t>Submission 953140991</t>
        </is>
      </c>
      <c r="N516" s="4" t="inlineStr">
        <is>
          <t>Yes</t>
        </is>
      </c>
    </row>
    <row r="517">
      <c r="A517" s="11" t="n">
        <v>45065.47094907407</v>
      </c>
      <c r="B517" s="4" t="inlineStr">
        <is>
          <t>2023-05</t>
        </is>
      </c>
      <c r="C517" s="4" t="n">
        <v>658</v>
      </c>
      <c r="D517" s="9" t="inlineStr">
        <is>
          <t>Find K Closest Elements</t>
        </is>
      </c>
      <c r="E517" s="4" t="inlineStr">
        <is>
          <t>Medium</t>
        </is>
      </c>
      <c r="F517" s="4" t="inlineStr">
        <is>
          <t>Binary Search</t>
        </is>
      </c>
      <c r="G517" s="4" t="inlineStr">
        <is>
          <t>Accepted</t>
        </is>
      </c>
      <c r="H517" s="4" t="inlineStr">
        <is>
          <t>C++</t>
        </is>
      </c>
      <c r="I517" s="4" t="inlineStr">
        <is>
          <t>51 ms</t>
        </is>
      </c>
      <c r="J517" s="4" t="inlineStr">
        <is>
          <t>31.8 MB</t>
        </is>
      </c>
      <c r="K517" s="4" t="n">
        <v>5.4</v>
      </c>
      <c r="L517" s="4" t="inlineStr">
        <is>
          <t>66/66</t>
        </is>
      </c>
      <c r="M517" s="9" t="inlineStr">
        <is>
          <t>Submission 953154427</t>
        </is>
      </c>
      <c r="N517" s="4" t="inlineStr">
        <is>
          <t>Yes</t>
        </is>
      </c>
    </row>
    <row r="518">
      <c r="A518" s="11" t="n">
        <v>45065.47232638889</v>
      </c>
      <c r="B518" s="4" t="inlineStr">
        <is>
          <t>2023-05</t>
        </is>
      </c>
      <c r="C518" s="4" t="n">
        <v>658</v>
      </c>
      <c r="D518" s="9" t="inlineStr">
        <is>
          <t>Find K Closest Elements</t>
        </is>
      </c>
      <c r="E518" s="4" t="inlineStr">
        <is>
          <t>Medium</t>
        </is>
      </c>
      <c r="F518" s="4" t="inlineStr">
        <is>
          <t>Binary Search</t>
        </is>
      </c>
      <c r="G518" s="4" t="inlineStr">
        <is>
          <t>Accepted</t>
        </is>
      </c>
      <c r="H518" s="4" t="inlineStr">
        <is>
          <t>C++</t>
        </is>
      </c>
      <c r="I518" s="4" t="inlineStr">
        <is>
          <t>68 ms</t>
        </is>
      </c>
      <c r="J518" s="4" t="inlineStr">
        <is>
          <t>38.5 MB</t>
        </is>
      </c>
      <c r="K518" s="4" t="n">
        <v>5.4</v>
      </c>
      <c r="L518" s="4" t="inlineStr">
        <is>
          <t>66/66</t>
        </is>
      </c>
      <c r="M518" s="9" t="inlineStr">
        <is>
          <t>Submission 953155460</t>
        </is>
      </c>
      <c r="N518" s="4" t="inlineStr">
        <is>
          <t>Yes</t>
        </is>
      </c>
    </row>
    <row r="519">
      <c r="A519" s="11" t="n">
        <v>45065.47494212963</v>
      </c>
      <c r="B519" s="4" t="inlineStr">
        <is>
          <t>2023-05</t>
        </is>
      </c>
      <c r="C519" s="4" t="n">
        <v>658</v>
      </c>
      <c r="D519" s="9" t="inlineStr">
        <is>
          <t>Find K Closest Elements</t>
        </is>
      </c>
      <c r="E519" s="4" t="inlineStr">
        <is>
          <t>Medium</t>
        </is>
      </c>
      <c r="F519" s="4" t="inlineStr">
        <is>
          <t>Binary Search</t>
        </is>
      </c>
      <c r="G519" s="4" t="inlineStr">
        <is>
          <t>Wrong Answer</t>
        </is>
      </c>
      <c r="H519" s="4" t="inlineStr">
        <is>
          <t>C++</t>
        </is>
      </c>
      <c r="I519" s="4" t="inlineStr">
        <is>
          <t>N/A</t>
        </is>
      </c>
      <c r="J519" s="4" t="inlineStr">
        <is>
          <t>N/A</t>
        </is>
      </c>
      <c r="K519" s="4" t="n"/>
      <c r="L519" s="4" t="inlineStr">
        <is>
          <t>16/66</t>
        </is>
      </c>
      <c r="M519" s="9" t="inlineStr">
        <is>
          <t>Submission 953157350</t>
        </is>
      </c>
      <c r="N519" s="4" t="inlineStr">
        <is>
          <t>Yes</t>
        </is>
      </c>
    </row>
    <row r="520">
      <c r="A520" s="11" t="n">
        <v>45065.47858796296</v>
      </c>
      <c r="B520" s="4" t="inlineStr">
        <is>
          <t>2023-05</t>
        </is>
      </c>
      <c r="C520" s="4" t="n">
        <v>658</v>
      </c>
      <c r="D520" s="9" t="inlineStr">
        <is>
          <t>Find K Closest Elements</t>
        </is>
      </c>
      <c r="E520" s="4" t="inlineStr">
        <is>
          <t>Medium</t>
        </is>
      </c>
      <c r="F520" s="4" t="inlineStr">
        <is>
          <t>Binary Search</t>
        </is>
      </c>
      <c r="G520" s="4" t="inlineStr">
        <is>
          <t>Runtime Error</t>
        </is>
      </c>
      <c r="H520" s="4" t="inlineStr">
        <is>
          <t>C++</t>
        </is>
      </c>
      <c r="I520" s="4" t="inlineStr">
        <is>
          <t>N/A</t>
        </is>
      </c>
      <c r="J520" s="4" t="inlineStr">
        <is>
          <t>N/A</t>
        </is>
      </c>
      <c r="K520" s="4" t="n"/>
      <c r="L520" s="4" t="inlineStr">
        <is>
          <t>17/66</t>
        </is>
      </c>
      <c r="M520" s="9" t="inlineStr">
        <is>
          <t>Submission 953159880</t>
        </is>
      </c>
      <c r="N520" s="4" t="inlineStr">
        <is>
          <t>Yes</t>
        </is>
      </c>
    </row>
    <row r="521">
      <c r="A521" s="11" t="n">
        <v>45065.47879629629</v>
      </c>
      <c r="B521" s="4" t="inlineStr">
        <is>
          <t>2023-05</t>
        </is>
      </c>
      <c r="C521" s="4" t="n">
        <v>658</v>
      </c>
      <c r="D521" s="9" t="inlineStr">
        <is>
          <t>Find K Closest Elements</t>
        </is>
      </c>
      <c r="E521" s="4" t="inlineStr">
        <is>
          <t>Medium</t>
        </is>
      </c>
      <c r="F521" s="4" t="inlineStr">
        <is>
          <t>Binary Search</t>
        </is>
      </c>
      <c r="G521" s="4" t="inlineStr">
        <is>
          <t>Accepted</t>
        </is>
      </c>
      <c r="H521" s="4" t="inlineStr">
        <is>
          <t>C++</t>
        </is>
      </c>
      <c r="I521" s="4" t="inlineStr">
        <is>
          <t>48 ms</t>
        </is>
      </c>
      <c r="J521" s="4" t="inlineStr">
        <is>
          <t>31.7 MB</t>
        </is>
      </c>
      <c r="K521" s="4" t="n">
        <v>5.4</v>
      </c>
      <c r="L521" s="4" t="inlineStr">
        <is>
          <t>66/66</t>
        </is>
      </c>
      <c r="M521" s="9" t="inlineStr">
        <is>
          <t>Submission 953160030</t>
        </is>
      </c>
      <c r="N521" s="4" t="inlineStr">
        <is>
          <t>Yes</t>
        </is>
      </c>
    </row>
    <row r="522">
      <c r="A522" s="11" t="n">
        <v>45065.48474537037</v>
      </c>
      <c r="B522" s="4" t="inlineStr">
        <is>
          <t>2023-05</t>
        </is>
      </c>
      <c r="C522" s="4" t="n">
        <v>1</v>
      </c>
      <c r="D522" s="9" t="inlineStr">
        <is>
          <t>Two Sum</t>
        </is>
      </c>
      <c r="E522" s="4" t="inlineStr">
        <is>
          <t>Easy</t>
        </is>
      </c>
      <c r="F522" s="4" t="inlineStr">
        <is>
          <t>Arrays, Hashing &amp; Sorting</t>
        </is>
      </c>
      <c r="G522" s="4" t="inlineStr">
        <is>
          <t>Accepted</t>
        </is>
      </c>
      <c r="H522" s="4" t="inlineStr">
        <is>
          <t>C++</t>
        </is>
      </c>
      <c r="I522" s="4" t="inlineStr">
        <is>
          <t>10 ms</t>
        </is>
      </c>
      <c r="J522" s="4" t="inlineStr">
        <is>
          <t>10.9 MB</t>
        </is>
      </c>
      <c r="K522" s="4" t="n">
        <v>40.3</v>
      </c>
      <c r="L522" s="4" t="inlineStr">
        <is>
          <t>57/57</t>
        </is>
      </c>
      <c r="M522" s="9" t="inlineStr">
        <is>
          <t>Submission 953164303</t>
        </is>
      </c>
      <c r="N522" s="4" t="inlineStr">
        <is>
          <t>Yes</t>
        </is>
      </c>
    </row>
    <row r="523">
      <c r="A523" s="11" t="n">
        <v>45065.73699074074</v>
      </c>
      <c r="B523" s="4" t="inlineStr">
        <is>
          <t>2023-05</t>
        </is>
      </c>
      <c r="C523" s="4" t="n">
        <v>237</v>
      </c>
      <c r="D523" s="9" t="inlineStr">
        <is>
          <t>Delete Node in a Linked List</t>
        </is>
      </c>
      <c r="E523" s="4" t="inlineStr">
        <is>
          <t>Medium</t>
        </is>
      </c>
      <c r="F523" s="4" t="inlineStr">
        <is>
          <t>Linked List</t>
        </is>
      </c>
      <c r="G523" s="4" t="inlineStr">
        <is>
          <t>Accepted</t>
        </is>
      </c>
      <c r="H523" s="4" t="inlineStr">
        <is>
          <t>C++</t>
        </is>
      </c>
      <c r="I523" s="4" t="inlineStr">
        <is>
          <t>9 ms</t>
        </is>
      </c>
      <c r="J523" s="4" t="inlineStr">
        <is>
          <t>7.7 MB</t>
        </is>
      </c>
      <c r="K523" s="4" t="n">
        <v>36.2</v>
      </c>
      <c r="L523" s="4" t="inlineStr">
        <is>
          <t>41/41</t>
        </is>
      </c>
      <c r="M523" s="9" t="inlineStr">
        <is>
          <t>Submission 953326026</t>
        </is>
      </c>
      <c r="N523" s="4" t="inlineStr">
        <is>
          <t>Yes</t>
        </is>
      </c>
    </row>
    <row r="524">
      <c r="A524" s="11" t="n">
        <v>45065.73850694444</v>
      </c>
      <c r="B524" s="4" t="inlineStr">
        <is>
          <t>2023-05</t>
        </is>
      </c>
      <c r="C524" s="4" t="n">
        <v>237</v>
      </c>
      <c r="D524" s="9" t="inlineStr">
        <is>
          <t>Delete Node in a Linked List</t>
        </is>
      </c>
      <c r="E524" s="4" t="inlineStr">
        <is>
          <t>Medium</t>
        </is>
      </c>
      <c r="F524" s="4" t="inlineStr">
        <is>
          <t>Linked List</t>
        </is>
      </c>
      <c r="G524" s="4" t="inlineStr">
        <is>
          <t>Accepted</t>
        </is>
      </c>
      <c r="H524" s="4" t="inlineStr">
        <is>
          <t>C++</t>
        </is>
      </c>
      <c r="I524" s="4" t="inlineStr">
        <is>
          <t>7 ms</t>
        </is>
      </c>
      <c r="J524" s="4" t="inlineStr">
        <is>
          <t>7.7 MB</t>
        </is>
      </c>
      <c r="K524" s="4" t="n">
        <v>56.3</v>
      </c>
      <c r="L524" s="4" t="inlineStr">
        <is>
          <t>41/41</t>
        </is>
      </c>
      <c r="M524" s="9" t="inlineStr">
        <is>
          <t>Submission 953326937</t>
        </is>
      </c>
      <c r="N524" s="4" t="inlineStr">
        <is>
          <t>Yes</t>
        </is>
      </c>
    </row>
    <row r="525">
      <c r="A525" s="11" t="n">
        <v>45065.75325231482</v>
      </c>
      <c r="B525" s="4" t="inlineStr">
        <is>
          <t>2023-05</t>
        </is>
      </c>
      <c r="C525" s="4" t="n">
        <v>138</v>
      </c>
      <c r="D525" s="9" t="inlineStr">
        <is>
          <t>Copy List with Random Pointer</t>
        </is>
      </c>
      <c r="E525" s="4" t="inlineStr">
        <is>
          <t>Medium</t>
        </is>
      </c>
      <c r="F525" s="4" t="inlineStr">
        <is>
          <t>Linked List</t>
        </is>
      </c>
      <c r="G525" s="4" t="inlineStr">
        <is>
          <t>Accepted</t>
        </is>
      </c>
      <c r="H525" s="4" t="inlineStr">
        <is>
          <t>C++</t>
        </is>
      </c>
      <c r="I525" s="4" t="inlineStr">
        <is>
          <t>10 ms</t>
        </is>
      </c>
      <c r="J525" s="4" t="inlineStr">
        <is>
          <t>11.4 MB</t>
        </is>
      </c>
      <c r="K525" s="4" t="n">
        <v>18.9</v>
      </c>
      <c r="L525" s="4" t="inlineStr">
        <is>
          <t>19/19</t>
        </is>
      </c>
      <c r="M525" s="9" t="inlineStr">
        <is>
          <t>Submission 953335770</t>
        </is>
      </c>
      <c r="N525" s="4" t="inlineStr">
        <is>
          <t>Yes</t>
        </is>
      </c>
    </row>
    <row r="526">
      <c r="A526" s="11" t="n">
        <v>45065.76225694444</v>
      </c>
      <c r="B526" s="4" t="inlineStr">
        <is>
          <t>2023-05</t>
        </is>
      </c>
      <c r="C526" s="4" t="n">
        <v>138</v>
      </c>
      <c r="D526" s="9" t="inlineStr">
        <is>
          <t>Copy List with Random Pointer</t>
        </is>
      </c>
      <c r="E526" s="4" t="inlineStr">
        <is>
          <t>Medium</t>
        </is>
      </c>
      <c r="F526" s="4" t="inlineStr">
        <is>
          <t>Linked List</t>
        </is>
      </c>
      <c r="G526" s="4" t="inlineStr">
        <is>
          <t>Accepted</t>
        </is>
      </c>
      <c r="H526" s="4" t="inlineStr">
        <is>
          <t>C++</t>
        </is>
      </c>
      <c r="I526" s="4" t="inlineStr">
        <is>
          <t>12 ms</t>
        </is>
      </c>
      <c r="J526" s="4" t="inlineStr">
        <is>
          <t>11.4 MB</t>
        </is>
      </c>
      <c r="K526" s="4" t="n">
        <v>14</v>
      </c>
      <c r="L526" s="4" t="inlineStr">
        <is>
          <t>19/19</t>
        </is>
      </c>
      <c r="M526" s="9" t="inlineStr">
        <is>
          <t>Submission 953341041</t>
        </is>
      </c>
      <c r="N526" s="4" t="inlineStr">
        <is>
          <t>Yes</t>
        </is>
      </c>
    </row>
    <row r="527">
      <c r="A527" s="11" t="n">
        <v>45065.76320601852</v>
      </c>
      <c r="B527" s="4" t="inlineStr">
        <is>
          <t>2023-05</t>
        </is>
      </c>
      <c r="C527" s="4" t="n">
        <v>138</v>
      </c>
      <c r="D527" s="9" t="inlineStr">
        <is>
          <t>Copy List with Random Pointer</t>
        </is>
      </c>
      <c r="E527" s="4" t="inlineStr">
        <is>
          <t>Medium</t>
        </is>
      </c>
      <c r="F527" s="4" t="inlineStr">
        <is>
          <t>Linked List</t>
        </is>
      </c>
      <c r="G527" s="4" t="inlineStr">
        <is>
          <t>Accepted</t>
        </is>
      </c>
      <c r="H527" s="4" t="inlineStr">
        <is>
          <t>C++</t>
        </is>
      </c>
      <c r="I527" s="4" t="inlineStr">
        <is>
          <t>8 ms</t>
        </is>
      </c>
      <c r="J527" s="4" t="inlineStr">
        <is>
          <t>11.2 MB</t>
        </is>
      </c>
      <c r="K527" s="4" t="n">
        <v>30.2</v>
      </c>
      <c r="L527" s="4" t="inlineStr">
        <is>
          <t>19/19</t>
        </is>
      </c>
      <c r="M527" s="9" t="inlineStr">
        <is>
          <t>Submission 953341670</t>
        </is>
      </c>
      <c r="N527" s="4" t="inlineStr">
        <is>
          <t>Yes</t>
        </is>
      </c>
    </row>
    <row r="528">
      <c r="A528" s="11" t="n">
        <v>45065.76670138889</v>
      </c>
      <c r="B528" s="4" t="inlineStr">
        <is>
          <t>2023-05</t>
        </is>
      </c>
      <c r="C528" s="4" t="n">
        <v>226</v>
      </c>
      <c r="D528" s="9" t="inlineStr">
        <is>
          <t>Invert Binary Tree</t>
        </is>
      </c>
      <c r="E528" s="4" t="inlineStr">
        <is>
          <t>Easy</t>
        </is>
      </c>
      <c r="F528" s="4" t="inlineStr">
        <is>
          <t>Binary Tree (DFS &amp; Recursion)</t>
        </is>
      </c>
      <c r="G528" s="4" t="inlineStr">
        <is>
          <t>Accepted</t>
        </is>
      </c>
      <c r="H528" s="4" t="inlineStr">
        <is>
          <t>C++</t>
        </is>
      </c>
      <c r="I528" s="4" t="inlineStr">
        <is>
          <t>4 ms</t>
        </is>
      </c>
      <c r="J528" s="4" t="inlineStr">
        <is>
          <t>9.7 MB</t>
        </is>
      </c>
      <c r="K528" s="4" t="n">
        <v>0</v>
      </c>
      <c r="L528" s="4" t="inlineStr">
        <is>
          <t>77/77</t>
        </is>
      </c>
      <c r="M528" s="9" t="inlineStr">
        <is>
          <t>Submission 953343922</t>
        </is>
      </c>
      <c r="N528" s="4" t="inlineStr">
        <is>
          <t>Yes</t>
        </is>
      </c>
    </row>
    <row r="529">
      <c r="A529" s="11" t="n">
        <v>45065.77078703704</v>
      </c>
      <c r="B529" s="4" t="inlineStr">
        <is>
          <t>2023-05</t>
        </is>
      </c>
      <c r="C529" s="4" t="n">
        <v>100</v>
      </c>
      <c r="D529" s="9" t="inlineStr">
        <is>
          <t>Same Tree</t>
        </is>
      </c>
      <c r="E529" s="4" t="inlineStr">
        <is>
          <t>Easy</t>
        </is>
      </c>
      <c r="F529" s="4" t="inlineStr">
        <is>
          <t>Binary Tree (DFS &amp; Recursion)</t>
        </is>
      </c>
      <c r="G529" s="4" t="inlineStr">
        <is>
          <t>Accepted</t>
        </is>
      </c>
      <c r="H529" s="4" t="inlineStr">
        <is>
          <t>C++</t>
        </is>
      </c>
      <c r="I529" s="4" t="inlineStr">
        <is>
          <t>0 ms</t>
        </is>
      </c>
      <c r="J529" s="4" t="inlineStr">
        <is>
          <t>10 MB</t>
        </is>
      </c>
      <c r="K529" s="4" t="n">
        <v>100</v>
      </c>
      <c r="L529" s="4" t="inlineStr">
        <is>
          <t>60/60</t>
        </is>
      </c>
      <c r="M529" s="9" t="inlineStr">
        <is>
          <t>Submission 953346450</t>
        </is>
      </c>
      <c r="N529" s="4" t="inlineStr">
        <is>
          <t>Yes</t>
        </is>
      </c>
    </row>
    <row r="530">
      <c r="A530" s="11" t="n">
        <v>45065.80608796296</v>
      </c>
      <c r="B530" s="4" t="inlineStr">
        <is>
          <t>2023-05</t>
        </is>
      </c>
      <c r="C530" s="4" t="n">
        <v>139</v>
      </c>
      <c r="D530" s="9" t="inlineStr">
        <is>
          <t>Word Break</t>
        </is>
      </c>
      <c r="E530" s="4" t="inlineStr">
        <is>
          <t>Medium</t>
        </is>
      </c>
      <c r="F530" s="4" t="inlineStr">
        <is>
          <t>DP: 1D / Linear</t>
        </is>
      </c>
      <c r="G530" s="4" t="inlineStr">
        <is>
          <t>Accepted</t>
        </is>
      </c>
      <c r="H530" s="4" t="inlineStr">
        <is>
          <t>C++</t>
        </is>
      </c>
      <c r="I530" s="4" t="inlineStr">
        <is>
          <t>28 ms</t>
        </is>
      </c>
      <c r="J530" s="4" t="inlineStr">
        <is>
          <t>13.4 MB</t>
        </is>
      </c>
      <c r="K530" s="4" t="n">
        <v>6.8</v>
      </c>
      <c r="L530" s="4" t="inlineStr">
        <is>
          <t>46/46</t>
        </is>
      </c>
      <c r="M530" s="9" t="inlineStr">
        <is>
          <t>Submission 953369177</t>
        </is>
      </c>
      <c r="N530" s="4" t="inlineStr">
        <is>
          <t>Yes</t>
        </is>
      </c>
    </row>
    <row r="531">
      <c r="A531" s="11" t="n">
        <v>45065.80743055556</v>
      </c>
      <c r="B531" s="4" t="inlineStr">
        <is>
          <t>2023-05</t>
        </is>
      </c>
      <c r="C531" s="4" t="n">
        <v>139</v>
      </c>
      <c r="D531" s="9" t="inlineStr">
        <is>
          <t>Word Break</t>
        </is>
      </c>
      <c r="E531" s="4" t="inlineStr">
        <is>
          <t>Medium</t>
        </is>
      </c>
      <c r="F531" s="4" t="inlineStr">
        <is>
          <t>DP: 1D / Linear</t>
        </is>
      </c>
      <c r="G531" s="4" t="inlineStr">
        <is>
          <t>Accepted</t>
        </is>
      </c>
      <c r="H531" s="4" t="inlineStr">
        <is>
          <t>C++</t>
        </is>
      </c>
      <c r="I531" s="4" t="inlineStr">
        <is>
          <t>24 ms</t>
        </is>
      </c>
      <c r="J531" s="4" t="inlineStr">
        <is>
          <t>13.4 MB</t>
        </is>
      </c>
      <c r="K531" s="4" t="n">
        <v>9.6</v>
      </c>
      <c r="L531" s="4" t="inlineStr">
        <is>
          <t>46/46</t>
        </is>
      </c>
      <c r="M531" s="9" t="inlineStr">
        <is>
          <t>Submission 953370129</t>
        </is>
      </c>
      <c r="N531" s="4" t="inlineStr">
        <is>
          <t>Yes</t>
        </is>
      </c>
    </row>
    <row r="532">
      <c r="A532" s="11" t="n">
        <v>45065.80835648148</v>
      </c>
      <c r="B532" s="4" t="inlineStr">
        <is>
          <t>2023-05</t>
        </is>
      </c>
      <c r="C532" s="4" t="n">
        <v>139</v>
      </c>
      <c r="D532" s="9" t="inlineStr">
        <is>
          <t>Word Break</t>
        </is>
      </c>
      <c r="E532" s="4" t="inlineStr">
        <is>
          <t>Medium</t>
        </is>
      </c>
      <c r="F532" s="4" t="inlineStr">
        <is>
          <t>DP: 1D / Linear</t>
        </is>
      </c>
      <c r="G532" s="4" t="inlineStr">
        <is>
          <t>Accepted</t>
        </is>
      </c>
      <c r="H532" s="4" t="inlineStr">
        <is>
          <t>C++</t>
        </is>
      </c>
      <c r="I532" s="4" t="inlineStr">
        <is>
          <t>28 ms</t>
        </is>
      </c>
      <c r="J532" s="4" t="inlineStr">
        <is>
          <t>13.4 MB</t>
        </is>
      </c>
      <c r="K532" s="4" t="n">
        <v>6.8</v>
      </c>
      <c r="L532" s="4" t="inlineStr">
        <is>
          <t>46/46</t>
        </is>
      </c>
      <c r="M532" s="9" t="inlineStr">
        <is>
          <t>Submission 953370759</t>
        </is>
      </c>
      <c r="N532" s="4" t="inlineStr">
        <is>
          <t>Yes</t>
        </is>
      </c>
    </row>
    <row r="533">
      <c r="A533" s="11" t="n">
        <v>45065.8281712963</v>
      </c>
      <c r="B533" s="4" t="inlineStr">
        <is>
          <t>2023-05</t>
        </is>
      </c>
      <c r="C533" s="4" t="n">
        <v>647</v>
      </c>
      <c r="D533" s="9" t="inlineStr">
        <is>
          <t>Palindromic Substrings</t>
        </is>
      </c>
      <c r="E533" s="4" t="inlineStr">
        <is>
          <t>Medium</t>
        </is>
      </c>
      <c r="F533" s="4" t="inlineStr">
        <is>
          <t>Two Pointers</t>
        </is>
      </c>
      <c r="G533" s="4" t="inlineStr">
        <is>
          <t>Wrong Answer</t>
        </is>
      </c>
      <c r="H533" s="4" t="inlineStr">
        <is>
          <t>C++</t>
        </is>
      </c>
      <c r="I533" s="4" t="inlineStr">
        <is>
          <t>N/A</t>
        </is>
      </c>
      <c r="J533" s="4" t="inlineStr">
        <is>
          <t>N/A</t>
        </is>
      </c>
      <c r="K533" s="4" t="n"/>
      <c r="L533" s="4" t="inlineStr">
        <is>
          <t>12/130</t>
        </is>
      </c>
      <c r="M533" s="9" t="inlineStr">
        <is>
          <t>Submission 953384084</t>
        </is>
      </c>
      <c r="N533" s="4" t="inlineStr">
        <is>
          <t>Yes</t>
        </is>
      </c>
    </row>
    <row r="534">
      <c r="A534" s="11" t="n">
        <v>45066.35549768519</v>
      </c>
      <c r="B534" s="4" t="inlineStr">
        <is>
          <t>2023-05</t>
        </is>
      </c>
      <c r="C534" s="4" t="n">
        <v>647</v>
      </c>
      <c r="D534" s="9" t="inlineStr">
        <is>
          <t>Palindromic Substrings</t>
        </is>
      </c>
      <c r="E534" s="4" t="inlineStr">
        <is>
          <t>Medium</t>
        </is>
      </c>
      <c r="F534" s="4" t="inlineStr">
        <is>
          <t>Two Pointers</t>
        </is>
      </c>
      <c r="G534" s="4" t="inlineStr">
        <is>
          <t>Output Limit Exceeded</t>
        </is>
      </c>
      <c r="H534" s="4" t="inlineStr">
        <is>
          <t>C++</t>
        </is>
      </c>
      <c r="I534" s="4" t="inlineStr">
        <is>
          <t>N/A</t>
        </is>
      </c>
      <c r="J534" s="4" t="inlineStr">
        <is>
          <t>N/A</t>
        </is>
      </c>
      <c r="K534" s="4" t="n"/>
      <c r="L534" s="4" t="inlineStr">
        <is>
          <t>128/130</t>
        </is>
      </c>
      <c r="M534" s="9" t="inlineStr">
        <is>
          <t>Submission 953666711</t>
        </is>
      </c>
      <c r="N534" s="4" t="inlineStr">
        <is>
          <t>Yes</t>
        </is>
      </c>
    </row>
    <row r="535">
      <c r="A535" s="11" t="n">
        <v>45066.35582175926</v>
      </c>
      <c r="B535" s="4" t="inlineStr">
        <is>
          <t>2023-05</t>
        </is>
      </c>
      <c r="C535" s="4" t="n">
        <v>647</v>
      </c>
      <c r="D535" s="9" t="inlineStr">
        <is>
          <t>Palindromic Substrings</t>
        </is>
      </c>
      <c r="E535" s="4" t="inlineStr">
        <is>
          <t>Medium</t>
        </is>
      </c>
      <c r="F535" s="4" t="inlineStr">
        <is>
          <t>Two Pointers</t>
        </is>
      </c>
      <c r="G535" s="4" t="inlineStr">
        <is>
          <t>Accepted</t>
        </is>
      </c>
      <c r="H535" s="4" t="inlineStr">
        <is>
          <t>C++</t>
        </is>
      </c>
      <c r="I535" s="4" t="inlineStr">
        <is>
          <t>252 ms</t>
        </is>
      </c>
      <c r="J535" s="4" t="inlineStr">
        <is>
          <t>306.9 MB</t>
        </is>
      </c>
      <c r="K535" s="4" t="n">
        <v>21.3</v>
      </c>
      <c r="L535" s="4" t="inlineStr">
        <is>
          <t>130/130</t>
        </is>
      </c>
      <c r="M535" s="9" t="inlineStr">
        <is>
          <t>Submission 953666842</t>
        </is>
      </c>
      <c r="N535" s="4" t="inlineStr">
        <is>
          <t>Yes</t>
        </is>
      </c>
    </row>
    <row r="536">
      <c r="A536" s="11" t="n">
        <v>45066.36049768519</v>
      </c>
      <c r="B536" s="4" t="inlineStr">
        <is>
          <t>2023-05</t>
        </is>
      </c>
      <c r="C536" s="4" t="n">
        <v>647</v>
      </c>
      <c r="D536" s="9" t="inlineStr">
        <is>
          <t>Palindromic Substrings</t>
        </is>
      </c>
      <c r="E536" s="4" t="inlineStr">
        <is>
          <t>Medium</t>
        </is>
      </c>
      <c r="F536" s="4" t="inlineStr">
        <is>
          <t>Two Pointers</t>
        </is>
      </c>
      <c r="G536" s="4" t="inlineStr">
        <is>
          <t>Wrong Answer</t>
        </is>
      </c>
      <c r="H536" s="4" t="inlineStr">
        <is>
          <t>C++</t>
        </is>
      </c>
      <c r="I536" s="4" t="inlineStr">
        <is>
          <t>N/A</t>
        </is>
      </c>
      <c r="J536" s="4" t="inlineStr">
        <is>
          <t>N/A</t>
        </is>
      </c>
      <c r="K536" s="4" t="n"/>
      <c r="L536" s="4" t="inlineStr">
        <is>
          <t>20/130</t>
        </is>
      </c>
      <c r="M536" s="9" t="inlineStr">
        <is>
          <t>Submission 953668569</t>
        </is>
      </c>
      <c r="N536" s="4" t="inlineStr">
        <is>
          <t>Yes</t>
        </is>
      </c>
    </row>
    <row r="537">
      <c r="A537" s="11" t="n">
        <v>45066.36341435185</v>
      </c>
      <c r="B537" s="4" t="inlineStr">
        <is>
          <t>2023-05</t>
        </is>
      </c>
      <c r="C537" s="4" t="n">
        <v>647</v>
      </c>
      <c r="D537" s="9" t="inlineStr">
        <is>
          <t>Palindromic Substrings</t>
        </is>
      </c>
      <c r="E537" s="4" t="inlineStr">
        <is>
          <t>Medium</t>
        </is>
      </c>
      <c r="F537" s="4" t="inlineStr">
        <is>
          <t>Two Pointers</t>
        </is>
      </c>
      <c r="G537" s="4" t="inlineStr">
        <is>
          <t>Wrong Answer</t>
        </is>
      </c>
      <c r="H537" s="4" t="inlineStr">
        <is>
          <t>C++</t>
        </is>
      </c>
      <c r="I537" s="4" t="inlineStr">
        <is>
          <t>N/A</t>
        </is>
      </c>
      <c r="J537" s="4" t="inlineStr">
        <is>
          <t>N/A</t>
        </is>
      </c>
      <c r="K537" s="4" t="n"/>
      <c r="L537" s="4" t="inlineStr">
        <is>
          <t>32/130</t>
        </is>
      </c>
      <c r="M537" s="9" t="inlineStr">
        <is>
          <t>Submission 953669727</t>
        </is>
      </c>
      <c r="N537" s="4" t="inlineStr">
        <is>
          <t>Yes</t>
        </is>
      </c>
    </row>
    <row r="538">
      <c r="A538" s="11" t="n">
        <v>45066.37100694444</v>
      </c>
      <c r="B538" s="4" t="inlineStr">
        <is>
          <t>2023-05</t>
        </is>
      </c>
      <c r="C538" s="4" t="n">
        <v>647</v>
      </c>
      <c r="D538" s="9" t="inlineStr">
        <is>
          <t>Palindromic Substrings</t>
        </is>
      </c>
      <c r="E538" s="4" t="inlineStr">
        <is>
          <t>Medium</t>
        </is>
      </c>
      <c r="F538" s="4" t="inlineStr">
        <is>
          <t>Two Pointers</t>
        </is>
      </c>
      <c r="G538" s="4" t="inlineStr">
        <is>
          <t>Accepted</t>
        </is>
      </c>
      <c r="H538" s="4" t="inlineStr">
        <is>
          <t>C++</t>
        </is>
      </c>
      <c r="I538" s="4" t="inlineStr">
        <is>
          <t>213 ms</t>
        </is>
      </c>
      <c r="J538" s="4" t="inlineStr">
        <is>
          <t>307 MB</t>
        </is>
      </c>
      <c r="K538" s="4" t="n">
        <v>21.5</v>
      </c>
      <c r="L538" s="4" t="inlineStr">
        <is>
          <t>130/130</t>
        </is>
      </c>
      <c r="M538" s="9" t="inlineStr">
        <is>
          <t>Submission 953672826</t>
        </is>
      </c>
      <c r="N538" s="4" t="inlineStr">
        <is>
          <t>Yes</t>
        </is>
      </c>
    </row>
    <row r="539">
      <c r="A539" s="11" t="n">
        <v>45066.37903935185</v>
      </c>
      <c r="B539" s="4" t="inlineStr">
        <is>
          <t>2023-05</t>
        </is>
      </c>
      <c r="C539" s="4" t="n">
        <v>409</v>
      </c>
      <c r="D539" s="9" t="inlineStr">
        <is>
          <t>Longest Palindrome</t>
        </is>
      </c>
      <c r="E539" s="4" t="inlineStr">
        <is>
          <t>Easy</t>
        </is>
      </c>
      <c r="F539" s="4" t="inlineStr">
        <is>
          <t>Arrays, Hashing &amp; Sorting</t>
        </is>
      </c>
      <c r="G539" s="4" t="inlineStr">
        <is>
          <t>Accepted</t>
        </is>
      </c>
      <c r="H539" s="4" t="inlineStr">
        <is>
          <t>C++</t>
        </is>
      </c>
      <c r="I539" s="4" t="inlineStr">
        <is>
          <t>7 ms</t>
        </is>
      </c>
      <c r="J539" s="4" t="inlineStr">
        <is>
          <t>6.6 MB</t>
        </is>
      </c>
      <c r="K539" s="4" t="n">
        <v>2.1</v>
      </c>
      <c r="L539" s="4" t="inlineStr">
        <is>
          <t>95/95</t>
        </is>
      </c>
      <c r="M539" s="9" t="inlineStr">
        <is>
          <t>Submission 953676078</t>
        </is>
      </c>
      <c r="N539" s="4" t="inlineStr">
        <is>
          <t>Yes</t>
        </is>
      </c>
    </row>
    <row r="540">
      <c r="A540" s="11" t="n">
        <v>45066.41350694445</v>
      </c>
      <c r="B540" s="4" t="inlineStr">
        <is>
          <t>2023-05</t>
        </is>
      </c>
      <c r="C540" s="4" t="n">
        <v>5</v>
      </c>
      <c r="D540" s="9" t="inlineStr">
        <is>
          <t>Longest Palindromic Substring</t>
        </is>
      </c>
      <c r="E540" s="4" t="inlineStr">
        <is>
          <t>Medium</t>
        </is>
      </c>
      <c r="F540" s="4" t="inlineStr">
        <is>
          <t>Two Pointers</t>
        </is>
      </c>
      <c r="G540" s="4" t="inlineStr">
        <is>
          <t>Wrong Answer</t>
        </is>
      </c>
      <c r="H540" s="4" t="inlineStr">
        <is>
          <t>C++</t>
        </is>
      </c>
      <c r="I540" s="4" t="inlineStr">
        <is>
          <t>N/A</t>
        </is>
      </c>
      <c r="J540" s="4" t="inlineStr">
        <is>
          <t>N/A</t>
        </is>
      </c>
      <c r="K540" s="4" t="n"/>
      <c r="L540" s="4" t="inlineStr">
        <is>
          <t>134/141</t>
        </is>
      </c>
      <c r="M540" s="9" t="inlineStr">
        <is>
          <t>Submission 953691696</t>
        </is>
      </c>
      <c r="N540" s="4" t="inlineStr">
        <is>
          <t>Yes</t>
        </is>
      </c>
    </row>
    <row r="541">
      <c r="A541" s="11" t="n">
        <v>45066.41450231482</v>
      </c>
      <c r="B541" s="4" t="inlineStr">
        <is>
          <t>2023-05</t>
        </is>
      </c>
      <c r="C541" s="4" t="n">
        <v>5</v>
      </c>
      <c r="D541" s="9" t="inlineStr">
        <is>
          <t>Longest Palindromic Substring</t>
        </is>
      </c>
      <c r="E541" s="4" t="inlineStr">
        <is>
          <t>Medium</t>
        </is>
      </c>
      <c r="F541" s="4" t="inlineStr">
        <is>
          <t>Two Pointers</t>
        </is>
      </c>
      <c r="G541" s="4" t="inlineStr">
        <is>
          <t>Accepted</t>
        </is>
      </c>
      <c r="H541" s="4" t="inlineStr">
        <is>
          <t>C++</t>
        </is>
      </c>
      <c r="I541" s="4" t="inlineStr">
        <is>
          <t>111 ms</t>
        </is>
      </c>
      <c r="J541" s="4" t="inlineStr">
        <is>
          <t>9.3 MB</t>
        </is>
      </c>
      <c r="K541" s="4" t="n">
        <v>24.6</v>
      </c>
      <c r="L541" s="4" t="inlineStr">
        <is>
          <t>141/141</t>
        </is>
      </c>
      <c r="M541" s="9" t="inlineStr">
        <is>
          <t>Submission 953692246</t>
        </is>
      </c>
      <c r="N541" s="4" t="inlineStr">
        <is>
          <t>Yes</t>
        </is>
      </c>
    </row>
    <row r="542">
      <c r="A542" s="11" t="n">
        <v>45066.41607638889</v>
      </c>
      <c r="B542" s="4" t="inlineStr">
        <is>
          <t>2023-05</t>
        </is>
      </c>
      <c r="C542" s="4" t="n">
        <v>5</v>
      </c>
      <c r="D542" s="9" t="inlineStr">
        <is>
          <t>Longest Palindromic Substring</t>
        </is>
      </c>
      <c r="E542" s="4" t="inlineStr">
        <is>
          <t>Medium</t>
        </is>
      </c>
      <c r="F542" s="4" t="inlineStr">
        <is>
          <t>Two Pointers</t>
        </is>
      </c>
      <c r="G542" s="4" t="inlineStr">
        <is>
          <t>Accepted</t>
        </is>
      </c>
      <c r="H542" s="4" t="inlineStr">
        <is>
          <t>C++</t>
        </is>
      </c>
      <c r="I542" s="4" t="inlineStr">
        <is>
          <t>123 ms</t>
        </is>
      </c>
      <c r="J542" s="4" t="inlineStr">
        <is>
          <t>9.3 MB</t>
        </is>
      </c>
      <c r="K542" s="4" t="n">
        <v>23</v>
      </c>
      <c r="L542" s="4" t="inlineStr">
        <is>
          <t>141/141</t>
        </is>
      </c>
      <c r="M542" s="9" t="inlineStr">
        <is>
          <t>Submission 953693067</t>
        </is>
      </c>
      <c r="N542" s="4" t="inlineStr">
        <is>
          <t>Yes</t>
        </is>
      </c>
    </row>
    <row r="543">
      <c r="A543" s="11" t="n">
        <v>45066.45515046296</v>
      </c>
      <c r="B543" s="4" t="inlineStr">
        <is>
          <t>2023-05</t>
        </is>
      </c>
      <c r="C543" s="4" t="n">
        <v>647</v>
      </c>
      <c r="D543" s="9" t="inlineStr">
        <is>
          <t>Palindromic Substrings</t>
        </is>
      </c>
      <c r="E543" s="4" t="inlineStr">
        <is>
          <t>Medium</t>
        </is>
      </c>
      <c r="F543" s="4" t="inlineStr">
        <is>
          <t>Two Pointers</t>
        </is>
      </c>
      <c r="G543" s="4" t="inlineStr">
        <is>
          <t>Accepted</t>
        </is>
      </c>
      <c r="H543" s="4" t="inlineStr">
        <is>
          <t>C++</t>
        </is>
      </c>
      <c r="I543" s="4" t="inlineStr">
        <is>
          <t>265 ms</t>
        </is>
      </c>
      <c r="J543" s="4" t="inlineStr">
        <is>
          <t>306.8 MB</t>
        </is>
      </c>
      <c r="K543" s="4" t="n">
        <v>21.3</v>
      </c>
      <c r="L543" s="4" t="inlineStr">
        <is>
          <t>130/130</t>
        </is>
      </c>
      <c r="M543" s="9" t="inlineStr">
        <is>
          <t>Submission 953713702</t>
        </is>
      </c>
      <c r="N543" s="4" t="inlineStr">
        <is>
          <t>Yes</t>
        </is>
      </c>
    </row>
    <row r="544">
      <c r="A544" s="11" t="n">
        <v>45066.46403935185</v>
      </c>
      <c r="B544" s="4" t="inlineStr">
        <is>
          <t>2023-05</t>
        </is>
      </c>
      <c r="C544" s="4" t="n">
        <v>53</v>
      </c>
      <c r="D544" s="9" t="inlineStr">
        <is>
          <t>Maximum Subarray</t>
        </is>
      </c>
      <c r="E544" s="4" t="inlineStr">
        <is>
          <t>Medium</t>
        </is>
      </c>
      <c r="F544" s="4" t="inlineStr">
        <is>
          <t>DP: 1D / Linear</t>
        </is>
      </c>
      <c r="G544" s="4" t="inlineStr">
        <is>
          <t>Accepted</t>
        </is>
      </c>
      <c r="H544" s="4" t="inlineStr">
        <is>
          <t>C++</t>
        </is>
      </c>
      <c r="I544" s="4" t="inlineStr">
        <is>
          <t>110 ms</t>
        </is>
      </c>
      <c r="J544" s="4" t="inlineStr">
        <is>
          <t>67.7 MB</t>
        </is>
      </c>
      <c r="K544" s="4" t="n">
        <v>4.6</v>
      </c>
      <c r="L544" s="4" t="inlineStr">
        <is>
          <t>210/210</t>
        </is>
      </c>
      <c r="M544" s="9" t="inlineStr">
        <is>
          <t>Submission 953718903</t>
        </is>
      </c>
      <c r="N544" s="4" t="inlineStr">
        <is>
          <t>Yes</t>
        </is>
      </c>
    </row>
    <row r="545">
      <c r="A545" s="11" t="n">
        <v>45066.46533564815</v>
      </c>
      <c r="B545" s="4" t="inlineStr">
        <is>
          <t>2023-05</t>
        </is>
      </c>
      <c r="C545" s="4" t="n">
        <v>53</v>
      </c>
      <c r="D545" s="9" t="inlineStr">
        <is>
          <t>Maximum Subarray</t>
        </is>
      </c>
      <c r="E545" s="4" t="inlineStr">
        <is>
          <t>Medium</t>
        </is>
      </c>
      <c r="F545" s="4" t="inlineStr">
        <is>
          <t>DP: 1D / Linear</t>
        </is>
      </c>
      <c r="G545" s="4" t="inlineStr">
        <is>
          <t>Accepted</t>
        </is>
      </c>
      <c r="H545" s="4" t="inlineStr">
        <is>
          <t>C++</t>
        </is>
      </c>
      <c r="I545" s="4" t="inlineStr">
        <is>
          <t>122 ms</t>
        </is>
      </c>
      <c r="J545" s="4" t="inlineStr">
        <is>
          <t>67.6 MB</t>
        </is>
      </c>
      <c r="K545" s="4" t="n">
        <v>4.6</v>
      </c>
      <c r="L545" s="4" t="inlineStr">
        <is>
          <t>210/210</t>
        </is>
      </c>
      <c r="M545" s="9" t="inlineStr">
        <is>
          <t>Submission 953719677</t>
        </is>
      </c>
      <c r="N545" s="4" t="inlineStr">
        <is>
          <t>Yes</t>
        </is>
      </c>
    </row>
    <row r="546">
      <c r="A546" s="11" t="n">
        <v>45066.57193287037</v>
      </c>
      <c r="B546" s="4" t="inlineStr">
        <is>
          <t>2023-05</t>
        </is>
      </c>
      <c r="C546" s="4" t="n">
        <v>703</v>
      </c>
      <c r="D546" s="9" t="inlineStr">
        <is>
          <t>Kth Largest Element in a Stream</t>
        </is>
      </c>
      <c r="E546" s="4" t="inlineStr">
        <is>
          <t>Easy</t>
        </is>
      </c>
      <c r="F546" s="4" t="inlineStr">
        <is>
          <t>Heap / Top-K</t>
        </is>
      </c>
      <c r="G546" s="4" t="inlineStr">
        <is>
          <t>Accepted</t>
        </is>
      </c>
      <c r="H546" s="4" t="inlineStr">
        <is>
          <t>C++</t>
        </is>
      </c>
      <c r="I546" s="4" t="inlineStr">
        <is>
          <t>28 ms</t>
        </is>
      </c>
      <c r="J546" s="4" t="inlineStr">
        <is>
          <t>19.8 MB</t>
        </is>
      </c>
      <c r="K546" s="4" t="n">
        <v>5.2</v>
      </c>
      <c r="L546" s="4" t="inlineStr">
        <is>
          <t>10/10</t>
        </is>
      </c>
      <c r="M546" s="9" t="inlineStr">
        <is>
          <t>Submission 953785839</t>
        </is>
      </c>
      <c r="N546" s="4" t="inlineStr">
        <is>
          <t>Yes</t>
        </is>
      </c>
    </row>
    <row r="547">
      <c r="A547" s="11" t="n">
        <v>45066.57303240741</v>
      </c>
      <c r="B547" s="4" t="inlineStr">
        <is>
          <t>2023-05</t>
        </is>
      </c>
      <c r="C547" s="4" t="n">
        <v>658</v>
      </c>
      <c r="D547" s="9" t="inlineStr">
        <is>
          <t>Find K Closest Elements</t>
        </is>
      </c>
      <c r="E547" s="4" t="inlineStr">
        <is>
          <t>Medium</t>
        </is>
      </c>
      <c r="F547" s="4" t="inlineStr">
        <is>
          <t>Binary Search</t>
        </is>
      </c>
      <c r="G547" s="4" t="inlineStr">
        <is>
          <t>Accepted</t>
        </is>
      </c>
      <c r="H547" s="4" t="inlineStr">
        <is>
          <t>C++</t>
        </is>
      </c>
      <c r="I547" s="4" t="inlineStr">
        <is>
          <t>36 ms</t>
        </is>
      </c>
      <c r="J547" s="4" t="inlineStr">
        <is>
          <t>31.9 MB</t>
        </is>
      </c>
      <c r="K547" s="4" t="n">
        <v>7</v>
      </c>
      <c r="L547" s="4" t="inlineStr">
        <is>
          <t>66/66</t>
        </is>
      </c>
      <c r="M547" s="9" t="inlineStr">
        <is>
          <t>Submission 953786455</t>
        </is>
      </c>
      <c r="N547" s="4" t="inlineStr">
        <is>
          <t>Yes</t>
        </is>
      </c>
    </row>
    <row r="548">
      <c r="A548" s="11" t="n">
        <v>45066.57349537037</v>
      </c>
      <c r="B548" s="4" t="inlineStr">
        <is>
          <t>2023-05</t>
        </is>
      </c>
      <c r="C548" s="4" t="n">
        <v>658</v>
      </c>
      <c r="D548" s="9" t="inlineStr">
        <is>
          <t>Find K Closest Elements</t>
        </is>
      </c>
      <c r="E548" s="4" t="inlineStr">
        <is>
          <t>Medium</t>
        </is>
      </c>
      <c r="F548" s="4" t="inlineStr">
        <is>
          <t>Binary Search</t>
        </is>
      </c>
      <c r="G548" s="4" t="inlineStr">
        <is>
          <t>Compile Error</t>
        </is>
      </c>
      <c r="H548" s="4" t="inlineStr">
        <is>
          <t>C++</t>
        </is>
      </c>
      <c r="I548" s="4" t="inlineStr">
        <is>
          <t>N/A</t>
        </is>
      </c>
      <c r="J548" s="4" t="inlineStr">
        <is>
          <t>N/A</t>
        </is>
      </c>
      <c r="K548" s="4" t="n"/>
      <c r="L548" s="4" t="inlineStr"/>
      <c r="M548" s="9" t="inlineStr">
        <is>
          <t>Submission 953786698</t>
        </is>
      </c>
      <c r="N548" s="4" t="inlineStr">
        <is>
          <t>Yes</t>
        </is>
      </c>
    </row>
    <row r="549">
      <c r="A549" s="11" t="n">
        <v>45066.57365740741</v>
      </c>
      <c r="B549" s="4" t="inlineStr">
        <is>
          <t>2023-05</t>
        </is>
      </c>
      <c r="C549" s="4" t="n">
        <v>658</v>
      </c>
      <c r="D549" s="9" t="inlineStr">
        <is>
          <t>Find K Closest Elements</t>
        </is>
      </c>
      <c r="E549" s="4" t="inlineStr">
        <is>
          <t>Medium</t>
        </is>
      </c>
      <c r="F549" s="4" t="inlineStr">
        <is>
          <t>Binary Search</t>
        </is>
      </c>
      <c r="G549" s="4" t="inlineStr">
        <is>
          <t>Accepted</t>
        </is>
      </c>
      <c r="H549" s="4" t="inlineStr">
        <is>
          <t>C++</t>
        </is>
      </c>
      <c r="I549" s="4" t="inlineStr">
        <is>
          <t>84 ms</t>
        </is>
      </c>
      <c r="J549" s="4" t="inlineStr">
        <is>
          <t>38.4 MB</t>
        </is>
      </c>
      <c r="K549" s="4" t="n">
        <v>5.4</v>
      </c>
      <c r="L549" s="4" t="inlineStr">
        <is>
          <t>66/66</t>
        </is>
      </c>
      <c r="M549" s="9" t="inlineStr">
        <is>
          <t>Submission 953786794</t>
        </is>
      </c>
      <c r="N549" s="4" t="inlineStr">
        <is>
          <t>Yes</t>
        </is>
      </c>
    </row>
    <row r="550">
      <c r="A550" s="11" t="n">
        <v>45066.57424768519</v>
      </c>
      <c r="B550" s="4" t="inlineStr">
        <is>
          <t>2023-05</t>
        </is>
      </c>
      <c r="C550" s="4" t="n">
        <v>1</v>
      </c>
      <c r="D550" s="9" t="inlineStr">
        <is>
          <t>Two Sum</t>
        </is>
      </c>
      <c r="E550" s="4" t="inlineStr">
        <is>
          <t>Easy</t>
        </is>
      </c>
      <c r="F550" s="4" t="inlineStr">
        <is>
          <t>Arrays, Hashing &amp; Sorting</t>
        </is>
      </c>
      <c r="G550" s="4" t="inlineStr">
        <is>
          <t>Accepted</t>
        </is>
      </c>
      <c r="H550" s="4" t="inlineStr">
        <is>
          <t>C++</t>
        </is>
      </c>
      <c r="I550" s="4" t="inlineStr">
        <is>
          <t>13 ms</t>
        </is>
      </c>
      <c r="J550" s="4" t="inlineStr">
        <is>
          <t>10.8 MB</t>
        </is>
      </c>
      <c r="K550" s="4" t="n">
        <v>39.4</v>
      </c>
      <c r="L550" s="4" t="inlineStr">
        <is>
          <t>57/57</t>
        </is>
      </c>
      <c r="M550" s="9" t="inlineStr">
        <is>
          <t>Submission 953787124</t>
        </is>
      </c>
      <c r="N550" s="4" t="inlineStr">
        <is>
          <t>Yes</t>
        </is>
      </c>
    </row>
    <row r="551">
      <c r="A551" s="11" t="n">
        <v>45066.57503472222</v>
      </c>
      <c r="B551" s="4" t="inlineStr">
        <is>
          <t>2023-05</t>
        </is>
      </c>
      <c r="C551" s="4" t="n">
        <v>237</v>
      </c>
      <c r="D551" s="9" t="inlineStr">
        <is>
          <t>Delete Node in a Linked List</t>
        </is>
      </c>
      <c r="E551" s="4" t="inlineStr">
        <is>
          <t>Medium</t>
        </is>
      </c>
      <c r="F551" s="4" t="inlineStr">
        <is>
          <t>Linked List</t>
        </is>
      </c>
      <c r="G551" s="4" t="inlineStr">
        <is>
          <t>Accepted</t>
        </is>
      </c>
      <c r="H551" s="4" t="inlineStr">
        <is>
          <t>C++</t>
        </is>
      </c>
      <c r="I551" s="4" t="inlineStr">
        <is>
          <t>7 ms</t>
        </is>
      </c>
      <c r="J551" s="4" t="inlineStr">
        <is>
          <t>7.7 MB</t>
        </is>
      </c>
      <c r="K551" s="4" t="n">
        <v>56.3</v>
      </c>
      <c r="L551" s="4" t="inlineStr">
        <is>
          <t>41/41</t>
        </is>
      </c>
      <c r="M551" s="9" t="inlineStr">
        <is>
          <t>Submission 953787543</t>
        </is>
      </c>
      <c r="N551" s="4" t="inlineStr">
        <is>
          <t>Yes</t>
        </is>
      </c>
    </row>
    <row r="552">
      <c r="A552" s="11" t="n">
        <v>45066.57546296297</v>
      </c>
      <c r="B552" s="4" t="inlineStr">
        <is>
          <t>2023-05</t>
        </is>
      </c>
      <c r="C552" s="4" t="n">
        <v>138</v>
      </c>
      <c r="D552" s="9" t="inlineStr">
        <is>
          <t>Copy List with Random Pointer</t>
        </is>
      </c>
      <c r="E552" s="4" t="inlineStr">
        <is>
          <t>Medium</t>
        </is>
      </c>
      <c r="F552" s="4" t="inlineStr">
        <is>
          <t>Linked List</t>
        </is>
      </c>
      <c r="G552" s="4" t="inlineStr">
        <is>
          <t>Accepted</t>
        </is>
      </c>
      <c r="H552" s="4" t="inlineStr">
        <is>
          <t>C++</t>
        </is>
      </c>
      <c r="I552" s="4" t="inlineStr">
        <is>
          <t>16 ms</t>
        </is>
      </c>
      <c r="J552" s="4" t="inlineStr">
        <is>
          <t>11.3 MB</t>
        </is>
      </c>
      <c r="K552" s="4" t="n">
        <v>14</v>
      </c>
      <c r="L552" s="4" t="inlineStr">
        <is>
          <t>19/19</t>
        </is>
      </c>
      <c r="M552" s="9" t="inlineStr">
        <is>
          <t>Submission 953787763</t>
        </is>
      </c>
      <c r="N552" s="4" t="inlineStr">
        <is>
          <t>Yes</t>
        </is>
      </c>
    </row>
    <row r="553">
      <c r="A553" s="11" t="n">
        <v>45066.57582175926</v>
      </c>
      <c r="B553" s="4" t="inlineStr">
        <is>
          <t>2023-05</t>
        </is>
      </c>
      <c r="C553" s="4" t="n">
        <v>138</v>
      </c>
      <c r="D553" s="9" t="inlineStr">
        <is>
          <t>Copy List with Random Pointer</t>
        </is>
      </c>
      <c r="E553" s="4" t="inlineStr">
        <is>
          <t>Medium</t>
        </is>
      </c>
      <c r="F553" s="4" t="inlineStr">
        <is>
          <t>Linked List</t>
        </is>
      </c>
      <c r="G553" s="4" t="inlineStr">
        <is>
          <t>Accepted</t>
        </is>
      </c>
      <c r="H553" s="4" t="inlineStr">
        <is>
          <t>C++</t>
        </is>
      </c>
      <c r="I553" s="4" t="inlineStr">
        <is>
          <t>17 ms</t>
        </is>
      </c>
      <c r="J553" s="4" t="inlineStr">
        <is>
          <t>11.3 MB</t>
        </is>
      </c>
      <c r="K553" s="4" t="n">
        <v>14</v>
      </c>
      <c r="L553" s="4" t="inlineStr">
        <is>
          <t>19/19</t>
        </is>
      </c>
      <c r="M553" s="9" t="inlineStr">
        <is>
          <t>Submission 953787961</t>
        </is>
      </c>
      <c r="N553" s="4" t="inlineStr">
        <is>
          <t>Yes</t>
        </is>
      </c>
    </row>
    <row r="554">
      <c r="A554" s="11" t="n">
        <v>45066.57645833334</v>
      </c>
      <c r="B554" s="4" t="inlineStr">
        <is>
          <t>2023-05</t>
        </is>
      </c>
      <c r="C554" s="4" t="n">
        <v>226</v>
      </c>
      <c r="D554" s="9" t="inlineStr">
        <is>
          <t>Invert Binary Tree</t>
        </is>
      </c>
      <c r="E554" s="4" t="inlineStr">
        <is>
          <t>Easy</t>
        </is>
      </c>
      <c r="F554" s="4" t="inlineStr">
        <is>
          <t>Binary Tree (DFS &amp; Recursion)</t>
        </is>
      </c>
      <c r="G554" s="4" t="inlineStr">
        <is>
          <t>Accepted</t>
        </is>
      </c>
      <c r="H554" s="4" t="inlineStr">
        <is>
          <t>C++</t>
        </is>
      </c>
      <c r="I554" s="4" t="inlineStr">
        <is>
          <t>2 ms</t>
        </is>
      </c>
      <c r="J554" s="4" t="inlineStr">
        <is>
          <t>9.6 MB</t>
        </is>
      </c>
      <c r="K554" s="4" t="n">
        <v>0.6</v>
      </c>
      <c r="L554" s="4" t="inlineStr">
        <is>
          <t>77/77</t>
        </is>
      </c>
      <c r="M554" s="9" t="inlineStr">
        <is>
          <t>Submission 953788289</t>
        </is>
      </c>
      <c r="N554" s="4" t="inlineStr">
        <is>
          <t>Yes</t>
        </is>
      </c>
    </row>
    <row r="555">
      <c r="A555" s="11" t="n">
        <v>45066.5771875</v>
      </c>
      <c r="B555" s="4" t="inlineStr">
        <is>
          <t>2023-05</t>
        </is>
      </c>
      <c r="C555" s="4" t="n">
        <v>100</v>
      </c>
      <c r="D555" s="9" t="inlineStr">
        <is>
          <t>Same Tree</t>
        </is>
      </c>
      <c r="E555" s="4" t="inlineStr">
        <is>
          <t>Easy</t>
        </is>
      </c>
      <c r="F555" s="4" t="inlineStr">
        <is>
          <t>Binary Tree (DFS &amp; Recursion)</t>
        </is>
      </c>
      <c r="G555" s="4" t="inlineStr">
        <is>
          <t>Accepted</t>
        </is>
      </c>
      <c r="H555" s="4" t="inlineStr">
        <is>
          <t>C++</t>
        </is>
      </c>
      <c r="I555" s="4" t="inlineStr">
        <is>
          <t>3 ms</t>
        </is>
      </c>
      <c r="J555" s="4" t="inlineStr">
        <is>
          <t>9.9 MB</t>
        </is>
      </c>
      <c r="K555" s="4" t="n">
        <v>0.5</v>
      </c>
      <c r="L555" s="4" t="inlineStr">
        <is>
          <t>60/60</t>
        </is>
      </c>
      <c r="M555" s="9" t="inlineStr">
        <is>
          <t>Submission 953788697</t>
        </is>
      </c>
      <c r="N555" s="4" t="inlineStr">
        <is>
          <t>Yes</t>
        </is>
      </c>
    </row>
    <row r="556">
      <c r="A556" s="11" t="n">
        <v>45066.57827546296</v>
      </c>
      <c r="B556" s="4" t="inlineStr">
        <is>
          <t>2023-05</t>
        </is>
      </c>
      <c r="C556" s="4" t="n">
        <v>139</v>
      </c>
      <c r="D556" s="9" t="inlineStr">
        <is>
          <t>Word Break</t>
        </is>
      </c>
      <c r="E556" s="4" t="inlineStr">
        <is>
          <t>Medium</t>
        </is>
      </c>
      <c r="F556" s="4" t="inlineStr">
        <is>
          <t>DP: 1D / Linear</t>
        </is>
      </c>
      <c r="G556" s="4" t="inlineStr">
        <is>
          <t>Accepted</t>
        </is>
      </c>
      <c r="H556" s="4" t="inlineStr">
        <is>
          <t>C++</t>
        </is>
      </c>
      <c r="I556" s="4" t="inlineStr">
        <is>
          <t>28 ms</t>
        </is>
      </c>
      <c r="J556" s="4" t="inlineStr">
        <is>
          <t>13.4 MB</t>
        </is>
      </c>
      <c r="K556" s="4" t="n">
        <v>6.8</v>
      </c>
      <c r="L556" s="4" t="inlineStr">
        <is>
          <t>46/46</t>
        </is>
      </c>
      <c r="M556" s="9" t="inlineStr">
        <is>
          <t>Submission 953789290</t>
        </is>
      </c>
      <c r="N556" s="4" t="inlineStr">
        <is>
          <t>Yes</t>
        </is>
      </c>
    </row>
    <row r="557">
      <c r="A557" s="11" t="n">
        <v>45066.57881944445</v>
      </c>
      <c r="B557" s="4" t="inlineStr">
        <is>
          <t>2023-05</t>
        </is>
      </c>
      <c r="C557" s="4" t="n">
        <v>647</v>
      </c>
      <c r="D557" s="9" t="inlineStr">
        <is>
          <t>Palindromic Substrings</t>
        </is>
      </c>
      <c r="E557" s="4" t="inlineStr">
        <is>
          <t>Medium</t>
        </is>
      </c>
      <c r="F557" s="4" t="inlineStr">
        <is>
          <t>Two Pointers</t>
        </is>
      </c>
      <c r="G557" s="4" t="inlineStr">
        <is>
          <t>Accepted</t>
        </is>
      </c>
      <c r="H557" s="4" t="inlineStr">
        <is>
          <t>C++</t>
        </is>
      </c>
      <c r="I557" s="4" t="inlineStr">
        <is>
          <t>249 ms</t>
        </is>
      </c>
      <c r="J557" s="4" t="inlineStr">
        <is>
          <t>307 MB</t>
        </is>
      </c>
      <c r="K557" s="4" t="n">
        <v>21.3</v>
      </c>
      <c r="L557" s="4" t="inlineStr">
        <is>
          <t>130/130</t>
        </is>
      </c>
      <c r="M557" s="9" t="inlineStr">
        <is>
          <t>Submission 953789609</t>
        </is>
      </c>
      <c r="N557" s="4" t="inlineStr">
        <is>
          <t>Yes</t>
        </is>
      </c>
    </row>
    <row r="558">
      <c r="A558" s="11" t="n">
        <v>45066.57900462963</v>
      </c>
      <c r="B558" s="4" t="inlineStr">
        <is>
          <t>2023-05</t>
        </is>
      </c>
      <c r="C558" s="4" t="n">
        <v>409</v>
      </c>
      <c r="D558" s="9" t="inlineStr">
        <is>
          <t>Longest Palindrome</t>
        </is>
      </c>
      <c r="E558" s="4" t="inlineStr">
        <is>
          <t>Easy</t>
        </is>
      </c>
      <c r="F558" s="4" t="inlineStr">
        <is>
          <t>Arrays, Hashing &amp; Sorting</t>
        </is>
      </c>
      <c r="G558" s="4" t="inlineStr">
        <is>
          <t>Accepted</t>
        </is>
      </c>
      <c r="H558" s="4" t="inlineStr">
        <is>
          <t>C++</t>
        </is>
      </c>
      <c r="I558" s="4" t="inlineStr">
        <is>
          <t>0 ms</t>
        </is>
      </c>
      <c r="J558" s="4" t="inlineStr">
        <is>
          <t>6.6 MB</t>
        </is>
      </c>
      <c r="K558" s="4" t="n">
        <v>100</v>
      </c>
      <c r="L558" s="4" t="inlineStr">
        <is>
          <t>95/95</t>
        </is>
      </c>
      <c r="M558" s="9" t="inlineStr">
        <is>
          <t>Submission 953789716</t>
        </is>
      </c>
      <c r="N558" s="4" t="inlineStr">
        <is>
          <t>Yes</t>
        </is>
      </c>
    </row>
    <row r="559">
      <c r="A559" s="11" t="n">
        <v>45066.57950231482</v>
      </c>
      <c r="B559" s="4" t="inlineStr">
        <is>
          <t>2023-05</t>
        </is>
      </c>
      <c r="C559" s="4" t="n">
        <v>53</v>
      </c>
      <c r="D559" s="9" t="inlineStr">
        <is>
          <t>Maximum Subarray</t>
        </is>
      </c>
      <c r="E559" s="4" t="inlineStr">
        <is>
          <t>Medium</t>
        </is>
      </c>
      <c r="F559" s="4" t="inlineStr">
        <is>
          <t>DP: 1D / Linear</t>
        </is>
      </c>
      <c r="G559" s="4" t="inlineStr">
        <is>
          <t>Accepted</t>
        </is>
      </c>
      <c r="H559" s="4" t="inlineStr">
        <is>
          <t>C++</t>
        </is>
      </c>
      <c r="I559" s="4" t="inlineStr">
        <is>
          <t>134 ms</t>
        </is>
      </c>
      <c r="J559" s="4" t="inlineStr">
        <is>
          <t>67.8 MB</t>
        </is>
      </c>
      <c r="K559" s="4" t="n">
        <v>4.6</v>
      </c>
      <c r="L559" s="4" t="inlineStr">
        <is>
          <t>210/210</t>
        </is>
      </c>
      <c r="M559" s="9" t="inlineStr">
        <is>
          <t>Submission 953789974</t>
        </is>
      </c>
      <c r="N559" s="4" t="inlineStr">
        <is>
          <t>Yes</t>
        </is>
      </c>
    </row>
    <row r="560">
      <c r="A560" s="11" t="n">
        <v>45066.60767361111</v>
      </c>
      <c r="B560" s="4" t="inlineStr">
        <is>
          <t>2023-05</t>
        </is>
      </c>
      <c r="C560" s="4" t="n">
        <v>22</v>
      </c>
      <c r="D560" s="9" t="inlineStr">
        <is>
          <t>Generate Parentheses</t>
        </is>
      </c>
      <c r="E560" s="4" t="inlineStr">
        <is>
          <t>Medium</t>
        </is>
      </c>
      <c r="F560" s="4" t="inlineStr">
        <is>
          <t>Backtracking</t>
        </is>
      </c>
      <c r="G560" s="4" t="inlineStr">
        <is>
          <t>Accepted</t>
        </is>
      </c>
      <c r="H560" s="4" t="inlineStr">
        <is>
          <t>C++</t>
        </is>
      </c>
      <c r="I560" s="4" t="inlineStr">
        <is>
          <t>4 ms</t>
        </is>
      </c>
      <c r="J560" s="4" t="inlineStr">
        <is>
          <t>13.7 MB</t>
        </is>
      </c>
      <c r="K560" s="4" t="n">
        <v>32.2</v>
      </c>
      <c r="L560" s="4" t="inlineStr">
        <is>
          <t>8/8</t>
        </is>
      </c>
      <c r="M560" s="9" t="inlineStr">
        <is>
          <t>Submission 953806289</t>
        </is>
      </c>
      <c r="N560" s="4" t="inlineStr">
        <is>
          <t>Yes</t>
        </is>
      </c>
    </row>
    <row r="561">
      <c r="A561" s="11" t="n">
        <v>45066.60869212963</v>
      </c>
      <c r="B561" s="4" t="inlineStr">
        <is>
          <t>2023-05</t>
        </is>
      </c>
      <c r="C561" s="4" t="n">
        <v>22</v>
      </c>
      <c r="D561" s="9" t="inlineStr">
        <is>
          <t>Generate Parentheses</t>
        </is>
      </c>
      <c r="E561" s="4" t="inlineStr">
        <is>
          <t>Medium</t>
        </is>
      </c>
      <c r="F561" s="4" t="inlineStr">
        <is>
          <t>Backtracking</t>
        </is>
      </c>
      <c r="G561" s="4" t="inlineStr">
        <is>
          <t>Accepted</t>
        </is>
      </c>
      <c r="H561" s="4" t="inlineStr">
        <is>
          <t>C++</t>
        </is>
      </c>
      <c r="I561" s="4" t="inlineStr">
        <is>
          <t>8 ms</t>
        </is>
      </c>
      <c r="J561" s="4" t="inlineStr">
        <is>
          <t>14 MB</t>
        </is>
      </c>
      <c r="K561" s="4" t="n">
        <v>7.9</v>
      </c>
      <c r="L561" s="4" t="inlineStr">
        <is>
          <t>8/8</t>
        </is>
      </c>
      <c r="M561" s="9" t="inlineStr">
        <is>
          <t>Submission 953806924</t>
        </is>
      </c>
      <c r="N561" s="4" t="inlineStr">
        <is>
          <t>Yes</t>
        </is>
      </c>
    </row>
    <row r="562">
      <c r="A562" s="11" t="n">
        <v>45066.61325231481</v>
      </c>
      <c r="B562" s="4" t="inlineStr">
        <is>
          <t>2023-05</t>
        </is>
      </c>
      <c r="C562" s="4" t="n">
        <v>22</v>
      </c>
      <c r="D562" s="9" t="inlineStr">
        <is>
          <t>Generate Parentheses</t>
        </is>
      </c>
      <c r="E562" s="4" t="inlineStr">
        <is>
          <t>Medium</t>
        </is>
      </c>
      <c r="F562" s="4" t="inlineStr">
        <is>
          <t>Backtracking</t>
        </is>
      </c>
      <c r="G562" s="4" t="inlineStr">
        <is>
          <t>Accepted</t>
        </is>
      </c>
      <c r="H562" s="4" t="inlineStr">
        <is>
          <t>C++</t>
        </is>
      </c>
      <c r="I562" s="4" t="inlineStr">
        <is>
          <t>3 ms</t>
        </is>
      </c>
      <c r="J562" s="4" t="inlineStr">
        <is>
          <t>11.6 MB</t>
        </is>
      </c>
      <c r="K562" s="4" t="n">
        <v>66.5</v>
      </c>
      <c r="L562" s="4" t="inlineStr">
        <is>
          <t>8/8</t>
        </is>
      </c>
      <c r="M562" s="9" t="inlineStr">
        <is>
          <t>Submission 953809671</t>
        </is>
      </c>
      <c r="N562" s="4" t="inlineStr">
        <is>
          <t>Yes</t>
        </is>
      </c>
    </row>
    <row r="563">
      <c r="A563" s="11" t="n">
        <v>45066.6403125</v>
      </c>
      <c r="B563" s="4" t="inlineStr">
        <is>
          <t>2023-05</t>
        </is>
      </c>
      <c r="C563" s="4" t="n">
        <v>146</v>
      </c>
      <c r="D563" s="9" t="inlineStr">
        <is>
          <t>LRU Cache</t>
        </is>
      </c>
      <c r="E563" s="4" t="inlineStr">
        <is>
          <t>Medium</t>
        </is>
      </c>
      <c r="F563" s="4" t="inlineStr">
        <is>
          <t>Design</t>
        </is>
      </c>
      <c r="G563" s="4" t="inlineStr">
        <is>
          <t>Accepted</t>
        </is>
      </c>
      <c r="H563" s="4" t="inlineStr">
        <is>
          <t>C++</t>
        </is>
      </c>
      <c r="I563" s="4" t="inlineStr">
        <is>
          <t>470 ms</t>
        </is>
      </c>
      <c r="J563" s="4" t="inlineStr">
        <is>
          <t>165.1 MB</t>
        </is>
      </c>
      <c r="K563" s="4" t="n">
        <v>5</v>
      </c>
      <c r="L563" s="4" t="inlineStr">
        <is>
          <t>22/22</t>
        </is>
      </c>
      <c r="M563" s="9" t="inlineStr">
        <is>
          <t>Submission 953826407</t>
        </is>
      </c>
      <c r="N563" s="4" t="inlineStr">
        <is>
          <t>Yes</t>
        </is>
      </c>
    </row>
    <row r="564">
      <c r="A564" s="11" t="n">
        <v>45066.64866898148</v>
      </c>
      <c r="B564" s="4" t="inlineStr">
        <is>
          <t>2023-05</t>
        </is>
      </c>
      <c r="C564" s="4" t="n">
        <v>34</v>
      </c>
      <c r="D564" s="9" t="inlineStr">
        <is>
          <t>Find First and Last Position of Element in Sorted Array</t>
        </is>
      </c>
      <c r="E564" s="4" t="inlineStr">
        <is>
          <t>Medium</t>
        </is>
      </c>
      <c r="F564" s="4" t="inlineStr">
        <is>
          <t>Binary Search</t>
        </is>
      </c>
      <c r="G564" s="4" t="inlineStr">
        <is>
          <t>Accepted</t>
        </is>
      </c>
      <c r="H564" s="4" t="inlineStr">
        <is>
          <t>C++</t>
        </is>
      </c>
      <c r="I564" s="4" t="inlineStr">
        <is>
          <t>8 ms</t>
        </is>
      </c>
      <c r="J564" s="4" t="inlineStr">
        <is>
          <t>13.7 MB</t>
        </is>
      </c>
      <c r="K564" s="4" t="n">
        <v>0</v>
      </c>
      <c r="L564" s="4" t="inlineStr">
        <is>
          <t>88/88</t>
        </is>
      </c>
      <c r="M564" s="9" t="inlineStr">
        <is>
          <t>Submission 953831601</t>
        </is>
      </c>
      <c r="N564" s="4" t="inlineStr">
        <is>
          <t>Yes</t>
        </is>
      </c>
    </row>
    <row r="565">
      <c r="A565" s="11" t="n">
        <v>45066.66768518519</v>
      </c>
      <c r="B565" s="4" t="inlineStr">
        <is>
          <t>2023-05</t>
        </is>
      </c>
      <c r="C565" s="4" t="n">
        <v>56</v>
      </c>
      <c r="D565" s="9" t="inlineStr">
        <is>
          <t>Merge Intervals</t>
        </is>
      </c>
      <c r="E565" s="4" t="inlineStr">
        <is>
          <t>Medium</t>
        </is>
      </c>
      <c r="F565" s="4" t="inlineStr">
        <is>
          <t>Intervals &amp; Sweep Line</t>
        </is>
      </c>
      <c r="G565" s="4" t="inlineStr">
        <is>
          <t>Wrong Answer</t>
        </is>
      </c>
      <c r="H565" s="4" t="inlineStr">
        <is>
          <t>C++</t>
        </is>
      </c>
      <c r="I565" s="4" t="inlineStr">
        <is>
          <t>N/A</t>
        </is>
      </c>
      <c r="J565" s="4" t="inlineStr">
        <is>
          <t>N/A</t>
        </is>
      </c>
      <c r="K565" s="4" t="n"/>
      <c r="L565" s="4" t="inlineStr">
        <is>
          <t>63/170</t>
        </is>
      </c>
      <c r="M565" s="9" t="inlineStr">
        <is>
          <t>Submission 953843345</t>
        </is>
      </c>
      <c r="N565" s="4" t="inlineStr">
        <is>
          <t>Yes</t>
        </is>
      </c>
    </row>
    <row r="566">
      <c r="A566" s="11" t="n">
        <v>45066.66895833334</v>
      </c>
      <c r="B566" s="4" t="inlineStr">
        <is>
          <t>2023-05</t>
        </is>
      </c>
      <c r="C566" s="4" t="n">
        <v>56</v>
      </c>
      <c r="D566" s="9" t="inlineStr">
        <is>
          <t>Merge Intervals</t>
        </is>
      </c>
      <c r="E566" s="4" t="inlineStr">
        <is>
          <t>Medium</t>
        </is>
      </c>
      <c r="F566" s="4" t="inlineStr">
        <is>
          <t>Intervals &amp; Sweep Line</t>
        </is>
      </c>
      <c r="G566" s="4" t="inlineStr">
        <is>
          <t>Accepted</t>
        </is>
      </c>
      <c r="H566" s="4" t="inlineStr">
        <is>
          <t>C++</t>
        </is>
      </c>
      <c r="I566" s="4" t="inlineStr">
        <is>
          <t>226 ms</t>
        </is>
      </c>
      <c r="J566" s="4" t="inlineStr">
        <is>
          <t>48 MB</t>
        </is>
      </c>
      <c r="K566" s="4" t="n">
        <v>5</v>
      </c>
      <c r="L566" s="4" t="inlineStr">
        <is>
          <t>170/170</t>
        </is>
      </c>
      <c r="M566" s="9" t="inlineStr">
        <is>
          <t>Submission 953844178</t>
        </is>
      </c>
      <c r="N566" s="4" t="inlineStr">
        <is>
          <t>Yes</t>
        </is>
      </c>
    </row>
    <row r="567">
      <c r="A567" s="11" t="n">
        <v>45066.66950231481</v>
      </c>
      <c r="B567" s="4" t="inlineStr">
        <is>
          <t>2023-05</t>
        </is>
      </c>
      <c r="C567" s="4" t="n">
        <v>56</v>
      </c>
      <c r="D567" s="9" t="inlineStr">
        <is>
          <t>Merge Intervals</t>
        </is>
      </c>
      <c r="E567" s="4" t="inlineStr">
        <is>
          <t>Medium</t>
        </is>
      </c>
      <c r="F567" s="4" t="inlineStr">
        <is>
          <t>Intervals &amp; Sweep Line</t>
        </is>
      </c>
      <c r="G567" s="4" t="inlineStr">
        <is>
          <t>Accepted</t>
        </is>
      </c>
      <c r="H567" s="4" t="inlineStr">
        <is>
          <t>C++</t>
        </is>
      </c>
      <c r="I567" s="4" t="inlineStr">
        <is>
          <t>37 ms</t>
        </is>
      </c>
      <c r="J567" s="4" t="inlineStr">
        <is>
          <t>18.9 MB</t>
        </is>
      </c>
      <c r="K567" s="4" t="n">
        <v>5.1</v>
      </c>
      <c r="L567" s="4" t="inlineStr">
        <is>
          <t>170/170</t>
        </is>
      </c>
      <c r="M567" s="9" t="inlineStr">
        <is>
          <t>Submission 953844515</t>
        </is>
      </c>
      <c r="N567" s="4" t="inlineStr">
        <is>
          <t>Yes</t>
        </is>
      </c>
    </row>
    <row r="568">
      <c r="A568" s="11" t="n">
        <v>45066.67655092593</v>
      </c>
      <c r="B568" s="4" t="inlineStr">
        <is>
          <t>2023-05</t>
        </is>
      </c>
      <c r="C568" s="4" t="n">
        <v>112</v>
      </c>
      <c r="D568" s="9" t="inlineStr">
        <is>
          <t>Path Sum</t>
        </is>
      </c>
      <c r="E568" s="4" t="inlineStr">
        <is>
          <t>Easy</t>
        </is>
      </c>
      <c r="F568" s="4" t="inlineStr">
        <is>
          <t>Binary Tree (DFS &amp; Recursion)</t>
        </is>
      </c>
      <c r="G568" s="4" t="inlineStr">
        <is>
          <t>Accepted</t>
        </is>
      </c>
      <c r="H568" s="4" t="inlineStr">
        <is>
          <t>C++</t>
        </is>
      </c>
      <c r="I568" s="4" t="inlineStr">
        <is>
          <t>12 ms</t>
        </is>
      </c>
      <c r="J568" s="4" t="inlineStr">
        <is>
          <t>21.3 MB</t>
        </is>
      </c>
      <c r="K568" s="4" t="n">
        <v>0.9</v>
      </c>
      <c r="L568" s="4" t="inlineStr">
        <is>
          <t>117/117</t>
        </is>
      </c>
      <c r="M568" s="9" t="inlineStr">
        <is>
          <t>Submission 953849102</t>
        </is>
      </c>
      <c r="N568" s="4" t="inlineStr">
        <is>
          <t>Yes</t>
        </is>
      </c>
    </row>
    <row r="569">
      <c r="A569" s="11" t="n">
        <v>45066.68174768519</v>
      </c>
      <c r="B569" s="4" t="inlineStr">
        <is>
          <t>2023-05</t>
        </is>
      </c>
      <c r="C569" s="4" t="n">
        <v>113</v>
      </c>
      <c r="D569" s="9" t="inlineStr">
        <is>
          <t>Path Sum II</t>
        </is>
      </c>
      <c r="E569" s="4" t="inlineStr">
        <is>
          <t>Medium</t>
        </is>
      </c>
      <c r="F569" s="4" t="inlineStr">
        <is>
          <t>Binary Tree (DFS &amp; Recursion)</t>
        </is>
      </c>
      <c r="G569" s="4" t="inlineStr">
        <is>
          <t>Accepted</t>
        </is>
      </c>
      <c r="H569" s="4" t="inlineStr">
        <is>
          <t>C++</t>
        </is>
      </c>
      <c r="I569" s="4" t="inlineStr">
        <is>
          <t>7 ms</t>
        </is>
      </c>
      <c r="J569" s="4" t="inlineStr">
        <is>
          <t>19.8 MB</t>
        </is>
      </c>
      <c r="K569" s="4" t="n">
        <v>27.7</v>
      </c>
      <c r="L569" s="4" t="inlineStr">
        <is>
          <t>115/115</t>
        </is>
      </c>
      <c r="M569" s="9" t="inlineStr">
        <is>
          <t>Submission 953852353</t>
        </is>
      </c>
      <c r="N569" s="4" t="inlineStr">
        <is>
          <t>Yes</t>
        </is>
      </c>
    </row>
    <row r="570">
      <c r="A570" s="11" t="n">
        <v>45066.70734953704</v>
      </c>
      <c r="B570" s="4" t="inlineStr">
        <is>
          <t>2023-05</t>
        </is>
      </c>
      <c r="C570" s="4" t="n">
        <v>437</v>
      </c>
      <c r="D570" s="9" t="inlineStr">
        <is>
          <t>Path Sum III</t>
        </is>
      </c>
      <c r="E570" s="4" t="inlineStr">
        <is>
          <t>Medium</t>
        </is>
      </c>
      <c r="F570" s="4" t="inlineStr">
        <is>
          <t>Binary Tree (DFS &amp; Recursion)</t>
        </is>
      </c>
      <c r="G570" s="4" t="inlineStr">
        <is>
          <t>Runtime Error</t>
        </is>
      </c>
      <c r="H570" s="4" t="inlineStr">
        <is>
          <t>C++</t>
        </is>
      </c>
      <c r="I570" s="4" t="inlineStr">
        <is>
          <t>N/A</t>
        </is>
      </c>
      <c r="J570" s="4" t="inlineStr">
        <is>
          <t>N/A</t>
        </is>
      </c>
      <c r="K570" s="4" t="n"/>
      <c r="L570" s="4" t="inlineStr">
        <is>
          <t>126/128</t>
        </is>
      </c>
      <c r="M570" s="9" t="inlineStr">
        <is>
          <t>Submission 953866966</t>
        </is>
      </c>
      <c r="N570" s="4" t="inlineStr">
        <is>
          <t>Yes</t>
        </is>
      </c>
    </row>
    <row r="571">
      <c r="A571" s="11" t="n">
        <v>45066.70802083334</v>
      </c>
      <c r="B571" s="4" t="inlineStr">
        <is>
          <t>2023-05</t>
        </is>
      </c>
      <c r="C571" s="4" t="n">
        <v>437</v>
      </c>
      <c r="D571" s="9" t="inlineStr">
        <is>
          <t>Path Sum III</t>
        </is>
      </c>
      <c r="E571" s="4" t="inlineStr">
        <is>
          <t>Medium</t>
        </is>
      </c>
      <c r="F571" s="4" t="inlineStr">
        <is>
          <t>Binary Tree (DFS &amp; Recursion)</t>
        </is>
      </c>
      <c r="G571" s="4" t="inlineStr">
        <is>
          <t>Wrong Answer</t>
        </is>
      </c>
      <c r="H571" s="4" t="inlineStr">
        <is>
          <t>C++</t>
        </is>
      </c>
      <c r="I571" s="4" t="inlineStr">
        <is>
          <t>N/A</t>
        </is>
      </c>
      <c r="J571" s="4" t="inlineStr">
        <is>
          <t>N/A</t>
        </is>
      </c>
      <c r="K571" s="4" t="n"/>
      <c r="L571" s="4" t="inlineStr">
        <is>
          <t>127/128</t>
        </is>
      </c>
      <c r="M571" s="9" t="inlineStr">
        <is>
          <t>Submission 953867342</t>
        </is>
      </c>
      <c r="N571" s="4" t="inlineStr">
        <is>
          <t>Yes</t>
        </is>
      </c>
    </row>
    <row r="572">
      <c r="A572" s="11" t="n">
        <v>45066.71802083333</v>
      </c>
      <c r="B572" s="4" t="inlineStr">
        <is>
          <t>2023-05</t>
        </is>
      </c>
      <c r="C572" s="4" t="n">
        <v>437</v>
      </c>
      <c r="D572" s="9" t="inlineStr">
        <is>
          <t>Path Sum III</t>
        </is>
      </c>
      <c r="E572" s="4" t="inlineStr">
        <is>
          <t>Medium</t>
        </is>
      </c>
      <c r="F572" s="4" t="inlineStr">
        <is>
          <t>Binary Tree (DFS &amp; Recursion)</t>
        </is>
      </c>
      <c r="G572" s="4" t="inlineStr">
        <is>
          <t>Wrong Answer</t>
        </is>
      </c>
      <c r="H572" s="4" t="inlineStr">
        <is>
          <t>C++</t>
        </is>
      </c>
      <c r="I572" s="4" t="inlineStr">
        <is>
          <t>N/A</t>
        </is>
      </c>
      <c r="J572" s="4" t="inlineStr">
        <is>
          <t>N/A</t>
        </is>
      </c>
      <c r="K572" s="4" t="n"/>
      <c r="L572" s="4" t="inlineStr">
        <is>
          <t>122/128</t>
        </is>
      </c>
      <c r="M572" s="9" t="inlineStr">
        <is>
          <t>Submission 953872794</t>
        </is>
      </c>
      <c r="N572" s="4" t="inlineStr">
        <is>
          <t>Yes</t>
        </is>
      </c>
    </row>
    <row r="573">
      <c r="A573" s="11" t="n">
        <v>45066.73137731481</v>
      </c>
      <c r="B573" s="4" t="inlineStr">
        <is>
          <t>2023-05</t>
        </is>
      </c>
      <c r="C573" s="4" t="n">
        <v>437</v>
      </c>
      <c r="D573" s="9" t="inlineStr">
        <is>
          <t>Path Sum III</t>
        </is>
      </c>
      <c r="E573" s="4" t="inlineStr">
        <is>
          <t>Medium</t>
        </is>
      </c>
      <c r="F573" s="4" t="inlineStr">
        <is>
          <t>Binary Tree (DFS &amp; Recursion)</t>
        </is>
      </c>
      <c r="G573" s="4" t="inlineStr">
        <is>
          <t>Accepted</t>
        </is>
      </c>
      <c r="H573" s="4" t="inlineStr">
        <is>
          <t>C++</t>
        </is>
      </c>
      <c r="I573" s="4" t="inlineStr">
        <is>
          <t>29 ms</t>
        </is>
      </c>
      <c r="J573" s="4" t="inlineStr">
        <is>
          <t>16 MB</t>
        </is>
      </c>
      <c r="K573" s="4" t="n">
        <v>8.5</v>
      </c>
      <c r="L573" s="4" t="inlineStr">
        <is>
          <t>128/128</t>
        </is>
      </c>
      <c r="M573" s="9" t="inlineStr">
        <is>
          <t>Submission 953880080</t>
        </is>
      </c>
      <c r="N573" s="4" t="inlineStr">
        <is>
          <t>Yes</t>
        </is>
      </c>
    </row>
    <row r="574">
      <c r="A574" s="11" t="n">
        <v>45066.73777777778</v>
      </c>
      <c r="B574" s="4" t="inlineStr">
        <is>
          <t>2023-05</t>
        </is>
      </c>
      <c r="C574" s="4" t="n">
        <v>437</v>
      </c>
      <c r="D574" s="9" t="inlineStr">
        <is>
          <t>Path Sum III</t>
        </is>
      </c>
      <c r="E574" s="4" t="inlineStr">
        <is>
          <t>Medium</t>
        </is>
      </c>
      <c r="F574" s="4" t="inlineStr">
        <is>
          <t>Binary Tree (DFS &amp; Recursion)</t>
        </is>
      </c>
      <c r="G574" s="4" t="inlineStr">
        <is>
          <t>Accepted</t>
        </is>
      </c>
      <c r="H574" s="4" t="inlineStr">
        <is>
          <t>C++</t>
        </is>
      </c>
      <c r="I574" s="4" t="inlineStr">
        <is>
          <t>15 ms</t>
        </is>
      </c>
      <c r="J574" s="4" t="inlineStr">
        <is>
          <t>20.8 MB</t>
        </is>
      </c>
      <c r="K574" s="4" t="n">
        <v>28.4</v>
      </c>
      <c r="L574" s="4" t="inlineStr">
        <is>
          <t>128/128</t>
        </is>
      </c>
      <c r="M574" s="9" t="inlineStr">
        <is>
          <t>Submission 953883637</t>
        </is>
      </c>
      <c r="N574" s="4" t="inlineStr">
        <is>
          <t>Yes</t>
        </is>
      </c>
    </row>
    <row r="575">
      <c r="A575" s="11" t="n">
        <v>45066.74853009259</v>
      </c>
      <c r="B575" s="4" t="inlineStr">
        <is>
          <t>2023-05</t>
        </is>
      </c>
      <c r="C575" s="4" t="n">
        <v>113</v>
      </c>
      <c r="D575" s="9" t="inlineStr">
        <is>
          <t>Path Sum II</t>
        </is>
      </c>
      <c r="E575" s="4" t="inlineStr">
        <is>
          <t>Medium</t>
        </is>
      </c>
      <c r="F575" s="4" t="inlineStr">
        <is>
          <t>Binary Tree (DFS &amp; Recursion)</t>
        </is>
      </c>
      <c r="G575" s="4" t="inlineStr">
        <is>
          <t>Accepted</t>
        </is>
      </c>
      <c r="H575" s="4" t="inlineStr">
        <is>
          <t>C++</t>
        </is>
      </c>
      <c r="I575" s="4" t="inlineStr">
        <is>
          <t>18 ms</t>
        </is>
      </c>
      <c r="J575" s="4" t="inlineStr">
        <is>
          <t>19.7 MB</t>
        </is>
      </c>
      <c r="K575" s="4" t="n">
        <v>11.1</v>
      </c>
      <c r="L575" s="4" t="inlineStr">
        <is>
          <t>115/115</t>
        </is>
      </c>
      <c r="M575" s="9" t="inlineStr">
        <is>
          <t>Submission 953889600</t>
        </is>
      </c>
      <c r="N575" s="4" t="inlineStr">
        <is>
          <t>Yes</t>
        </is>
      </c>
    </row>
    <row r="576">
      <c r="A576" s="11" t="n">
        <v>45066.75496527777</v>
      </c>
      <c r="B576" s="4" t="inlineStr">
        <is>
          <t>2023-05</t>
        </is>
      </c>
      <c r="C576" s="4" t="n">
        <v>268</v>
      </c>
      <c r="D576" s="9" t="inlineStr">
        <is>
          <t>Missing Number</t>
        </is>
      </c>
      <c r="E576" s="4" t="inlineStr">
        <is>
          <t>Easy</t>
        </is>
      </c>
      <c r="F576" s="4" t="inlineStr">
        <is>
          <t>Math &amp; Bit Manipulation</t>
        </is>
      </c>
      <c r="G576" s="4" t="inlineStr">
        <is>
          <t>Accepted</t>
        </is>
      </c>
      <c r="H576" s="4" t="inlineStr">
        <is>
          <t>C++</t>
        </is>
      </c>
      <c r="I576" s="4" t="inlineStr">
        <is>
          <t>19 ms</t>
        </is>
      </c>
      <c r="J576" s="4" t="inlineStr">
        <is>
          <t>17.9 MB</t>
        </is>
      </c>
      <c r="K576" s="4" t="n">
        <v>9</v>
      </c>
      <c r="L576" s="4" t="inlineStr">
        <is>
          <t>122/122</t>
        </is>
      </c>
      <c r="M576" s="9" t="inlineStr">
        <is>
          <t>Submission 953893283</t>
        </is>
      </c>
      <c r="N576" s="4" t="inlineStr">
        <is>
          <t>Yes</t>
        </is>
      </c>
    </row>
    <row r="577">
      <c r="A577" s="11" t="n">
        <v>45066.75719907408</v>
      </c>
      <c r="B577" s="4" t="inlineStr">
        <is>
          <t>2023-05</t>
        </is>
      </c>
      <c r="C577" s="4" t="n">
        <v>206</v>
      </c>
      <c r="D577" s="9" t="inlineStr">
        <is>
          <t>Reverse Linked List</t>
        </is>
      </c>
      <c r="E577" s="4" t="inlineStr">
        <is>
          <t>Easy</t>
        </is>
      </c>
      <c r="F577" s="4" t="inlineStr">
        <is>
          <t>Linked List</t>
        </is>
      </c>
      <c r="G577" s="4" t="inlineStr">
        <is>
          <t>Accepted</t>
        </is>
      </c>
      <c r="H577" s="4" t="inlineStr">
        <is>
          <t>C++</t>
        </is>
      </c>
      <c r="I577" s="4" t="inlineStr">
        <is>
          <t>5 ms</t>
        </is>
      </c>
      <c r="J577" s="4" t="inlineStr">
        <is>
          <t>8.3 MB</t>
        </is>
      </c>
      <c r="K577" s="4" t="n">
        <v>0.8</v>
      </c>
      <c r="L577" s="4" t="inlineStr">
        <is>
          <t>28/28</t>
        </is>
      </c>
      <c r="M577" s="9" t="inlineStr">
        <is>
          <t>Submission 953894557</t>
        </is>
      </c>
      <c r="N577" s="4" t="inlineStr">
        <is>
          <t>Yes</t>
        </is>
      </c>
    </row>
    <row r="578">
      <c r="A578" s="11" t="n">
        <v>45066.76181712963</v>
      </c>
      <c r="B578" s="4" t="inlineStr">
        <is>
          <t>2023-05</t>
        </is>
      </c>
      <c r="C578" s="4" t="n">
        <v>92</v>
      </c>
      <c r="D578" s="9" t="inlineStr">
        <is>
          <t>Reverse Linked List II</t>
        </is>
      </c>
      <c r="E578" s="4" t="inlineStr">
        <is>
          <t>Medium</t>
        </is>
      </c>
      <c r="F578" s="4" t="inlineStr">
        <is>
          <t>Linked List</t>
        </is>
      </c>
      <c r="G578" s="4" t="inlineStr">
        <is>
          <t>Accepted</t>
        </is>
      </c>
      <c r="H578" s="4" t="inlineStr">
        <is>
          <t>C++</t>
        </is>
      </c>
      <c r="I578" s="4" t="inlineStr">
        <is>
          <t>6 ms</t>
        </is>
      </c>
      <c r="J578" s="4" t="inlineStr">
        <is>
          <t>7.3 MB</t>
        </is>
      </c>
      <c r="K578" s="4" t="n">
        <v>0.1</v>
      </c>
      <c r="L578" s="4" t="inlineStr">
        <is>
          <t>44/44</t>
        </is>
      </c>
      <c r="M578" s="9" t="inlineStr">
        <is>
          <t>Submission 953897121</t>
        </is>
      </c>
      <c r="N578" s="4" t="inlineStr">
        <is>
          <t>Yes</t>
        </is>
      </c>
    </row>
    <row r="579">
      <c r="A579" s="11" t="n">
        <v>45067.34128472222</v>
      </c>
      <c r="B579" s="4" t="inlineStr">
        <is>
          <t>2023-05</t>
        </is>
      </c>
      <c r="C579" s="4" t="n">
        <v>41</v>
      </c>
      <c r="D579" s="9" t="inlineStr">
        <is>
          <t>First Missing Positive</t>
        </is>
      </c>
      <c r="E579" s="4" t="inlineStr">
        <is>
          <t>Hard</t>
        </is>
      </c>
      <c r="F579" s="4" t="inlineStr">
        <is>
          <t>Arrays, Hashing &amp; Sorting</t>
        </is>
      </c>
      <c r="G579" s="4" t="inlineStr">
        <is>
          <t>Wrong Answer</t>
        </is>
      </c>
      <c r="H579" s="4" t="inlineStr">
        <is>
          <t>C++</t>
        </is>
      </c>
      <c r="I579" s="4" t="inlineStr">
        <is>
          <t>N/A</t>
        </is>
      </c>
      <c r="J579" s="4" t="inlineStr">
        <is>
          <t>N/A</t>
        </is>
      </c>
      <c r="K579" s="4" t="n"/>
      <c r="L579" s="4" t="inlineStr">
        <is>
          <t>164/175</t>
        </is>
      </c>
      <c r="M579" s="9" t="inlineStr">
        <is>
          <t>Submission 954217915</t>
        </is>
      </c>
      <c r="N579" s="4" t="inlineStr">
        <is>
          <t>Yes</t>
        </is>
      </c>
    </row>
    <row r="580">
      <c r="A580" s="11" t="n">
        <v>45067.34275462963</v>
      </c>
      <c r="B580" s="4" t="inlineStr">
        <is>
          <t>2023-05</t>
        </is>
      </c>
      <c r="C580" s="4" t="n">
        <v>41</v>
      </c>
      <c r="D580" s="9" t="inlineStr">
        <is>
          <t>First Missing Positive</t>
        </is>
      </c>
      <c r="E580" s="4" t="inlineStr">
        <is>
          <t>Hard</t>
        </is>
      </c>
      <c r="F580" s="4" t="inlineStr">
        <is>
          <t>Arrays, Hashing &amp; Sorting</t>
        </is>
      </c>
      <c r="G580" s="4" t="inlineStr">
        <is>
          <t>Wrong Answer</t>
        </is>
      </c>
      <c r="H580" s="4" t="inlineStr">
        <is>
          <t>C++</t>
        </is>
      </c>
      <c r="I580" s="4" t="inlineStr">
        <is>
          <t>N/A</t>
        </is>
      </c>
      <c r="J580" s="4" t="inlineStr">
        <is>
          <t>N/A</t>
        </is>
      </c>
      <c r="K580" s="4" t="n"/>
      <c r="L580" s="4" t="inlineStr">
        <is>
          <t>172/175</t>
        </is>
      </c>
      <c r="M580" s="9" t="inlineStr">
        <is>
          <t>Submission 954220300</t>
        </is>
      </c>
      <c r="N580" s="4" t="inlineStr">
        <is>
          <t>Yes</t>
        </is>
      </c>
    </row>
    <row r="581">
      <c r="A581" s="11" t="n">
        <v>45067.34442129629</v>
      </c>
      <c r="B581" s="4" t="inlineStr">
        <is>
          <t>2023-05</t>
        </is>
      </c>
      <c r="C581" s="4" t="n">
        <v>41</v>
      </c>
      <c r="D581" s="9" t="inlineStr">
        <is>
          <t>First Missing Positive</t>
        </is>
      </c>
      <c r="E581" s="4" t="inlineStr">
        <is>
          <t>Hard</t>
        </is>
      </c>
      <c r="F581" s="4" t="inlineStr">
        <is>
          <t>Arrays, Hashing &amp; Sorting</t>
        </is>
      </c>
      <c r="G581" s="4" t="inlineStr">
        <is>
          <t>Wrong Answer</t>
        </is>
      </c>
      <c r="H581" s="4" t="inlineStr">
        <is>
          <t>C++</t>
        </is>
      </c>
      <c r="I581" s="4" t="inlineStr">
        <is>
          <t>N/A</t>
        </is>
      </c>
      <c r="J581" s="4" t="inlineStr">
        <is>
          <t>N/A</t>
        </is>
      </c>
      <c r="K581" s="4" t="n"/>
      <c r="L581" s="4" t="inlineStr">
        <is>
          <t>164/175</t>
        </is>
      </c>
      <c r="M581" s="9" t="inlineStr">
        <is>
          <t>Submission 954222766</t>
        </is>
      </c>
      <c r="N581" s="4" t="inlineStr">
        <is>
          <t>Yes</t>
        </is>
      </c>
    </row>
    <row r="582">
      <c r="A582" s="11" t="n">
        <v>45067.34489583333</v>
      </c>
      <c r="B582" s="4" t="inlineStr">
        <is>
          <t>2023-05</t>
        </is>
      </c>
      <c r="C582" s="4" t="n">
        <v>41</v>
      </c>
      <c r="D582" s="9" t="inlineStr">
        <is>
          <t>First Missing Positive</t>
        </is>
      </c>
      <c r="E582" s="4" t="inlineStr">
        <is>
          <t>Hard</t>
        </is>
      </c>
      <c r="F582" s="4" t="inlineStr">
        <is>
          <t>Arrays, Hashing &amp; Sorting</t>
        </is>
      </c>
      <c r="G582" s="4" t="inlineStr">
        <is>
          <t>Accepted</t>
        </is>
      </c>
      <c r="H582" s="4" t="inlineStr">
        <is>
          <t>C++</t>
        </is>
      </c>
      <c r="I582" s="4" t="inlineStr">
        <is>
          <t>71 ms</t>
        </is>
      </c>
      <c r="J582" s="4" t="inlineStr">
        <is>
          <t>41.1 MB</t>
        </is>
      </c>
      <c r="K582" s="4" t="n">
        <v>5.4</v>
      </c>
      <c r="L582" s="4" t="inlineStr">
        <is>
          <t>175/175</t>
        </is>
      </c>
      <c r="M582" s="9" t="inlineStr">
        <is>
          <t>Submission 954223490</t>
        </is>
      </c>
      <c r="N582" s="4" t="inlineStr">
        <is>
          <t>Yes</t>
        </is>
      </c>
    </row>
    <row r="583">
      <c r="A583" s="11" t="n">
        <v>45067.34928240741</v>
      </c>
      <c r="B583" s="4" t="inlineStr">
        <is>
          <t>2023-05</t>
        </is>
      </c>
      <c r="C583" s="4" t="n">
        <v>41</v>
      </c>
      <c r="D583" s="9" t="inlineStr">
        <is>
          <t>First Missing Positive</t>
        </is>
      </c>
      <c r="E583" s="4" t="inlineStr">
        <is>
          <t>Hard</t>
        </is>
      </c>
      <c r="F583" s="4" t="inlineStr">
        <is>
          <t>Arrays, Hashing &amp; Sorting</t>
        </is>
      </c>
      <c r="G583" s="4" t="inlineStr">
        <is>
          <t>Accepted</t>
        </is>
      </c>
      <c r="H583" s="4" t="inlineStr">
        <is>
          <t>C++</t>
        </is>
      </c>
      <c r="I583" s="4" t="inlineStr">
        <is>
          <t>60 ms</t>
        </is>
      </c>
      <c r="J583" s="4" t="inlineStr">
        <is>
          <t>41.1 MB</t>
        </is>
      </c>
      <c r="K583" s="4" t="n">
        <v>11.3</v>
      </c>
      <c r="L583" s="4" t="inlineStr">
        <is>
          <t>175/175</t>
        </is>
      </c>
      <c r="M583" s="9" t="inlineStr">
        <is>
          <t>Submission 954229515</t>
        </is>
      </c>
      <c r="N583" s="4" t="inlineStr">
        <is>
          <t>Yes</t>
        </is>
      </c>
    </row>
    <row r="584">
      <c r="A584" s="11" t="n">
        <v>45067.35079861111</v>
      </c>
      <c r="B584" s="4" t="inlineStr">
        <is>
          <t>2023-05</t>
        </is>
      </c>
      <c r="C584" s="4" t="n">
        <v>41</v>
      </c>
      <c r="D584" s="9" t="inlineStr">
        <is>
          <t>First Missing Positive</t>
        </is>
      </c>
      <c r="E584" s="4" t="inlineStr">
        <is>
          <t>Hard</t>
        </is>
      </c>
      <c r="F584" s="4" t="inlineStr">
        <is>
          <t>Arrays, Hashing &amp; Sorting</t>
        </is>
      </c>
      <c r="G584" s="4" t="inlineStr">
        <is>
          <t>Accepted</t>
        </is>
      </c>
      <c r="H584" s="4" t="inlineStr">
        <is>
          <t>C++</t>
        </is>
      </c>
      <c r="I584" s="4" t="inlineStr">
        <is>
          <t>51 ms</t>
        </is>
      </c>
      <c r="J584" s="4" t="inlineStr">
        <is>
          <t>40.7 MB</t>
        </is>
      </c>
      <c r="K584" s="4" t="n">
        <v>14.1</v>
      </c>
      <c r="L584" s="4" t="inlineStr">
        <is>
          <t>175/175</t>
        </is>
      </c>
      <c r="M584" s="9" t="inlineStr">
        <is>
          <t>Submission 954231547</t>
        </is>
      </c>
      <c r="N584" s="4" t="inlineStr">
        <is>
          <t>Yes</t>
        </is>
      </c>
    </row>
    <row r="585">
      <c r="A585" s="11" t="n">
        <v>45067.35909722222</v>
      </c>
      <c r="B585" s="4" t="inlineStr">
        <is>
          <t>2023-05</t>
        </is>
      </c>
      <c r="C585" s="4" t="n">
        <v>572</v>
      </c>
      <c r="D585" s="9" t="inlineStr">
        <is>
          <t>Subtree of Another Tree</t>
        </is>
      </c>
      <c r="E585" s="4" t="inlineStr">
        <is>
          <t>Easy</t>
        </is>
      </c>
      <c r="F585" s="4" t="inlineStr">
        <is>
          <t>Binary Tree (DFS &amp; Recursion)</t>
        </is>
      </c>
      <c r="G585" s="4" t="inlineStr">
        <is>
          <t>Accepted</t>
        </is>
      </c>
      <c r="H585" s="4" t="inlineStr">
        <is>
          <t>C++</t>
        </is>
      </c>
      <c r="I585" s="4" t="inlineStr">
        <is>
          <t>27 ms</t>
        </is>
      </c>
      <c r="J585" s="4" t="inlineStr">
        <is>
          <t>28.9 MB</t>
        </is>
      </c>
      <c r="K585" s="4" t="n">
        <v>5.1</v>
      </c>
      <c r="L585" s="4" t="inlineStr">
        <is>
          <t>182/182</t>
        </is>
      </c>
      <c r="M585" s="9" t="inlineStr">
        <is>
          <t>Submission 954240879</t>
        </is>
      </c>
      <c r="N585" s="4" t="inlineStr">
        <is>
          <t>Yes</t>
        </is>
      </c>
    </row>
    <row r="586">
      <c r="A586" s="11" t="n">
        <v>45067.36371527778</v>
      </c>
      <c r="B586" s="4" t="inlineStr">
        <is>
          <t>2023-05</t>
        </is>
      </c>
      <c r="C586" s="4" t="n">
        <v>572</v>
      </c>
      <c r="D586" s="9" t="inlineStr">
        <is>
          <t>Subtree of Another Tree</t>
        </is>
      </c>
      <c r="E586" s="4" t="inlineStr">
        <is>
          <t>Easy</t>
        </is>
      </c>
      <c r="F586" s="4" t="inlineStr">
        <is>
          <t>Binary Tree (DFS &amp; Recursion)</t>
        </is>
      </c>
      <c r="G586" s="4" t="inlineStr">
        <is>
          <t>Accepted</t>
        </is>
      </c>
      <c r="H586" s="4" t="inlineStr">
        <is>
          <t>C++</t>
        </is>
      </c>
      <c r="I586" s="4" t="inlineStr">
        <is>
          <t>20 ms</t>
        </is>
      </c>
      <c r="J586" s="4" t="inlineStr">
        <is>
          <t>28.8 MB</t>
        </is>
      </c>
      <c r="K586" s="4" t="n">
        <v>5.1</v>
      </c>
      <c r="L586" s="4" t="inlineStr">
        <is>
          <t>182/182</t>
        </is>
      </c>
      <c r="M586" s="9" t="inlineStr">
        <is>
          <t>Submission 954245431</t>
        </is>
      </c>
      <c r="N586" s="4" t="inlineStr">
        <is>
          <t>Yes</t>
        </is>
      </c>
    </row>
    <row r="587">
      <c r="A587" s="11" t="n">
        <v>45067.36471064815</v>
      </c>
      <c r="B587" s="4" t="inlineStr">
        <is>
          <t>2023-05</t>
        </is>
      </c>
      <c r="C587" s="4" t="n">
        <v>572</v>
      </c>
      <c r="D587" s="9" t="inlineStr">
        <is>
          <t>Subtree of Another Tree</t>
        </is>
      </c>
      <c r="E587" s="4" t="inlineStr">
        <is>
          <t>Easy</t>
        </is>
      </c>
      <c r="F587" s="4" t="inlineStr">
        <is>
          <t>Binary Tree (DFS &amp; Recursion)</t>
        </is>
      </c>
      <c r="G587" s="4" t="inlineStr">
        <is>
          <t>Accepted</t>
        </is>
      </c>
      <c r="H587" s="4" t="inlineStr">
        <is>
          <t>C++</t>
        </is>
      </c>
      <c r="I587" s="4" t="inlineStr">
        <is>
          <t>26 ms</t>
        </is>
      </c>
      <c r="J587" s="4" t="inlineStr">
        <is>
          <t>28.6 MB</t>
        </is>
      </c>
      <c r="K587" s="4" t="n">
        <v>5.1</v>
      </c>
      <c r="L587" s="4" t="inlineStr">
        <is>
          <t>182/182</t>
        </is>
      </c>
      <c r="M587" s="9" t="inlineStr">
        <is>
          <t>Submission 954246381</t>
        </is>
      </c>
      <c r="N587" s="4" t="inlineStr">
        <is>
          <t>Yes</t>
        </is>
      </c>
    </row>
    <row r="588">
      <c r="A588" s="11" t="n">
        <v>45067.36495370371</v>
      </c>
      <c r="B588" s="4" t="inlineStr">
        <is>
          <t>2023-05</t>
        </is>
      </c>
      <c r="C588" s="4" t="n">
        <v>572</v>
      </c>
      <c r="D588" s="9" t="inlineStr">
        <is>
          <t>Subtree of Another Tree</t>
        </is>
      </c>
      <c r="E588" s="4" t="inlineStr">
        <is>
          <t>Easy</t>
        </is>
      </c>
      <c r="F588" s="4" t="inlineStr">
        <is>
          <t>Binary Tree (DFS &amp; Recursion)</t>
        </is>
      </c>
      <c r="G588" s="4" t="inlineStr">
        <is>
          <t>Accepted</t>
        </is>
      </c>
      <c r="H588" s="4" t="inlineStr">
        <is>
          <t>C++</t>
        </is>
      </c>
      <c r="I588" s="4" t="inlineStr">
        <is>
          <t>25 ms</t>
        </is>
      </c>
      <c r="J588" s="4" t="inlineStr">
        <is>
          <t>28.8 MB</t>
        </is>
      </c>
      <c r="K588" s="4" t="n">
        <v>5.1</v>
      </c>
      <c r="L588" s="4" t="inlineStr">
        <is>
          <t>182/182</t>
        </is>
      </c>
      <c r="M588" s="9" t="inlineStr">
        <is>
          <t>Submission 954246623</t>
        </is>
      </c>
      <c r="N588" s="4" t="inlineStr">
        <is>
          <t>Yes</t>
        </is>
      </c>
    </row>
    <row r="589">
      <c r="A589" s="11" t="n">
        <v>45067.38318287037</v>
      </c>
      <c r="B589" s="4" t="inlineStr">
        <is>
          <t>2023-05</t>
        </is>
      </c>
      <c r="C589" s="4" t="n">
        <v>15</v>
      </c>
      <c r="D589" s="9" t="inlineStr">
        <is>
          <t>3Sum</t>
        </is>
      </c>
      <c r="E589" s="4" t="inlineStr">
        <is>
          <t>Medium</t>
        </is>
      </c>
      <c r="F589" s="4" t="inlineStr">
        <is>
          <t>Two Pointers</t>
        </is>
      </c>
      <c r="G589" s="4" t="inlineStr">
        <is>
          <t>Accepted</t>
        </is>
      </c>
      <c r="H589" s="4" t="inlineStr">
        <is>
          <t>C++</t>
        </is>
      </c>
      <c r="I589" s="4" t="inlineStr">
        <is>
          <t>2445 ms</t>
        </is>
      </c>
      <c r="J589" s="4" t="inlineStr">
        <is>
          <t>299.3 MB</t>
        </is>
      </c>
      <c r="K589" s="4" t="n">
        <v>5</v>
      </c>
      <c r="L589" s="4" t="inlineStr">
        <is>
          <t>312/312</t>
        </is>
      </c>
      <c r="M589" s="9" t="inlineStr">
        <is>
          <t>Submission 954263456</t>
        </is>
      </c>
      <c r="N589" s="4" t="inlineStr">
        <is>
          <t>Yes</t>
        </is>
      </c>
    </row>
    <row r="590">
      <c r="A590" s="11" t="n">
        <v>45067.38561342593</v>
      </c>
      <c r="B590" s="4" t="inlineStr">
        <is>
          <t>2023-05</t>
        </is>
      </c>
      <c r="C590" s="4" t="n">
        <v>167</v>
      </c>
      <c r="D590" s="9" t="inlineStr">
        <is>
          <t>Two Sum II - Input Array Is Sorted</t>
        </is>
      </c>
      <c r="E590" s="4" t="inlineStr">
        <is>
          <t>Medium</t>
        </is>
      </c>
      <c r="F590" s="4" t="inlineStr">
        <is>
          <t>Two Pointers</t>
        </is>
      </c>
      <c r="G590" s="4" t="inlineStr">
        <is>
          <t>Accepted</t>
        </is>
      </c>
      <c r="H590" s="4" t="inlineStr">
        <is>
          <t>C++</t>
        </is>
      </c>
      <c r="I590" s="4" t="inlineStr">
        <is>
          <t>12 ms</t>
        </is>
      </c>
      <c r="J590" s="4" t="inlineStr">
        <is>
          <t>15.6 MB</t>
        </is>
      </c>
      <c r="K590" s="4" t="n">
        <v>2.4</v>
      </c>
      <c r="L590" s="4" t="inlineStr">
        <is>
          <t>23/23</t>
        </is>
      </c>
      <c r="M590" s="9" t="inlineStr">
        <is>
          <t>Submission 954265686</t>
        </is>
      </c>
      <c r="N590" s="4" t="inlineStr">
        <is>
          <t>Yes</t>
        </is>
      </c>
    </row>
    <row r="591">
      <c r="A591" s="11" t="n">
        <v>45067.38711805556</v>
      </c>
      <c r="B591" s="4" t="inlineStr">
        <is>
          <t>2023-05</t>
        </is>
      </c>
      <c r="C591" s="4" t="n">
        <v>15</v>
      </c>
      <c r="D591" s="9" t="inlineStr">
        <is>
          <t>3Sum</t>
        </is>
      </c>
      <c r="E591" s="4" t="inlineStr">
        <is>
          <t>Medium</t>
        </is>
      </c>
      <c r="F591" s="4" t="inlineStr">
        <is>
          <t>Two Pointers</t>
        </is>
      </c>
      <c r="G591" s="4" t="inlineStr">
        <is>
          <t>Accepted</t>
        </is>
      </c>
      <c r="H591" s="4" t="inlineStr">
        <is>
          <t>C++</t>
        </is>
      </c>
      <c r="I591" s="4" t="inlineStr">
        <is>
          <t>2486 ms</t>
        </is>
      </c>
      <c r="J591" s="4" t="inlineStr">
        <is>
          <t>299.2 MB</t>
        </is>
      </c>
      <c r="K591" s="4" t="n">
        <v>5</v>
      </c>
      <c r="L591" s="4" t="inlineStr">
        <is>
          <t>312/312</t>
        </is>
      </c>
      <c r="M591" s="9" t="inlineStr">
        <is>
          <t>Submission 954267102</t>
        </is>
      </c>
      <c r="N591" s="4" t="inlineStr">
        <is>
          <t>Yes</t>
        </is>
      </c>
    </row>
    <row r="592">
      <c r="A592" s="11" t="n">
        <v>45067.39064814815</v>
      </c>
      <c r="B592" s="4" t="inlineStr">
        <is>
          <t>2023-05</t>
        </is>
      </c>
      <c r="C592" s="4" t="n">
        <v>15</v>
      </c>
      <c r="D592" s="9" t="inlineStr">
        <is>
          <t>3Sum</t>
        </is>
      </c>
      <c r="E592" s="4" t="inlineStr">
        <is>
          <t>Medium</t>
        </is>
      </c>
      <c r="F592" s="4" t="inlineStr">
        <is>
          <t>Two Pointers</t>
        </is>
      </c>
      <c r="G592" s="4" t="inlineStr">
        <is>
          <t>Accepted</t>
        </is>
      </c>
      <c r="H592" s="4" t="inlineStr">
        <is>
          <t>C++</t>
        </is>
      </c>
      <c r="I592" s="4" t="inlineStr">
        <is>
          <t>2499 ms</t>
        </is>
      </c>
      <c r="J592" s="4" t="inlineStr">
        <is>
          <t>299.3 MB</t>
        </is>
      </c>
      <c r="K592" s="4" t="n">
        <v>5</v>
      </c>
      <c r="L592" s="4" t="inlineStr">
        <is>
          <t>312/312</t>
        </is>
      </c>
      <c r="M592" s="9" t="inlineStr">
        <is>
          <t>Submission 954270369</t>
        </is>
      </c>
      <c r="N592" s="4" t="inlineStr">
        <is>
          <t>Yes</t>
        </is>
      </c>
    </row>
    <row r="593">
      <c r="A593" s="11" t="n">
        <v>45067.45731481481</v>
      </c>
      <c r="B593" s="4" t="inlineStr">
        <is>
          <t>2023-05</t>
        </is>
      </c>
      <c r="C593" s="4" t="n">
        <v>15</v>
      </c>
      <c r="D593" s="9" t="inlineStr">
        <is>
          <t>3Sum</t>
        </is>
      </c>
      <c r="E593" s="4" t="inlineStr">
        <is>
          <t>Medium</t>
        </is>
      </c>
      <c r="F593" s="4" t="inlineStr">
        <is>
          <t>Two Pointers</t>
        </is>
      </c>
      <c r="G593" s="4" t="inlineStr">
        <is>
          <t>Accepted</t>
        </is>
      </c>
      <c r="H593" s="4" t="inlineStr">
        <is>
          <t>C++</t>
        </is>
      </c>
      <c r="I593" s="4" t="inlineStr">
        <is>
          <t>2511 ms</t>
        </is>
      </c>
      <c r="J593" s="4" t="inlineStr">
        <is>
          <t>299.4 MB</t>
        </is>
      </c>
      <c r="K593" s="4" t="n">
        <v>5</v>
      </c>
      <c r="L593" s="4" t="inlineStr">
        <is>
          <t>312/312</t>
        </is>
      </c>
      <c r="M593" s="9" t="inlineStr">
        <is>
          <t>Submission 954313463</t>
        </is>
      </c>
      <c r="N593" s="4" t="inlineStr">
        <is>
          <t>Yes</t>
        </is>
      </c>
    </row>
    <row r="594">
      <c r="A594" s="11" t="n">
        <v>45067.46144675926</v>
      </c>
      <c r="B594" s="4" t="inlineStr">
        <is>
          <t>2023-05</t>
        </is>
      </c>
      <c r="C594" s="4" t="n">
        <v>15</v>
      </c>
      <c r="D594" s="9" t="inlineStr">
        <is>
          <t>3Sum</t>
        </is>
      </c>
      <c r="E594" s="4" t="inlineStr">
        <is>
          <t>Medium</t>
        </is>
      </c>
      <c r="F594" s="4" t="inlineStr">
        <is>
          <t>Two Pointers</t>
        </is>
      </c>
      <c r="G594" s="4" t="inlineStr">
        <is>
          <t>Wrong Answer</t>
        </is>
      </c>
      <c r="H594" s="4" t="inlineStr">
        <is>
          <t>C++</t>
        </is>
      </c>
      <c r="I594" s="4" t="inlineStr">
        <is>
          <t>N/A</t>
        </is>
      </c>
      <c r="J594" s="4" t="inlineStr">
        <is>
          <t>N/A</t>
        </is>
      </c>
      <c r="K594" s="4" t="n"/>
      <c r="L594" s="4" t="inlineStr">
        <is>
          <t>79/312</t>
        </is>
      </c>
      <c r="M594" s="9" t="inlineStr">
        <is>
          <t>Submission 954316018</t>
        </is>
      </c>
      <c r="N594" s="4" t="inlineStr">
        <is>
          <t>Yes</t>
        </is>
      </c>
    </row>
    <row r="595">
      <c r="A595" s="11" t="n">
        <v>45067.46392361111</v>
      </c>
      <c r="B595" s="4" t="inlineStr">
        <is>
          <t>2023-05</t>
        </is>
      </c>
      <c r="C595" s="4" t="n">
        <v>15</v>
      </c>
      <c r="D595" s="9" t="inlineStr">
        <is>
          <t>3Sum</t>
        </is>
      </c>
      <c r="E595" s="4" t="inlineStr">
        <is>
          <t>Medium</t>
        </is>
      </c>
      <c r="F595" s="4" t="inlineStr">
        <is>
          <t>Two Pointers</t>
        </is>
      </c>
      <c r="G595" s="4" t="inlineStr">
        <is>
          <t>Accepted</t>
        </is>
      </c>
      <c r="H595" s="4" t="inlineStr">
        <is>
          <t>C++</t>
        </is>
      </c>
      <c r="I595" s="4" t="inlineStr">
        <is>
          <t>163 ms</t>
        </is>
      </c>
      <c r="J595" s="4" t="inlineStr">
        <is>
          <t>27.3 MB</t>
        </is>
      </c>
      <c r="K595" s="4" t="n">
        <v>9.9</v>
      </c>
      <c r="L595" s="4" t="inlineStr">
        <is>
          <t>312/312</t>
        </is>
      </c>
      <c r="M595" s="9" t="inlineStr">
        <is>
          <t>Submission 954317519</t>
        </is>
      </c>
      <c r="N595" s="4" t="inlineStr">
        <is>
          <t>Yes</t>
        </is>
      </c>
    </row>
    <row r="596">
      <c r="A596" s="11" t="n">
        <v>45067.49457175926</v>
      </c>
      <c r="B596" s="4" t="inlineStr">
        <is>
          <t>2023-05</t>
        </is>
      </c>
      <c r="C596" s="4" t="n">
        <v>16</v>
      </c>
      <c r="D596" s="9" t="inlineStr">
        <is>
          <t>3Sum Closest</t>
        </is>
      </c>
      <c r="E596" s="4" t="inlineStr">
        <is>
          <t>Medium</t>
        </is>
      </c>
      <c r="F596" s="4" t="inlineStr">
        <is>
          <t>Two Pointers</t>
        </is>
      </c>
      <c r="G596" s="4" t="inlineStr">
        <is>
          <t>Wrong Answer</t>
        </is>
      </c>
      <c r="H596" s="4" t="inlineStr">
        <is>
          <t>C++</t>
        </is>
      </c>
      <c r="I596" s="4" t="inlineStr">
        <is>
          <t>N/A</t>
        </is>
      </c>
      <c r="J596" s="4" t="inlineStr">
        <is>
          <t>N/A</t>
        </is>
      </c>
      <c r="K596" s="4" t="n"/>
      <c r="L596" s="4" t="inlineStr">
        <is>
          <t>47/99</t>
        </is>
      </c>
      <c r="M596" s="9" t="inlineStr">
        <is>
          <t>Submission 954337717</t>
        </is>
      </c>
      <c r="N596" s="4" t="inlineStr">
        <is>
          <t>Yes</t>
        </is>
      </c>
    </row>
    <row r="597">
      <c r="A597" s="11" t="n">
        <v>45067.4991087963</v>
      </c>
      <c r="B597" s="4" t="inlineStr">
        <is>
          <t>2023-05</t>
        </is>
      </c>
      <c r="C597" s="4" t="n">
        <v>16</v>
      </c>
      <c r="D597" s="9" t="inlineStr">
        <is>
          <t>3Sum Closest</t>
        </is>
      </c>
      <c r="E597" s="4" t="inlineStr">
        <is>
          <t>Medium</t>
        </is>
      </c>
      <c r="F597" s="4" t="inlineStr">
        <is>
          <t>Two Pointers</t>
        </is>
      </c>
      <c r="G597" s="4" t="inlineStr">
        <is>
          <t>Wrong Answer</t>
        </is>
      </c>
      <c r="H597" s="4" t="inlineStr">
        <is>
          <t>C++</t>
        </is>
      </c>
      <c r="I597" s="4" t="inlineStr">
        <is>
          <t>N/A</t>
        </is>
      </c>
      <c r="J597" s="4" t="inlineStr">
        <is>
          <t>N/A</t>
        </is>
      </c>
      <c r="K597" s="4" t="n"/>
      <c r="L597" s="4" t="inlineStr">
        <is>
          <t>65/99</t>
        </is>
      </c>
      <c r="M597" s="9" t="inlineStr">
        <is>
          <t>Submission 954340859</t>
        </is>
      </c>
      <c r="N597" s="4" t="inlineStr">
        <is>
          <t>Yes</t>
        </is>
      </c>
    </row>
    <row r="598">
      <c r="A598" s="11" t="n">
        <v>45067.50145833333</v>
      </c>
      <c r="B598" s="4" t="inlineStr">
        <is>
          <t>2023-05</t>
        </is>
      </c>
      <c r="C598" s="4" t="n">
        <v>16</v>
      </c>
      <c r="D598" s="9" t="inlineStr">
        <is>
          <t>3Sum Closest</t>
        </is>
      </c>
      <c r="E598" s="4" t="inlineStr">
        <is>
          <t>Medium</t>
        </is>
      </c>
      <c r="F598" s="4" t="inlineStr">
        <is>
          <t>Two Pointers</t>
        </is>
      </c>
      <c r="G598" s="4" t="inlineStr">
        <is>
          <t>Wrong Answer</t>
        </is>
      </c>
      <c r="H598" s="4" t="inlineStr">
        <is>
          <t>C++</t>
        </is>
      </c>
      <c r="I598" s="4" t="inlineStr">
        <is>
          <t>N/A</t>
        </is>
      </c>
      <c r="J598" s="4" t="inlineStr">
        <is>
          <t>N/A</t>
        </is>
      </c>
      <c r="K598" s="4" t="n"/>
      <c r="L598" s="4" t="inlineStr">
        <is>
          <t>63/99</t>
        </is>
      </c>
      <c r="M598" s="9" t="inlineStr">
        <is>
          <t>Submission 954342495</t>
        </is>
      </c>
      <c r="N598" s="4" t="inlineStr">
        <is>
          <t>Yes</t>
        </is>
      </c>
    </row>
    <row r="599">
      <c r="A599" s="11" t="n">
        <v>45067.50216435185</v>
      </c>
      <c r="B599" s="4" t="inlineStr">
        <is>
          <t>2023-05</t>
        </is>
      </c>
      <c r="C599" s="4" t="n">
        <v>16</v>
      </c>
      <c r="D599" s="9" t="inlineStr">
        <is>
          <t>3Sum Closest</t>
        </is>
      </c>
      <c r="E599" s="4" t="inlineStr">
        <is>
          <t>Medium</t>
        </is>
      </c>
      <c r="F599" s="4" t="inlineStr">
        <is>
          <t>Two Pointers</t>
        </is>
      </c>
      <c r="G599" s="4" t="inlineStr">
        <is>
          <t>Wrong Answer</t>
        </is>
      </c>
      <c r="H599" s="4" t="inlineStr">
        <is>
          <t>C++</t>
        </is>
      </c>
      <c r="I599" s="4" t="inlineStr">
        <is>
          <t>N/A</t>
        </is>
      </c>
      <c r="J599" s="4" t="inlineStr">
        <is>
          <t>N/A</t>
        </is>
      </c>
      <c r="K599" s="4" t="n"/>
      <c r="L599" s="4" t="inlineStr">
        <is>
          <t>67/99</t>
        </is>
      </c>
      <c r="M599" s="9" t="inlineStr">
        <is>
          <t>Submission 954342980</t>
        </is>
      </c>
      <c r="N599" s="4" t="inlineStr">
        <is>
          <t>Yes</t>
        </is>
      </c>
    </row>
    <row r="600">
      <c r="A600" s="11" t="n">
        <v>45067.74167824074</v>
      </c>
      <c r="B600" s="4" t="inlineStr">
        <is>
          <t>2023-05</t>
        </is>
      </c>
      <c r="C600" s="4" t="n">
        <v>833</v>
      </c>
      <c r="D600" s="9" t="inlineStr">
        <is>
          <t>Find And Replace in String</t>
        </is>
      </c>
      <c r="E600" s="4" t="inlineStr">
        <is>
          <t>Medium</t>
        </is>
      </c>
      <c r="F600" s="4" t="inlineStr">
        <is>
          <t>Strings &amp; Simulation</t>
        </is>
      </c>
      <c r="G600" s="4" t="inlineStr">
        <is>
          <t>Accepted</t>
        </is>
      </c>
      <c r="H600" s="4" t="inlineStr">
        <is>
          <t>C++</t>
        </is>
      </c>
      <c r="I600" s="4" t="inlineStr">
        <is>
          <t>7 ms</t>
        </is>
      </c>
      <c r="J600" s="4" t="inlineStr">
        <is>
          <t>10.9 MB</t>
        </is>
      </c>
      <c r="K600" s="4" t="n">
        <v>5.1</v>
      </c>
      <c r="L600" s="4" t="inlineStr">
        <is>
          <t>53/53</t>
        </is>
      </c>
      <c r="M600" s="9" t="inlineStr">
        <is>
          <t>Submission 954491200</t>
        </is>
      </c>
      <c r="N600" s="4" t="inlineStr">
        <is>
          <t>Yes</t>
        </is>
      </c>
    </row>
    <row r="601">
      <c r="A601" s="11" t="n">
        <v>45067.74196759259</v>
      </c>
      <c r="B601" s="4" t="inlineStr">
        <is>
          <t>2023-05</t>
        </is>
      </c>
      <c r="C601" s="4" t="n">
        <v>833</v>
      </c>
      <c r="D601" s="9" t="inlineStr">
        <is>
          <t>Find And Replace in String</t>
        </is>
      </c>
      <c r="E601" s="4" t="inlineStr">
        <is>
          <t>Medium</t>
        </is>
      </c>
      <c r="F601" s="4" t="inlineStr">
        <is>
          <t>Strings &amp; Simulation</t>
        </is>
      </c>
      <c r="G601" s="4" t="inlineStr">
        <is>
          <t>Accepted</t>
        </is>
      </c>
      <c r="H601" s="4" t="inlineStr">
        <is>
          <t>C++</t>
        </is>
      </c>
      <c r="I601" s="4" t="inlineStr">
        <is>
          <t>11 ms</t>
        </is>
      </c>
      <c r="J601" s="4" t="inlineStr">
        <is>
          <t>10.9 MB</t>
        </is>
      </c>
      <c r="K601" s="4" t="n">
        <v>5.1</v>
      </c>
      <c r="L601" s="4" t="inlineStr">
        <is>
          <t>53/53</t>
        </is>
      </c>
      <c r="M601" s="9" t="inlineStr">
        <is>
          <t>Submission 954491357</t>
        </is>
      </c>
      <c r="N601" s="4" t="inlineStr">
        <is>
          <t>Yes</t>
        </is>
      </c>
    </row>
    <row r="602">
      <c r="A602" s="11" t="n">
        <v>45067.74239583333</v>
      </c>
      <c r="B602" s="4" t="inlineStr">
        <is>
          <t>2023-05</t>
        </is>
      </c>
      <c r="C602" s="4" t="n">
        <v>833</v>
      </c>
      <c r="D602" s="9" t="inlineStr">
        <is>
          <t>Find And Replace in String</t>
        </is>
      </c>
      <c r="E602" s="4" t="inlineStr">
        <is>
          <t>Medium</t>
        </is>
      </c>
      <c r="F602" s="4" t="inlineStr">
        <is>
          <t>Strings &amp; Simulation</t>
        </is>
      </c>
      <c r="G602" s="4" t="inlineStr">
        <is>
          <t>Accepted</t>
        </is>
      </c>
      <c r="H602" s="4" t="inlineStr">
        <is>
          <t>C++</t>
        </is>
      </c>
      <c r="I602" s="4" t="inlineStr">
        <is>
          <t>3 ms</t>
        </is>
      </c>
      <c r="J602" s="4" t="inlineStr">
        <is>
          <t>10.7 MB</t>
        </is>
      </c>
      <c r="K602" s="4" t="n">
        <v>20.7</v>
      </c>
      <c r="L602" s="4" t="inlineStr">
        <is>
          <t>53/53</t>
        </is>
      </c>
      <c r="M602" s="9" t="inlineStr">
        <is>
          <t>Submission 954491647</t>
        </is>
      </c>
      <c r="N602" s="4" t="inlineStr">
        <is>
          <t>Yes</t>
        </is>
      </c>
    </row>
    <row r="603">
      <c r="A603" s="11" t="n">
        <v>45067.74366898148</v>
      </c>
      <c r="B603" s="4" t="inlineStr">
        <is>
          <t>2023-05</t>
        </is>
      </c>
      <c r="C603" s="4" t="n">
        <v>833</v>
      </c>
      <c r="D603" s="9" t="inlineStr">
        <is>
          <t>Find And Replace in String</t>
        </is>
      </c>
      <c r="E603" s="4" t="inlineStr">
        <is>
          <t>Medium</t>
        </is>
      </c>
      <c r="F603" s="4" t="inlineStr">
        <is>
          <t>Strings &amp; Simulation</t>
        </is>
      </c>
      <c r="G603" s="4" t="inlineStr">
        <is>
          <t>Accepted</t>
        </is>
      </c>
      <c r="H603" s="4" t="inlineStr">
        <is>
          <t>C++</t>
        </is>
      </c>
      <c r="I603" s="4" t="inlineStr">
        <is>
          <t>3 ms</t>
        </is>
      </c>
      <c r="J603" s="4" t="inlineStr">
        <is>
          <t>10.6 MB</t>
        </is>
      </c>
      <c r="K603" s="4" t="n">
        <v>20.7</v>
      </c>
      <c r="L603" s="4" t="inlineStr">
        <is>
          <t>53/53</t>
        </is>
      </c>
      <c r="M603" s="9" t="inlineStr">
        <is>
          <t>Submission 954492404</t>
        </is>
      </c>
      <c r="N603" s="4" t="inlineStr">
        <is>
          <t>Yes</t>
        </is>
      </c>
    </row>
    <row r="604">
      <c r="A604" s="11" t="n">
        <v>45067.75612268518</v>
      </c>
      <c r="B604" s="4" t="inlineStr">
        <is>
          <t>2023-05</t>
        </is>
      </c>
      <c r="C604" s="4" t="n">
        <v>1153</v>
      </c>
      <c r="D604" s="9" t="inlineStr">
        <is>
          <t>String Transforms Into Another String</t>
        </is>
      </c>
      <c r="E604" s="4" t="inlineStr">
        <is>
          <t>Hard</t>
        </is>
      </c>
      <c r="F604" s="4" t="inlineStr">
        <is>
          <t>Graph: General BFS/DFS</t>
        </is>
      </c>
      <c r="G604" s="4" t="inlineStr">
        <is>
          <t>Wrong Answer</t>
        </is>
      </c>
      <c r="H604" s="4" t="inlineStr">
        <is>
          <t>C++</t>
        </is>
      </c>
      <c r="I604" s="4" t="inlineStr">
        <is>
          <t>N/A</t>
        </is>
      </c>
      <c r="J604" s="4" t="inlineStr">
        <is>
          <t>N/A</t>
        </is>
      </c>
      <c r="K604" s="4" t="n"/>
      <c r="L604" s="4" t="inlineStr">
        <is>
          <t>32/40</t>
        </is>
      </c>
      <c r="M604" s="9" t="inlineStr">
        <is>
          <t>Submission 954499981</t>
        </is>
      </c>
      <c r="N604" s="4" t="inlineStr">
        <is>
          <t>Yes</t>
        </is>
      </c>
    </row>
    <row r="605">
      <c r="A605" s="11" t="n">
        <v>45068.47322916667</v>
      </c>
      <c r="B605" s="4" t="inlineStr">
        <is>
          <t>2023-05</t>
        </is>
      </c>
      <c r="C605" s="4" t="n">
        <v>560</v>
      </c>
      <c r="D605" s="9" t="inlineStr">
        <is>
          <t>Subarray Sum Equals K</t>
        </is>
      </c>
      <c r="E605" s="4" t="inlineStr">
        <is>
          <t>Medium</t>
        </is>
      </c>
      <c r="F605" s="4" t="inlineStr">
        <is>
          <t>Prefix Sum &amp; Difference Array</t>
        </is>
      </c>
      <c r="G605" s="4" t="inlineStr">
        <is>
          <t>Accepted</t>
        </is>
      </c>
      <c r="H605" s="4" t="inlineStr">
        <is>
          <t>C++</t>
        </is>
      </c>
      <c r="I605" s="4" t="inlineStr">
        <is>
          <t>108 ms</t>
        </is>
      </c>
      <c r="J605" s="4" t="inlineStr">
        <is>
          <t>41.4 MB</t>
        </is>
      </c>
      <c r="K605" s="4" t="n">
        <v>20.2</v>
      </c>
      <c r="L605" s="4" t="inlineStr">
        <is>
          <t>93/93</t>
        </is>
      </c>
      <c r="M605" s="9" t="inlineStr">
        <is>
          <t>Submission 954905270</t>
        </is>
      </c>
      <c r="N605" s="4" t="inlineStr">
        <is>
          <t>Yes</t>
        </is>
      </c>
    </row>
    <row r="606">
      <c r="A606" s="11" t="n">
        <v>45068.47689814815</v>
      </c>
      <c r="B606" s="4" t="inlineStr">
        <is>
          <t>2023-05</t>
        </is>
      </c>
      <c r="C606" s="4" t="n">
        <v>560</v>
      </c>
      <c r="D606" s="9" t="inlineStr">
        <is>
          <t>Subarray Sum Equals K</t>
        </is>
      </c>
      <c r="E606" s="4" t="inlineStr">
        <is>
          <t>Medium</t>
        </is>
      </c>
      <c r="F606" s="4" t="inlineStr">
        <is>
          <t>Prefix Sum &amp; Difference Array</t>
        </is>
      </c>
      <c r="G606" s="4" t="inlineStr">
        <is>
          <t>Accepted</t>
        </is>
      </c>
      <c r="H606" s="4" t="inlineStr">
        <is>
          <t>C++</t>
        </is>
      </c>
      <c r="I606" s="4" t="inlineStr">
        <is>
          <t>98 ms</t>
        </is>
      </c>
      <c r="J606" s="4" t="inlineStr">
        <is>
          <t>41.5 MB</t>
        </is>
      </c>
      <c r="K606" s="4" t="n">
        <v>20.4</v>
      </c>
      <c r="L606" s="4" t="inlineStr">
        <is>
          <t>93/93</t>
        </is>
      </c>
      <c r="M606" s="9" t="inlineStr">
        <is>
          <t>Submission 954907802</t>
        </is>
      </c>
      <c r="N606" s="4" t="inlineStr">
        <is>
          <t>Yes</t>
        </is>
      </c>
    </row>
    <row r="607">
      <c r="A607" s="11" t="n">
        <v>45068.52625</v>
      </c>
      <c r="B607" s="4" t="inlineStr">
        <is>
          <t>2023-05</t>
        </is>
      </c>
      <c r="C607" s="4" t="n">
        <v>35</v>
      </c>
      <c r="D607" s="9" t="inlineStr">
        <is>
          <t>Search Insert Position</t>
        </is>
      </c>
      <c r="E607" s="4" t="inlineStr">
        <is>
          <t>Easy</t>
        </is>
      </c>
      <c r="F607" s="4" t="inlineStr">
        <is>
          <t>Binary Search</t>
        </is>
      </c>
      <c r="G607" s="4" t="inlineStr">
        <is>
          <t>Accepted</t>
        </is>
      </c>
      <c r="H607" s="4" t="inlineStr">
        <is>
          <t>C++</t>
        </is>
      </c>
      <c r="I607" s="4" t="inlineStr">
        <is>
          <t>3 ms</t>
        </is>
      </c>
      <c r="J607" s="4" t="inlineStr">
        <is>
          <t>9.7 MB</t>
        </is>
      </c>
      <c r="K607" s="4" t="n">
        <v>0.4</v>
      </c>
      <c r="L607" s="4" t="inlineStr">
        <is>
          <t>65/65</t>
        </is>
      </c>
      <c r="M607" s="9" t="inlineStr">
        <is>
          <t>Submission 954943868</t>
        </is>
      </c>
      <c r="N607" s="4" t="inlineStr">
        <is>
          <t>Yes</t>
        </is>
      </c>
    </row>
    <row r="608">
      <c r="A608" s="11" t="n">
        <v>45068.53961805555</v>
      </c>
      <c r="B608" s="4" t="inlineStr">
        <is>
          <t>2023-05</t>
        </is>
      </c>
      <c r="C608" s="4" t="n">
        <v>744</v>
      </c>
      <c r="D608" s="9" t="inlineStr">
        <is>
          <t>Find Smallest Letter Greater Than Target</t>
        </is>
      </c>
      <c r="E608" s="4" t="inlineStr">
        <is>
          <t>Easy</t>
        </is>
      </c>
      <c r="F608" s="4" t="inlineStr">
        <is>
          <t>Binary Search</t>
        </is>
      </c>
      <c r="G608" s="4" t="inlineStr">
        <is>
          <t>Accepted</t>
        </is>
      </c>
      <c r="H608" s="4" t="inlineStr">
        <is>
          <t>C++</t>
        </is>
      </c>
      <c r="I608" s="4" t="inlineStr">
        <is>
          <t>11 ms</t>
        </is>
      </c>
      <c r="J608" s="4" t="inlineStr">
        <is>
          <t>15.9 MB</t>
        </is>
      </c>
      <c r="K608" s="4" t="n">
        <v>0.2</v>
      </c>
      <c r="L608" s="4" t="inlineStr">
        <is>
          <t>167/167</t>
        </is>
      </c>
      <c r="M608" s="9" t="inlineStr">
        <is>
          <t>Submission 954953476</t>
        </is>
      </c>
      <c r="N608" s="4" t="inlineStr">
        <is>
          <t>Yes</t>
        </is>
      </c>
    </row>
    <row r="609">
      <c r="A609" s="11" t="n">
        <v>45068.54646990741</v>
      </c>
      <c r="B609" s="4" t="inlineStr">
        <is>
          <t>2023-05</t>
        </is>
      </c>
      <c r="C609" s="4" t="n">
        <v>744</v>
      </c>
      <c r="D609" s="9" t="inlineStr">
        <is>
          <t>Find Smallest Letter Greater Than Target</t>
        </is>
      </c>
      <c r="E609" s="4" t="inlineStr">
        <is>
          <t>Easy</t>
        </is>
      </c>
      <c r="F609" s="4" t="inlineStr">
        <is>
          <t>Binary Search</t>
        </is>
      </c>
      <c r="G609" s="4" t="inlineStr">
        <is>
          <t>Runtime Error</t>
        </is>
      </c>
      <c r="H609" s="4" t="inlineStr">
        <is>
          <t>C++</t>
        </is>
      </c>
      <c r="I609" s="4" t="inlineStr">
        <is>
          <t>N/A</t>
        </is>
      </c>
      <c r="J609" s="4" t="inlineStr">
        <is>
          <t>N/A</t>
        </is>
      </c>
      <c r="K609" s="4" t="n"/>
      <c r="L609" s="4" t="inlineStr">
        <is>
          <t>5/167</t>
        </is>
      </c>
      <c r="M609" s="9" t="inlineStr">
        <is>
          <t>Submission 954958167</t>
        </is>
      </c>
      <c r="N609" s="4" t="inlineStr">
        <is>
          <t>Yes</t>
        </is>
      </c>
    </row>
    <row r="610">
      <c r="A610" s="11" t="n">
        <v>45068.54667824074</v>
      </c>
      <c r="B610" s="4" t="inlineStr">
        <is>
          <t>2023-05</t>
        </is>
      </c>
      <c r="C610" s="4" t="n">
        <v>744</v>
      </c>
      <c r="D610" s="9" t="inlineStr">
        <is>
          <t>Find Smallest Letter Greater Than Target</t>
        </is>
      </c>
      <c r="E610" s="4" t="inlineStr">
        <is>
          <t>Easy</t>
        </is>
      </c>
      <c r="F610" s="4" t="inlineStr">
        <is>
          <t>Binary Search</t>
        </is>
      </c>
      <c r="G610" s="4" t="inlineStr">
        <is>
          <t>Accepted</t>
        </is>
      </c>
      <c r="H610" s="4" t="inlineStr">
        <is>
          <t>C++</t>
        </is>
      </c>
      <c r="I610" s="4" t="inlineStr">
        <is>
          <t>21 ms</t>
        </is>
      </c>
      <c r="J610" s="4" t="inlineStr">
        <is>
          <t>15.9 MB</t>
        </is>
      </c>
      <c r="K610" s="4" t="n">
        <v>0.2</v>
      </c>
      <c r="L610" s="4" t="inlineStr">
        <is>
          <t>167/167</t>
        </is>
      </c>
      <c r="M610" s="9" t="inlineStr">
        <is>
          <t>Submission 954958311</t>
        </is>
      </c>
      <c r="N610" s="4" t="inlineStr">
        <is>
          <t>Yes</t>
        </is>
      </c>
    </row>
    <row r="611">
      <c r="A611" s="11" t="n">
        <v>45068.55586805556</v>
      </c>
      <c r="B611" s="4" t="inlineStr">
        <is>
          <t>2023-05</t>
        </is>
      </c>
      <c r="C611" s="4" t="n">
        <v>34</v>
      </c>
      <c r="D611" s="9" t="inlineStr">
        <is>
          <t>Find First and Last Position of Element in Sorted Array</t>
        </is>
      </c>
      <c r="E611" s="4" t="inlineStr">
        <is>
          <t>Medium</t>
        </is>
      </c>
      <c r="F611" s="4" t="inlineStr">
        <is>
          <t>Binary Search</t>
        </is>
      </c>
      <c r="G611" s="4" t="inlineStr">
        <is>
          <t>Accepted</t>
        </is>
      </c>
      <c r="H611" s="4" t="inlineStr">
        <is>
          <t>C++</t>
        </is>
      </c>
      <c r="I611" s="4" t="inlineStr">
        <is>
          <t>8 ms</t>
        </is>
      </c>
      <c r="J611" s="4" t="inlineStr">
        <is>
          <t>13.5 MB</t>
        </is>
      </c>
      <c r="K611" s="4" t="n">
        <v>0</v>
      </c>
      <c r="L611" s="4" t="inlineStr">
        <is>
          <t>88/88</t>
        </is>
      </c>
      <c r="M611" s="9" t="inlineStr">
        <is>
          <t>Submission 954964502</t>
        </is>
      </c>
      <c r="N611" s="4" t="inlineStr">
        <is>
          <t>Yes</t>
        </is>
      </c>
    </row>
    <row r="612">
      <c r="A612" s="11" t="n">
        <v>45068.59052083334</v>
      </c>
      <c r="B612" s="4" t="inlineStr">
        <is>
          <t>2023-05</t>
        </is>
      </c>
      <c r="C612" s="4" t="n">
        <v>852</v>
      </c>
      <c r="D612" s="9" t="inlineStr">
        <is>
          <t>Peak Index in a Mountain Array</t>
        </is>
      </c>
      <c r="E612" s="4" t="inlineStr">
        <is>
          <t>Medium</t>
        </is>
      </c>
      <c r="F612" s="4" t="inlineStr">
        <is>
          <t>Binary Search</t>
        </is>
      </c>
      <c r="G612" s="4" t="inlineStr">
        <is>
          <t>Time Limit Exceeded</t>
        </is>
      </c>
      <c r="H612" s="4" t="inlineStr">
        <is>
          <t>C++</t>
        </is>
      </c>
      <c r="I612" s="4" t="inlineStr">
        <is>
          <t>N/A</t>
        </is>
      </c>
      <c r="J612" s="4" t="inlineStr">
        <is>
          <t>N/A</t>
        </is>
      </c>
      <c r="K612" s="4" t="n"/>
      <c r="L612" s="4" t="inlineStr">
        <is>
          <t>8/42</t>
        </is>
      </c>
      <c r="M612" s="9" t="inlineStr">
        <is>
          <t>Submission 954987202</t>
        </is>
      </c>
      <c r="N612" s="4" t="inlineStr">
        <is>
          <t>Yes</t>
        </is>
      </c>
    </row>
    <row r="613">
      <c r="A613" s="11" t="n">
        <v>45068.59171296296</v>
      </c>
      <c r="B613" s="4" t="inlineStr">
        <is>
          <t>2023-05</t>
        </is>
      </c>
      <c r="C613" s="4" t="n">
        <v>852</v>
      </c>
      <c r="D613" s="9" t="inlineStr">
        <is>
          <t>Peak Index in a Mountain Array</t>
        </is>
      </c>
      <c r="E613" s="4" t="inlineStr">
        <is>
          <t>Medium</t>
        </is>
      </c>
      <c r="F613" s="4" t="inlineStr">
        <is>
          <t>Binary Search</t>
        </is>
      </c>
      <c r="G613" s="4" t="inlineStr">
        <is>
          <t>Accepted</t>
        </is>
      </c>
      <c r="H613" s="4" t="inlineStr">
        <is>
          <t>C++</t>
        </is>
      </c>
      <c r="I613" s="4" t="inlineStr">
        <is>
          <t>117 ms</t>
        </is>
      </c>
      <c r="J613" s="4" t="inlineStr">
        <is>
          <t>59.6 MB</t>
        </is>
      </c>
      <c r="K613" s="4" t="n">
        <v>0.4</v>
      </c>
      <c r="L613" s="4" t="inlineStr">
        <is>
          <t>42/42</t>
        </is>
      </c>
      <c r="M613" s="9" t="inlineStr">
        <is>
          <t>Submission 954987979</t>
        </is>
      </c>
      <c r="N613" s="4" t="inlineStr">
        <is>
          <t>Yes</t>
        </is>
      </c>
    </row>
    <row r="614">
      <c r="A614" s="11" t="n">
        <v>45068.59394675926</v>
      </c>
      <c r="B614" s="4" t="inlineStr">
        <is>
          <t>2023-05</t>
        </is>
      </c>
      <c r="C614" s="4" t="n">
        <v>852</v>
      </c>
      <c r="D614" s="9" t="inlineStr">
        <is>
          <t>Peak Index in a Mountain Array</t>
        </is>
      </c>
      <c r="E614" s="4" t="inlineStr">
        <is>
          <t>Medium</t>
        </is>
      </c>
      <c r="F614" s="4" t="inlineStr">
        <is>
          <t>Binary Search</t>
        </is>
      </c>
      <c r="G614" s="4" t="inlineStr">
        <is>
          <t>Accepted</t>
        </is>
      </c>
      <c r="H614" s="4" t="inlineStr">
        <is>
          <t>C++</t>
        </is>
      </c>
      <c r="I614" s="4" t="inlineStr">
        <is>
          <t>133 ms</t>
        </is>
      </c>
      <c r="J614" s="4" t="inlineStr">
        <is>
          <t>59.7 MB</t>
        </is>
      </c>
      <c r="K614" s="4" t="n">
        <v>0.4</v>
      </c>
      <c r="L614" s="4" t="inlineStr">
        <is>
          <t>42/42</t>
        </is>
      </c>
      <c r="M614" s="9" t="inlineStr">
        <is>
          <t>Submission 954989457</t>
        </is>
      </c>
      <c r="N614" s="4" t="inlineStr">
        <is>
          <t>Yes</t>
        </is>
      </c>
    </row>
    <row r="615">
      <c r="A615" s="11" t="n">
        <v>45068.59439814815</v>
      </c>
      <c r="B615" s="4" t="inlineStr">
        <is>
          <t>2023-05</t>
        </is>
      </c>
      <c r="C615" s="4" t="n">
        <v>852</v>
      </c>
      <c r="D615" s="9" t="inlineStr">
        <is>
          <t>Peak Index in a Mountain Array</t>
        </is>
      </c>
      <c r="E615" s="4" t="inlineStr">
        <is>
          <t>Medium</t>
        </is>
      </c>
      <c r="F615" s="4" t="inlineStr">
        <is>
          <t>Binary Search</t>
        </is>
      </c>
      <c r="G615" s="4" t="inlineStr">
        <is>
          <t>Accepted</t>
        </is>
      </c>
      <c r="H615" s="4" t="inlineStr">
        <is>
          <t>C++</t>
        </is>
      </c>
      <c r="I615" s="4" t="inlineStr">
        <is>
          <t>117 ms</t>
        </is>
      </c>
      <c r="J615" s="4" t="inlineStr">
        <is>
          <t>59.7 MB</t>
        </is>
      </c>
      <c r="K615" s="4" t="n">
        <v>0.4</v>
      </c>
      <c r="L615" s="4" t="inlineStr">
        <is>
          <t>42/42</t>
        </is>
      </c>
      <c r="M615" s="9" t="inlineStr">
        <is>
          <t>Submission 954989794</t>
        </is>
      </c>
      <c r="N615" s="4" t="inlineStr">
        <is>
          <t>Yes</t>
        </is>
      </c>
    </row>
    <row r="616">
      <c r="A616" s="11" t="n">
        <v>45068.59631944444</v>
      </c>
      <c r="B616" s="4" t="inlineStr">
        <is>
          <t>2023-05</t>
        </is>
      </c>
      <c r="C616" s="4" t="n">
        <v>852</v>
      </c>
      <c r="D616" s="9" t="inlineStr">
        <is>
          <t>Peak Index in a Mountain Array</t>
        </is>
      </c>
      <c r="E616" s="4" t="inlineStr">
        <is>
          <t>Medium</t>
        </is>
      </c>
      <c r="F616" s="4" t="inlineStr">
        <is>
          <t>Binary Search</t>
        </is>
      </c>
      <c r="G616" s="4" t="inlineStr">
        <is>
          <t>Accepted</t>
        </is>
      </c>
      <c r="H616" s="4" t="inlineStr">
        <is>
          <t>C++</t>
        </is>
      </c>
      <c r="I616" s="4" t="inlineStr">
        <is>
          <t>130 ms</t>
        </is>
      </c>
      <c r="J616" s="4" t="inlineStr">
        <is>
          <t>59.7 MB</t>
        </is>
      </c>
      <c r="K616" s="4" t="n">
        <v>0.4</v>
      </c>
      <c r="L616" s="4" t="inlineStr">
        <is>
          <t>42/42</t>
        </is>
      </c>
      <c r="M616" s="9" t="inlineStr">
        <is>
          <t>Submission 954991084</t>
        </is>
      </c>
      <c r="N616" s="4" t="inlineStr">
        <is>
          <t>Yes</t>
        </is>
      </c>
    </row>
    <row r="617">
      <c r="A617" s="11" t="n">
        <v>45068.60503472222</v>
      </c>
      <c r="B617" s="4" t="inlineStr">
        <is>
          <t>2023-05</t>
        </is>
      </c>
      <c r="C617" s="4" t="n">
        <v>852</v>
      </c>
      <c r="D617" s="9" t="inlineStr">
        <is>
          <t>Peak Index in a Mountain Array</t>
        </is>
      </c>
      <c r="E617" s="4" t="inlineStr">
        <is>
          <t>Medium</t>
        </is>
      </c>
      <c r="F617" s="4" t="inlineStr">
        <is>
          <t>Binary Search</t>
        </is>
      </c>
      <c r="G617" s="4" t="inlineStr">
        <is>
          <t>Accepted</t>
        </is>
      </c>
      <c r="H617" s="4" t="inlineStr">
        <is>
          <t>C++</t>
        </is>
      </c>
      <c r="I617" s="4" t="inlineStr">
        <is>
          <t>109 ms</t>
        </is>
      </c>
      <c r="J617" s="4" t="inlineStr">
        <is>
          <t>59.7 MB</t>
        </is>
      </c>
      <c r="K617" s="4" t="n">
        <v>0.4</v>
      </c>
      <c r="L617" s="4" t="inlineStr">
        <is>
          <t>42/42</t>
        </is>
      </c>
      <c r="M617" s="9" t="inlineStr">
        <is>
          <t>Submission 954997100</t>
        </is>
      </c>
      <c r="N617" s="4" t="inlineStr">
        <is>
          <t>Yes</t>
        </is>
      </c>
    </row>
    <row r="618">
      <c r="A618" s="11" t="n">
        <v>45068.61585648148</v>
      </c>
      <c r="B618" s="4" t="inlineStr">
        <is>
          <t>2023-05</t>
        </is>
      </c>
      <c r="C618" s="4" t="n">
        <v>1095</v>
      </c>
      <c r="D618" s="9" t="inlineStr">
        <is>
          <t>Find in Mountain Array</t>
        </is>
      </c>
      <c r="E618" s="4" t="inlineStr">
        <is>
          <t>Hard</t>
        </is>
      </c>
      <c r="F618" s="4" t="inlineStr">
        <is>
          <t>Binary Search</t>
        </is>
      </c>
      <c r="G618" s="4" t="inlineStr">
        <is>
          <t>Wrong Answer</t>
        </is>
      </c>
      <c r="H618" s="4" t="inlineStr">
        <is>
          <t>C++</t>
        </is>
      </c>
      <c r="I618" s="4" t="inlineStr">
        <is>
          <t>N/A</t>
        </is>
      </c>
      <c r="J618" s="4" t="inlineStr">
        <is>
          <t>N/A</t>
        </is>
      </c>
      <c r="K618" s="4" t="n"/>
      <c r="L618" s="4" t="inlineStr">
        <is>
          <t>52/78</t>
        </is>
      </c>
      <c r="M618" s="9" t="inlineStr">
        <is>
          <t>Submission 955004567</t>
        </is>
      </c>
      <c r="N618" s="4" t="inlineStr">
        <is>
          <t>Yes</t>
        </is>
      </c>
    </row>
    <row r="619">
      <c r="A619" s="11" t="n">
        <v>45068.61965277778</v>
      </c>
      <c r="B619" s="4" t="inlineStr">
        <is>
          <t>2023-05</t>
        </is>
      </c>
      <c r="C619" s="4" t="n">
        <v>1095</v>
      </c>
      <c r="D619" s="9" t="inlineStr">
        <is>
          <t>Find in Mountain Array</t>
        </is>
      </c>
      <c r="E619" s="4" t="inlineStr">
        <is>
          <t>Hard</t>
        </is>
      </c>
      <c r="F619" s="4" t="inlineStr">
        <is>
          <t>Binary Search</t>
        </is>
      </c>
      <c r="G619" s="4" t="inlineStr">
        <is>
          <t>Accepted</t>
        </is>
      </c>
      <c r="H619" s="4" t="inlineStr">
        <is>
          <t>C++</t>
        </is>
      </c>
      <c r="I619" s="4" t="inlineStr">
        <is>
          <t>4 ms</t>
        </is>
      </c>
      <c r="J619" s="4" t="inlineStr">
        <is>
          <t>7 MB</t>
        </is>
      </c>
      <c r="K619" s="4" t="n">
        <v>76.2</v>
      </c>
      <c r="L619" s="4" t="inlineStr">
        <is>
          <t>78/78</t>
        </is>
      </c>
      <c r="M619" s="9" t="inlineStr">
        <is>
          <t>Submission 955007097</t>
        </is>
      </c>
      <c r="N619" s="4" t="inlineStr">
        <is>
          <t>Yes</t>
        </is>
      </c>
    </row>
    <row r="620">
      <c r="A620" s="11" t="n">
        <v>45068.62157407407</v>
      </c>
      <c r="B620" s="4" t="inlineStr">
        <is>
          <t>2023-05</t>
        </is>
      </c>
      <c r="C620" s="4" t="n">
        <v>162</v>
      </c>
      <c r="D620" s="9" t="inlineStr">
        <is>
          <t>Find Peak Element</t>
        </is>
      </c>
      <c r="E620" s="4" t="inlineStr">
        <is>
          <t>Medium</t>
        </is>
      </c>
      <c r="F620" s="4" t="inlineStr">
        <is>
          <t>Binary Search</t>
        </is>
      </c>
      <c r="G620" s="4" t="inlineStr">
        <is>
          <t>Accepted</t>
        </is>
      </c>
      <c r="H620" s="4" t="inlineStr">
        <is>
          <t>C++</t>
        </is>
      </c>
      <c r="I620" s="4" t="inlineStr">
        <is>
          <t>8 ms</t>
        </is>
      </c>
      <c r="J620" s="4" t="inlineStr">
        <is>
          <t>8.9 MB</t>
        </is>
      </c>
      <c r="K620" s="4" t="n">
        <v>0.1</v>
      </c>
      <c r="L620" s="4" t="inlineStr">
        <is>
          <t>66/66</t>
        </is>
      </c>
      <c r="M620" s="9" t="inlineStr">
        <is>
          <t>Submission 955008412</t>
        </is>
      </c>
      <c r="N620" s="4" t="inlineStr">
        <is>
          <t>Yes</t>
        </is>
      </c>
    </row>
    <row r="621">
      <c r="A621" s="11" t="n">
        <v>45068.63201388889</v>
      </c>
      <c r="B621" s="4" t="inlineStr">
        <is>
          <t>2023-05</t>
        </is>
      </c>
      <c r="C621" s="4" t="n">
        <v>16</v>
      </c>
      <c r="D621" s="9" t="inlineStr">
        <is>
          <t>3Sum Closest</t>
        </is>
      </c>
      <c r="E621" s="4" t="inlineStr">
        <is>
          <t>Medium</t>
        </is>
      </c>
      <c r="F621" s="4" t="inlineStr">
        <is>
          <t>Two Pointers</t>
        </is>
      </c>
      <c r="G621" s="4" t="inlineStr">
        <is>
          <t>Wrong Answer</t>
        </is>
      </c>
      <c r="H621" s="4" t="inlineStr">
        <is>
          <t>C++</t>
        </is>
      </c>
      <c r="I621" s="4" t="inlineStr">
        <is>
          <t>N/A</t>
        </is>
      </c>
      <c r="J621" s="4" t="inlineStr">
        <is>
          <t>N/A</t>
        </is>
      </c>
      <c r="K621" s="4" t="n"/>
      <c r="L621" s="4" t="inlineStr">
        <is>
          <t>96/99</t>
        </is>
      </c>
      <c r="M621" s="9" t="inlineStr">
        <is>
          <t>Submission 955015460</t>
        </is>
      </c>
      <c r="N621" s="4" t="inlineStr">
        <is>
          <t>Yes</t>
        </is>
      </c>
    </row>
    <row r="622">
      <c r="A622" s="11" t="n">
        <v>45068.63537037037</v>
      </c>
      <c r="B622" s="4" t="inlineStr">
        <is>
          <t>2023-05</t>
        </is>
      </c>
      <c r="C622" s="4" t="n">
        <v>16</v>
      </c>
      <c r="D622" s="9" t="inlineStr">
        <is>
          <t>3Sum Closest</t>
        </is>
      </c>
      <c r="E622" s="4" t="inlineStr">
        <is>
          <t>Medium</t>
        </is>
      </c>
      <c r="F622" s="4" t="inlineStr">
        <is>
          <t>Two Pointers</t>
        </is>
      </c>
      <c r="G622" s="4" t="inlineStr">
        <is>
          <t>Accepted</t>
        </is>
      </c>
      <c r="H622" s="4" t="inlineStr">
        <is>
          <t>C++</t>
        </is>
      </c>
      <c r="I622" s="4" t="inlineStr">
        <is>
          <t>384 ms</t>
        </is>
      </c>
      <c r="J622" s="4" t="inlineStr">
        <is>
          <t>10.3 MB</t>
        </is>
      </c>
      <c r="K622" s="4" t="n">
        <v>5.2</v>
      </c>
      <c r="L622" s="4" t="inlineStr">
        <is>
          <t>99/99</t>
        </is>
      </c>
      <c r="M622" s="9" t="inlineStr">
        <is>
          <t>Submission 955017863</t>
        </is>
      </c>
      <c r="N622" s="4" t="inlineStr">
        <is>
          <t>Yes</t>
        </is>
      </c>
    </row>
    <row r="623">
      <c r="A623" s="11" t="n">
        <v>45068.63559027778</v>
      </c>
      <c r="B623" s="4" t="inlineStr">
        <is>
          <t>2023-05</t>
        </is>
      </c>
      <c r="C623" s="4" t="n">
        <v>16</v>
      </c>
      <c r="D623" s="9" t="inlineStr">
        <is>
          <t>3Sum Closest</t>
        </is>
      </c>
      <c r="E623" s="4" t="inlineStr">
        <is>
          <t>Medium</t>
        </is>
      </c>
      <c r="F623" s="4" t="inlineStr">
        <is>
          <t>Two Pointers</t>
        </is>
      </c>
      <c r="G623" s="4" t="inlineStr">
        <is>
          <t>Accepted</t>
        </is>
      </c>
      <c r="H623" s="4" t="inlineStr">
        <is>
          <t>C++</t>
        </is>
      </c>
      <c r="I623" s="4" t="inlineStr">
        <is>
          <t>308 ms</t>
        </is>
      </c>
      <c r="J623" s="4" t="inlineStr">
        <is>
          <t>10.3 MB</t>
        </is>
      </c>
      <c r="K623" s="4" t="n">
        <v>5.3</v>
      </c>
      <c r="L623" s="4" t="inlineStr">
        <is>
          <t>99/99</t>
        </is>
      </c>
      <c r="M623" s="9" t="inlineStr">
        <is>
          <t>Submission 955018008</t>
        </is>
      </c>
      <c r="N623" s="4" t="inlineStr">
        <is>
          <t>Yes</t>
        </is>
      </c>
    </row>
    <row r="624">
      <c r="A624" s="11" t="n">
        <v>45068.63825231481</v>
      </c>
      <c r="B624" s="4" t="inlineStr">
        <is>
          <t>2023-05</t>
        </is>
      </c>
      <c r="C624" s="4" t="n">
        <v>16</v>
      </c>
      <c r="D624" s="9" t="inlineStr">
        <is>
          <t>3Sum Closest</t>
        </is>
      </c>
      <c r="E624" s="4" t="inlineStr">
        <is>
          <t>Medium</t>
        </is>
      </c>
      <c r="F624" s="4" t="inlineStr">
        <is>
          <t>Two Pointers</t>
        </is>
      </c>
      <c r="G624" s="4" t="inlineStr">
        <is>
          <t>Accepted</t>
        </is>
      </c>
      <c r="H624" s="4" t="inlineStr">
        <is>
          <t>C++</t>
        </is>
      </c>
      <c r="I624" s="4" t="inlineStr">
        <is>
          <t>84 ms</t>
        </is>
      </c>
      <c r="J624" s="4" t="inlineStr">
        <is>
          <t>10.1 MB</t>
        </is>
      </c>
      <c r="K624" s="4" t="n">
        <v>6</v>
      </c>
      <c r="L624" s="4" t="inlineStr">
        <is>
          <t>99/99</t>
        </is>
      </c>
      <c r="M624" s="9" t="inlineStr">
        <is>
          <t>Submission 955019848</t>
        </is>
      </c>
      <c r="N624" s="4" t="inlineStr">
        <is>
          <t>Yes</t>
        </is>
      </c>
    </row>
    <row r="625">
      <c r="A625" s="11" t="n">
        <v>45068.65116898148</v>
      </c>
      <c r="B625" s="4" t="inlineStr">
        <is>
          <t>2023-05</t>
        </is>
      </c>
      <c r="C625" s="4" t="n">
        <v>1095</v>
      </c>
      <c r="D625" s="9" t="inlineStr">
        <is>
          <t>Find in Mountain Array</t>
        </is>
      </c>
      <c r="E625" s="4" t="inlineStr">
        <is>
          <t>Hard</t>
        </is>
      </c>
      <c r="F625" s="4" t="inlineStr">
        <is>
          <t>Binary Search</t>
        </is>
      </c>
      <c r="G625" s="4" t="inlineStr">
        <is>
          <t>Accepted</t>
        </is>
      </c>
      <c r="H625" s="4" t="inlineStr">
        <is>
          <t>C++</t>
        </is>
      </c>
      <c r="I625" s="4" t="inlineStr">
        <is>
          <t>10 ms</t>
        </is>
      </c>
      <c r="J625" s="4" t="inlineStr">
        <is>
          <t>7 MB</t>
        </is>
      </c>
      <c r="K625" s="4" t="n"/>
      <c r="L625" s="4" t="inlineStr"/>
      <c r="M625" s="9" t="inlineStr">
        <is>
          <t>Submission 955028890</t>
        </is>
      </c>
      <c r="N625" s="4" t="inlineStr">
        <is>
          <t>Yes</t>
        </is>
      </c>
    </row>
    <row r="626">
      <c r="A626" s="11" t="n">
        <v>45068.65148148148</v>
      </c>
      <c r="B626" s="4" t="inlineStr">
        <is>
          <t>2023-05</t>
        </is>
      </c>
      <c r="C626" s="4" t="n">
        <v>1095</v>
      </c>
      <c r="D626" s="9" t="inlineStr">
        <is>
          <t>Find in Mountain Array</t>
        </is>
      </c>
      <c r="E626" s="4" t="inlineStr">
        <is>
          <t>Hard</t>
        </is>
      </c>
      <c r="F626" s="4" t="inlineStr">
        <is>
          <t>Binary Search</t>
        </is>
      </c>
      <c r="G626" s="4" t="inlineStr">
        <is>
          <t>Accepted</t>
        </is>
      </c>
      <c r="H626" s="4" t="inlineStr">
        <is>
          <t>C++</t>
        </is>
      </c>
      <c r="I626" s="4" t="inlineStr">
        <is>
          <t>6 ms</t>
        </is>
      </c>
      <c r="J626" s="4" t="inlineStr">
        <is>
          <t>7 MB</t>
        </is>
      </c>
      <c r="K626" s="4" t="n">
        <v>32.5</v>
      </c>
      <c r="L626" s="4" t="inlineStr">
        <is>
          <t>78/78</t>
        </is>
      </c>
      <c r="M626" s="9" t="inlineStr">
        <is>
          <t>Submission 955029117</t>
        </is>
      </c>
      <c r="N626" s="4" t="inlineStr">
        <is>
          <t>Yes</t>
        </is>
      </c>
    </row>
    <row r="627">
      <c r="A627" s="11" t="n">
        <v>45068.68039351852</v>
      </c>
      <c r="B627" s="4" t="inlineStr">
        <is>
          <t>2023-05</t>
        </is>
      </c>
      <c r="C627" s="4" t="n">
        <v>33</v>
      </c>
      <c r="D627" s="9" t="inlineStr">
        <is>
          <t>Search in Rotated Sorted Array</t>
        </is>
      </c>
      <c r="E627" s="4" t="inlineStr">
        <is>
          <t>Medium</t>
        </is>
      </c>
      <c r="F627" s="4" t="inlineStr">
        <is>
          <t>Binary Search</t>
        </is>
      </c>
      <c r="G627" s="4" t="inlineStr">
        <is>
          <t>Accepted</t>
        </is>
      </c>
      <c r="H627" s="4" t="inlineStr">
        <is>
          <t>C++</t>
        </is>
      </c>
      <c r="I627" s="4" t="inlineStr">
        <is>
          <t>3 ms</t>
        </is>
      </c>
      <c r="J627" s="4" t="inlineStr">
        <is>
          <t>11.2 MB</t>
        </is>
      </c>
      <c r="K627" s="4" t="n">
        <v>1.6</v>
      </c>
      <c r="L627" s="4" t="inlineStr">
        <is>
          <t>195/195</t>
        </is>
      </c>
      <c r="M627" s="9" t="inlineStr">
        <is>
          <t>Submission 955048937</t>
        </is>
      </c>
      <c r="N627" s="4" t="inlineStr">
        <is>
          <t>Yes</t>
        </is>
      </c>
    </row>
    <row r="628">
      <c r="A628" s="11" t="n">
        <v>45068.68234953703</v>
      </c>
      <c r="B628" s="4" t="inlineStr">
        <is>
          <t>2023-05</t>
        </is>
      </c>
      <c r="C628" s="4" t="n">
        <v>81</v>
      </c>
      <c r="D628" s="9" t="inlineStr">
        <is>
          <t>Search in Rotated Sorted Array II</t>
        </is>
      </c>
      <c r="E628" s="4" t="inlineStr">
        <is>
          <t>Medium</t>
        </is>
      </c>
      <c r="F628" s="4" t="inlineStr">
        <is>
          <t>Binary Search</t>
        </is>
      </c>
      <c r="G628" s="4" t="inlineStr">
        <is>
          <t>Wrong Answer</t>
        </is>
      </c>
      <c r="H628" s="4" t="inlineStr">
        <is>
          <t>C++</t>
        </is>
      </c>
      <c r="I628" s="4" t="inlineStr">
        <is>
          <t>N/A</t>
        </is>
      </c>
      <c r="J628" s="4" t="inlineStr">
        <is>
          <t>N/A</t>
        </is>
      </c>
      <c r="K628" s="4" t="n"/>
      <c r="L628" s="4" t="inlineStr">
        <is>
          <t>275/280</t>
        </is>
      </c>
      <c r="M628" s="9" t="inlineStr">
        <is>
          <t>Submission 955050225</t>
        </is>
      </c>
      <c r="N628" s="4" t="inlineStr">
        <is>
          <t>Yes</t>
        </is>
      </c>
    </row>
    <row r="629">
      <c r="A629" s="11" t="n">
        <v>45068.68346064815</v>
      </c>
      <c r="B629" s="4" t="inlineStr">
        <is>
          <t>2023-05</t>
        </is>
      </c>
      <c r="C629" s="4" t="n">
        <v>81</v>
      </c>
      <c r="D629" s="9" t="inlineStr">
        <is>
          <t>Search in Rotated Sorted Array II</t>
        </is>
      </c>
      <c r="E629" s="4" t="inlineStr">
        <is>
          <t>Medium</t>
        </is>
      </c>
      <c r="F629" s="4" t="inlineStr">
        <is>
          <t>Binary Search</t>
        </is>
      </c>
      <c r="G629" s="4" t="inlineStr">
        <is>
          <t>Wrong Answer</t>
        </is>
      </c>
      <c r="H629" s="4" t="inlineStr">
        <is>
          <t>C++</t>
        </is>
      </c>
      <c r="I629" s="4" t="inlineStr">
        <is>
          <t>N/A</t>
        </is>
      </c>
      <c r="J629" s="4" t="inlineStr">
        <is>
          <t>N/A</t>
        </is>
      </c>
      <c r="K629" s="4" t="n"/>
      <c r="L629" s="4" t="inlineStr">
        <is>
          <t>272/280</t>
        </is>
      </c>
      <c r="M629" s="9" t="inlineStr">
        <is>
          <t>Submission 955050917</t>
        </is>
      </c>
      <c r="N629" s="4" t="inlineStr">
        <is>
          <t>Yes</t>
        </is>
      </c>
    </row>
    <row r="630">
      <c r="A630" s="11" t="n">
        <v>45068.68457175926</v>
      </c>
      <c r="B630" s="4" t="inlineStr">
        <is>
          <t>2023-05</t>
        </is>
      </c>
      <c r="C630" s="4" t="n">
        <v>33</v>
      </c>
      <c r="D630" s="9" t="inlineStr">
        <is>
          <t>Search in Rotated Sorted Array</t>
        </is>
      </c>
      <c r="E630" s="4" t="inlineStr">
        <is>
          <t>Medium</t>
        </is>
      </c>
      <c r="F630" s="4" t="inlineStr">
        <is>
          <t>Binary Search</t>
        </is>
      </c>
      <c r="G630" s="4" t="inlineStr">
        <is>
          <t>Accepted</t>
        </is>
      </c>
      <c r="H630" s="4" t="inlineStr">
        <is>
          <t>C++</t>
        </is>
      </c>
      <c r="I630" s="4" t="inlineStr">
        <is>
          <t>10 ms</t>
        </is>
      </c>
      <c r="J630" s="4" t="inlineStr">
        <is>
          <t>11 MB</t>
        </is>
      </c>
      <c r="K630" s="4" t="n">
        <v>0.4</v>
      </c>
      <c r="L630" s="4" t="inlineStr">
        <is>
          <t>195/195</t>
        </is>
      </c>
      <c r="M630" s="9" t="inlineStr">
        <is>
          <t>Submission 955051699</t>
        </is>
      </c>
      <c r="N630" s="4" t="inlineStr">
        <is>
          <t>Yes</t>
        </is>
      </c>
    </row>
    <row r="631">
      <c r="A631" s="11" t="n">
        <v>45068.70412037037</v>
      </c>
      <c r="B631" s="4" t="inlineStr">
        <is>
          <t>2023-05</t>
        </is>
      </c>
      <c r="C631" s="4" t="n">
        <v>81</v>
      </c>
      <c r="D631" s="9" t="inlineStr">
        <is>
          <t>Search in Rotated Sorted Array II</t>
        </is>
      </c>
      <c r="E631" s="4" t="inlineStr">
        <is>
          <t>Medium</t>
        </is>
      </c>
      <c r="F631" s="4" t="inlineStr">
        <is>
          <t>Binary Search</t>
        </is>
      </c>
      <c r="G631" s="4" t="inlineStr">
        <is>
          <t>Runtime Error</t>
        </is>
      </c>
      <c r="H631" s="4" t="inlineStr">
        <is>
          <t>C++</t>
        </is>
      </c>
      <c r="I631" s="4" t="inlineStr">
        <is>
          <t>N/A</t>
        </is>
      </c>
      <c r="J631" s="4" t="inlineStr">
        <is>
          <t>N/A</t>
        </is>
      </c>
      <c r="K631" s="4" t="n"/>
      <c r="L631" s="4" t="inlineStr">
        <is>
          <t>10/280</t>
        </is>
      </c>
      <c r="M631" s="9" t="inlineStr">
        <is>
          <t>Submission 955064764</t>
        </is>
      </c>
      <c r="N631" s="4" t="inlineStr">
        <is>
          <t>Yes</t>
        </is>
      </c>
    </row>
    <row r="632">
      <c r="A632" s="11" t="n">
        <v>45068.70530092593</v>
      </c>
      <c r="B632" s="4" t="inlineStr">
        <is>
          <t>2023-05</t>
        </is>
      </c>
      <c r="C632" s="4" t="n">
        <v>81</v>
      </c>
      <c r="D632" s="9" t="inlineStr">
        <is>
          <t>Search in Rotated Sorted Array II</t>
        </is>
      </c>
      <c r="E632" s="4" t="inlineStr">
        <is>
          <t>Medium</t>
        </is>
      </c>
      <c r="F632" s="4" t="inlineStr">
        <is>
          <t>Binary Search</t>
        </is>
      </c>
      <c r="G632" s="4" t="inlineStr">
        <is>
          <t>Runtime Error</t>
        </is>
      </c>
      <c r="H632" s="4" t="inlineStr">
        <is>
          <t>C++</t>
        </is>
      </c>
      <c r="I632" s="4" t="inlineStr">
        <is>
          <t>N/A</t>
        </is>
      </c>
      <c r="J632" s="4" t="inlineStr">
        <is>
          <t>N/A</t>
        </is>
      </c>
      <c r="K632" s="4" t="n"/>
      <c r="L632" s="4" t="inlineStr">
        <is>
          <t>13/280</t>
        </is>
      </c>
      <c r="M632" s="9" t="inlineStr">
        <is>
          <t>Submission 955065537</t>
        </is>
      </c>
      <c r="N632" s="4" t="inlineStr">
        <is>
          <t>Yes</t>
        </is>
      </c>
    </row>
    <row r="633">
      <c r="A633" s="11" t="n">
        <v>45068.70611111111</v>
      </c>
      <c r="B633" s="4" t="inlineStr">
        <is>
          <t>2023-05</t>
        </is>
      </c>
      <c r="C633" s="4" t="n">
        <v>81</v>
      </c>
      <c r="D633" s="9" t="inlineStr">
        <is>
          <t>Search in Rotated Sorted Array II</t>
        </is>
      </c>
      <c r="E633" s="4" t="inlineStr">
        <is>
          <t>Medium</t>
        </is>
      </c>
      <c r="F633" s="4" t="inlineStr">
        <is>
          <t>Binary Search</t>
        </is>
      </c>
      <c r="G633" s="4" t="inlineStr">
        <is>
          <t>Wrong Answer</t>
        </is>
      </c>
      <c r="H633" s="4" t="inlineStr">
        <is>
          <t>C++</t>
        </is>
      </c>
      <c r="I633" s="4" t="inlineStr">
        <is>
          <t>N/A</t>
        </is>
      </c>
      <c r="J633" s="4" t="inlineStr">
        <is>
          <t>N/A</t>
        </is>
      </c>
      <c r="K633" s="4" t="n"/>
      <c r="L633" s="4" t="inlineStr">
        <is>
          <t>279/280</t>
        </is>
      </c>
      <c r="M633" s="9" t="inlineStr">
        <is>
          <t>Submission 955066071</t>
        </is>
      </c>
      <c r="N633" s="4" t="inlineStr">
        <is>
          <t>Yes</t>
        </is>
      </c>
    </row>
    <row r="634">
      <c r="A634" s="11" t="n">
        <v>45068.70945601852</v>
      </c>
      <c r="B634" s="4" t="inlineStr">
        <is>
          <t>2023-05</t>
        </is>
      </c>
      <c r="C634" s="4" t="n">
        <v>81</v>
      </c>
      <c r="D634" s="9" t="inlineStr">
        <is>
          <t>Search in Rotated Sorted Array II</t>
        </is>
      </c>
      <c r="E634" s="4" t="inlineStr">
        <is>
          <t>Medium</t>
        </is>
      </c>
      <c r="F634" s="4" t="inlineStr">
        <is>
          <t>Binary Search</t>
        </is>
      </c>
      <c r="G634" s="4" t="inlineStr">
        <is>
          <t>Accepted</t>
        </is>
      </c>
      <c r="H634" s="4" t="inlineStr">
        <is>
          <t>C++</t>
        </is>
      </c>
      <c r="I634" s="4" t="inlineStr">
        <is>
          <t>10 ms</t>
        </is>
      </c>
      <c r="J634" s="4" t="inlineStr">
        <is>
          <t>13.9 MB</t>
        </is>
      </c>
      <c r="K634" s="4" t="n">
        <v>0.6</v>
      </c>
      <c r="L634" s="4" t="inlineStr">
        <is>
          <t>280/280</t>
        </is>
      </c>
      <c r="M634" s="9" t="inlineStr">
        <is>
          <t>Submission 955068317</t>
        </is>
      </c>
      <c r="N634" s="4" t="inlineStr">
        <is>
          <t>Yes</t>
        </is>
      </c>
    </row>
    <row r="635">
      <c r="A635" s="11" t="n">
        <v>45068.74005787037</v>
      </c>
      <c r="B635" s="4" t="inlineStr">
        <is>
          <t>2023-05</t>
        </is>
      </c>
      <c r="C635" s="4" t="n">
        <v>153</v>
      </c>
      <c r="D635" s="9" t="inlineStr">
        <is>
          <t>Find Minimum in Rotated Sorted Array</t>
        </is>
      </c>
      <c r="E635" s="4" t="inlineStr">
        <is>
          <t>Medium</t>
        </is>
      </c>
      <c r="F635" s="4" t="inlineStr">
        <is>
          <t>Binary Search</t>
        </is>
      </c>
      <c r="G635" s="4" t="inlineStr">
        <is>
          <t>Accepted</t>
        </is>
      </c>
      <c r="H635" s="4" t="inlineStr">
        <is>
          <t>C++</t>
        </is>
      </c>
      <c r="I635" s="4" t="inlineStr">
        <is>
          <t>3 ms</t>
        </is>
      </c>
      <c r="J635" s="4" t="inlineStr">
        <is>
          <t>10.2 MB</t>
        </is>
      </c>
      <c r="K635" s="4" t="n">
        <v>1.1</v>
      </c>
      <c r="L635" s="4" t="inlineStr">
        <is>
          <t>150/150</t>
        </is>
      </c>
      <c r="M635" s="9" t="inlineStr">
        <is>
          <t>Submission 955088850</t>
        </is>
      </c>
      <c r="N635" s="4" t="inlineStr">
        <is>
          <t>Yes</t>
        </is>
      </c>
    </row>
    <row r="636">
      <c r="A636" s="11" t="n">
        <v>45068.78184027778</v>
      </c>
      <c r="B636" s="4" t="inlineStr">
        <is>
          <t>2023-05</t>
        </is>
      </c>
      <c r="C636" s="4" t="n">
        <v>410</v>
      </c>
      <c r="D636" s="9" t="inlineStr">
        <is>
          <t>Split Array Largest Sum</t>
        </is>
      </c>
      <c r="E636" s="4" t="inlineStr">
        <is>
          <t>Hard</t>
        </is>
      </c>
      <c r="F636" s="4" t="inlineStr">
        <is>
          <t>Binary Search on Answer</t>
        </is>
      </c>
      <c r="G636" s="4" t="inlineStr">
        <is>
          <t>Accepted</t>
        </is>
      </c>
      <c r="H636" s="4" t="inlineStr">
        <is>
          <t>C++</t>
        </is>
      </c>
      <c r="I636" s="4" t="inlineStr">
        <is>
          <t>3 ms</t>
        </is>
      </c>
      <c r="J636" s="4" t="inlineStr">
        <is>
          <t>7.3 MB</t>
        </is>
      </c>
      <c r="K636" s="4" t="n">
        <v>8</v>
      </c>
      <c r="L636" s="4" t="inlineStr">
        <is>
          <t>31/31</t>
        </is>
      </c>
      <c r="M636" s="9" t="inlineStr">
        <is>
          <t>Submission 955117798</t>
        </is>
      </c>
      <c r="N636" s="4" t="inlineStr">
        <is>
          <t>Yes</t>
        </is>
      </c>
    </row>
    <row r="637">
      <c r="A637" s="11" t="n">
        <v>45068.78424768519</v>
      </c>
      <c r="B637" s="4" t="inlineStr">
        <is>
          <t>2023-05</t>
        </is>
      </c>
      <c r="C637" s="4" t="n">
        <v>410</v>
      </c>
      <c r="D637" s="9" t="inlineStr">
        <is>
          <t>Split Array Largest Sum</t>
        </is>
      </c>
      <c r="E637" s="4" t="inlineStr">
        <is>
          <t>Hard</t>
        </is>
      </c>
      <c r="F637" s="4" t="inlineStr">
        <is>
          <t>Binary Search on Answer</t>
        </is>
      </c>
      <c r="G637" s="4" t="inlineStr">
        <is>
          <t>Accepted</t>
        </is>
      </c>
      <c r="H637" s="4" t="inlineStr">
        <is>
          <t>C++</t>
        </is>
      </c>
      <c r="I637" s="4" t="inlineStr">
        <is>
          <t>0 ms</t>
        </is>
      </c>
      <c r="J637" s="4" t="inlineStr">
        <is>
          <t>7.4 MB</t>
        </is>
      </c>
      <c r="K637" s="4" t="n">
        <v>100</v>
      </c>
      <c r="L637" s="4" t="inlineStr">
        <is>
          <t>31/31</t>
        </is>
      </c>
      <c r="M637" s="9" t="inlineStr">
        <is>
          <t>Submission 955119547</t>
        </is>
      </c>
      <c r="N637" s="4" t="inlineStr">
        <is>
          <t>Yes</t>
        </is>
      </c>
    </row>
    <row r="638">
      <c r="A638" s="11" t="n">
        <v>45068.80277777778</v>
      </c>
      <c r="B638" s="4" t="inlineStr">
        <is>
          <t>2023-05</t>
        </is>
      </c>
      <c r="C638" s="4" t="n">
        <v>410</v>
      </c>
      <c r="D638" s="9" t="inlineStr">
        <is>
          <t>Split Array Largest Sum</t>
        </is>
      </c>
      <c r="E638" s="4" t="inlineStr">
        <is>
          <t>Hard</t>
        </is>
      </c>
      <c r="F638" s="4" t="inlineStr">
        <is>
          <t>Binary Search on Answer</t>
        </is>
      </c>
      <c r="G638" s="4" t="inlineStr">
        <is>
          <t>Time Limit Exceeded</t>
        </is>
      </c>
      <c r="H638" s="4" t="inlineStr">
        <is>
          <t>C++</t>
        </is>
      </c>
      <c r="I638" s="4" t="inlineStr">
        <is>
          <t>N/A</t>
        </is>
      </c>
      <c r="J638" s="4" t="inlineStr">
        <is>
          <t>N/A</t>
        </is>
      </c>
      <c r="K638" s="4" t="n"/>
      <c r="L638" s="4" t="inlineStr">
        <is>
          <t>12/31</t>
        </is>
      </c>
      <c r="M638" s="9" t="inlineStr">
        <is>
          <t>Submission 955133867</t>
        </is>
      </c>
      <c r="N638" s="4" t="inlineStr">
        <is>
          <t>Yes</t>
        </is>
      </c>
    </row>
    <row r="639">
      <c r="A639" s="11" t="n">
        <v>45068.80427083333</v>
      </c>
      <c r="B639" s="4" t="inlineStr">
        <is>
          <t>2023-05</t>
        </is>
      </c>
      <c r="C639" s="4" t="n">
        <v>410</v>
      </c>
      <c r="D639" s="9" t="inlineStr">
        <is>
          <t>Split Array Largest Sum</t>
        </is>
      </c>
      <c r="E639" s="4" t="inlineStr">
        <is>
          <t>Hard</t>
        </is>
      </c>
      <c r="F639" s="4" t="inlineStr">
        <is>
          <t>Binary Search on Answer</t>
        </is>
      </c>
      <c r="G639" s="4" t="inlineStr">
        <is>
          <t>Accepted</t>
        </is>
      </c>
      <c r="H639" s="4" t="inlineStr">
        <is>
          <t>C++</t>
        </is>
      </c>
      <c r="I639" s="4" t="inlineStr">
        <is>
          <t>988 ms</t>
        </is>
      </c>
      <c r="J639" s="4" t="inlineStr">
        <is>
          <t>8.5 MB</t>
        </is>
      </c>
      <c r="K639" s="4" t="n">
        <v>4.9</v>
      </c>
      <c r="L639" s="4" t="inlineStr">
        <is>
          <t>31/31</t>
        </is>
      </c>
      <c r="M639" s="9" t="inlineStr">
        <is>
          <t>Submission 955134998</t>
        </is>
      </c>
      <c r="N639" s="4" t="inlineStr">
        <is>
          <t>Yes</t>
        </is>
      </c>
    </row>
    <row r="640">
      <c r="A640" s="11" t="n">
        <v>45069.4267824074</v>
      </c>
      <c r="B640" s="4" t="inlineStr">
        <is>
          <t>2023-05</t>
        </is>
      </c>
      <c r="C640" s="4" t="n">
        <v>21</v>
      </c>
      <c r="D640" s="9" t="inlineStr">
        <is>
          <t>Merge Two Sorted Lists</t>
        </is>
      </c>
      <c r="E640" s="4" t="inlineStr">
        <is>
          <t>Easy</t>
        </is>
      </c>
      <c r="F640" s="4" t="inlineStr">
        <is>
          <t>Linked List</t>
        </is>
      </c>
      <c r="G640" s="4" t="inlineStr">
        <is>
          <t>Accepted</t>
        </is>
      </c>
      <c r="H640" s="4" t="inlineStr">
        <is>
          <t>C++</t>
        </is>
      </c>
      <c r="I640" s="4" t="inlineStr">
        <is>
          <t>20 ms</t>
        </is>
      </c>
      <c r="J640" s="4" t="inlineStr">
        <is>
          <t>14.7 MB</t>
        </is>
      </c>
      <c r="K640" s="4" t="n">
        <v>0.5</v>
      </c>
      <c r="L640" s="4" t="inlineStr">
        <is>
          <t>208/208</t>
        </is>
      </c>
      <c r="M640" s="9" t="inlineStr">
        <is>
          <t>Submission 955548288</t>
        </is>
      </c>
      <c r="N640" s="4" t="inlineStr">
        <is>
          <t>Yes</t>
        </is>
      </c>
    </row>
    <row r="641">
      <c r="A641" s="11" t="n">
        <v>45069.43038194445</v>
      </c>
      <c r="B641" s="4" t="inlineStr">
        <is>
          <t>2023-05</t>
        </is>
      </c>
      <c r="C641" s="4" t="n">
        <v>21</v>
      </c>
      <c r="D641" s="9" t="inlineStr">
        <is>
          <t>Merge Two Sorted Lists</t>
        </is>
      </c>
      <c r="E641" s="4" t="inlineStr">
        <is>
          <t>Easy</t>
        </is>
      </c>
      <c r="F641" s="4" t="inlineStr">
        <is>
          <t>Linked List</t>
        </is>
      </c>
      <c r="G641" s="4" t="inlineStr">
        <is>
          <t>Accepted</t>
        </is>
      </c>
      <c r="H641" s="4" t="inlineStr">
        <is>
          <t>C++</t>
        </is>
      </c>
      <c r="I641" s="4" t="inlineStr">
        <is>
          <t>12 ms</t>
        </is>
      </c>
      <c r="J641" s="4" t="inlineStr">
        <is>
          <t>14.8 MB</t>
        </is>
      </c>
      <c r="K641" s="4" t="n">
        <v>0.5</v>
      </c>
      <c r="L641" s="4" t="inlineStr">
        <is>
          <t>208/208</t>
        </is>
      </c>
      <c r="M641" s="9" t="inlineStr">
        <is>
          <t>Submission 955550808</t>
        </is>
      </c>
      <c r="N641" s="4" t="inlineStr">
        <is>
          <t>Yes</t>
        </is>
      </c>
    </row>
    <row r="642">
      <c r="A642" s="11" t="n">
        <v>45069.43872685185</v>
      </c>
      <c r="B642" s="4" t="inlineStr">
        <is>
          <t>2023-05</t>
        </is>
      </c>
      <c r="C642" s="4" t="n">
        <v>23</v>
      </c>
      <c r="D642" s="9" t="inlineStr">
        <is>
          <t>Merge k Sorted Lists</t>
        </is>
      </c>
      <c r="E642" s="4" t="inlineStr">
        <is>
          <t>Hard</t>
        </is>
      </c>
      <c r="F642" s="4" t="inlineStr">
        <is>
          <t>Heap / Top-K</t>
        </is>
      </c>
      <c r="G642" s="4" t="inlineStr">
        <is>
          <t>Accepted</t>
        </is>
      </c>
      <c r="H642" s="4" t="inlineStr">
        <is>
          <t>C++</t>
        </is>
      </c>
      <c r="I642" s="4" t="inlineStr">
        <is>
          <t>27 ms</t>
        </is>
      </c>
      <c r="J642" s="4" t="inlineStr">
        <is>
          <t>22.6 MB</t>
        </is>
      </c>
      <c r="K642" s="4" t="n">
        <v>18.8</v>
      </c>
      <c r="L642" s="4" t="inlineStr">
        <is>
          <t>133/133</t>
        </is>
      </c>
      <c r="M642" s="9" t="inlineStr">
        <is>
          <t>Submission 955556653</t>
        </is>
      </c>
      <c r="N642" s="4" t="inlineStr">
        <is>
          <t>Yes</t>
        </is>
      </c>
    </row>
    <row r="643">
      <c r="A643" s="11" t="n">
        <v>45069.44395833334</v>
      </c>
      <c r="B643" s="4" t="inlineStr">
        <is>
          <t>2023-05</t>
        </is>
      </c>
      <c r="C643" s="4" t="n">
        <v>23</v>
      </c>
      <c r="D643" s="9" t="inlineStr">
        <is>
          <t>Merge k Sorted Lists</t>
        </is>
      </c>
      <c r="E643" s="4" t="inlineStr">
        <is>
          <t>Hard</t>
        </is>
      </c>
      <c r="F643" s="4" t="inlineStr">
        <is>
          <t>Heap / Top-K</t>
        </is>
      </c>
      <c r="G643" s="4" t="inlineStr">
        <is>
          <t>Accepted</t>
        </is>
      </c>
      <c r="H643" s="4" t="inlineStr">
        <is>
          <t>C++</t>
        </is>
      </c>
      <c r="I643" s="4" t="inlineStr">
        <is>
          <t>34 ms</t>
        </is>
      </c>
      <c r="J643" s="4" t="inlineStr">
        <is>
          <t>13.4 MB</t>
        </is>
      </c>
      <c r="K643" s="4" t="n">
        <v>18.6</v>
      </c>
      <c r="L643" s="4" t="inlineStr">
        <is>
          <t>133/133</t>
        </is>
      </c>
      <c r="M643" s="9" t="inlineStr">
        <is>
          <t>Submission 955560290</t>
        </is>
      </c>
      <c r="N643" s="4" t="inlineStr">
        <is>
          <t>Yes</t>
        </is>
      </c>
    </row>
    <row r="644">
      <c r="A644" s="11" t="n">
        <v>45069.57262731482</v>
      </c>
      <c r="B644" s="4" t="inlineStr">
        <is>
          <t>2023-05</t>
        </is>
      </c>
      <c r="C644" s="4" t="n">
        <v>849</v>
      </c>
      <c r="D644" s="9" t="inlineStr">
        <is>
          <t>Maximize Distance to Closest Person</t>
        </is>
      </c>
      <c r="E644" s="4" t="inlineStr">
        <is>
          <t>Medium</t>
        </is>
      </c>
      <c r="F644" s="4" t="inlineStr">
        <is>
          <t>Arrays, Hashing &amp; Sorting</t>
        </is>
      </c>
      <c r="G644" s="4" t="inlineStr">
        <is>
          <t>Accepted</t>
        </is>
      </c>
      <c r="H644" s="4" t="inlineStr">
        <is>
          <t>C++</t>
        </is>
      </c>
      <c r="I644" s="4" t="inlineStr">
        <is>
          <t>21 ms</t>
        </is>
      </c>
      <c r="J644" s="4" t="inlineStr">
        <is>
          <t>18 MB</t>
        </is>
      </c>
      <c r="K644" s="4" t="n">
        <v>5.9</v>
      </c>
      <c r="L644" s="4" t="inlineStr">
        <is>
          <t>81/81</t>
        </is>
      </c>
      <c r="M644" s="9" t="inlineStr">
        <is>
          <t>Submission 955655556</t>
        </is>
      </c>
      <c r="N644" s="4" t="inlineStr">
        <is>
          <t>Yes</t>
        </is>
      </c>
    </row>
    <row r="645">
      <c r="A645" s="11" t="n">
        <v>45069.57413194444</v>
      </c>
      <c r="B645" s="4" t="inlineStr">
        <is>
          <t>2023-05</t>
        </is>
      </c>
      <c r="C645" s="4" t="n">
        <v>849</v>
      </c>
      <c r="D645" s="9" t="inlineStr">
        <is>
          <t>Maximize Distance to Closest Person</t>
        </is>
      </c>
      <c r="E645" s="4" t="inlineStr">
        <is>
          <t>Medium</t>
        </is>
      </c>
      <c r="F645" s="4" t="inlineStr">
        <is>
          <t>Arrays, Hashing &amp; Sorting</t>
        </is>
      </c>
      <c r="G645" s="4" t="inlineStr">
        <is>
          <t>Accepted</t>
        </is>
      </c>
      <c r="H645" s="4" t="inlineStr">
        <is>
          <t>C++</t>
        </is>
      </c>
      <c r="I645" s="4" t="inlineStr">
        <is>
          <t>11 ms</t>
        </is>
      </c>
      <c r="J645" s="4" t="inlineStr">
        <is>
          <t>18.1 MB</t>
        </is>
      </c>
      <c r="K645" s="4" t="n">
        <v>6.5</v>
      </c>
      <c r="L645" s="4" t="inlineStr">
        <is>
          <t>81/81</t>
        </is>
      </c>
      <c r="M645" s="9" t="inlineStr">
        <is>
          <t>Submission 955656576</t>
        </is>
      </c>
      <c r="N645" s="4" t="inlineStr">
        <is>
          <t>Yes</t>
        </is>
      </c>
    </row>
    <row r="646">
      <c r="A646" s="11" t="n">
        <v>45069.58671296296</v>
      </c>
      <c r="B646" s="4" t="inlineStr">
        <is>
          <t>2023-05</t>
        </is>
      </c>
      <c r="C646" s="4" t="n">
        <v>297</v>
      </c>
      <c r="D646" s="9" t="inlineStr">
        <is>
          <t>Serialize and Deserialize Binary Tree</t>
        </is>
      </c>
      <c r="E646" s="4" t="inlineStr">
        <is>
          <t>Hard</t>
        </is>
      </c>
      <c r="F646" s="4" t="inlineStr">
        <is>
          <t>Binary Tree (DFS &amp; Recursion)</t>
        </is>
      </c>
      <c r="G646" s="4" t="inlineStr">
        <is>
          <t>Accepted</t>
        </is>
      </c>
      <c r="H646" s="4" t="inlineStr">
        <is>
          <t>C++</t>
        </is>
      </c>
      <c r="I646" s="4" t="inlineStr">
        <is>
          <t>44 ms</t>
        </is>
      </c>
      <c r="J646" s="4" t="inlineStr">
        <is>
          <t>29 MB</t>
        </is>
      </c>
      <c r="K646" s="4" t="n">
        <v>11.7</v>
      </c>
      <c r="L646" s="4" t="inlineStr">
        <is>
          <t>52/52</t>
        </is>
      </c>
      <c r="M646" s="9" t="inlineStr">
        <is>
          <t>Submission 955665005</t>
        </is>
      </c>
      <c r="N646" s="4" t="inlineStr">
        <is>
          <t>Yes</t>
        </is>
      </c>
    </row>
    <row r="647">
      <c r="A647" s="11" t="n">
        <v>45069.58957175926</v>
      </c>
      <c r="B647" s="4" t="inlineStr">
        <is>
          <t>2023-05</t>
        </is>
      </c>
      <c r="C647" s="4" t="n">
        <v>205</v>
      </c>
      <c r="D647" s="9" t="inlineStr">
        <is>
          <t>Isomorphic Strings</t>
        </is>
      </c>
      <c r="E647" s="4" t="inlineStr">
        <is>
          <t>Easy</t>
        </is>
      </c>
      <c r="F647" s="4" t="inlineStr">
        <is>
          <t>Arrays, Hashing &amp; Sorting</t>
        </is>
      </c>
      <c r="G647" s="4" t="inlineStr">
        <is>
          <t>Wrong Answer</t>
        </is>
      </c>
      <c r="H647" s="4" t="inlineStr">
        <is>
          <t>C++</t>
        </is>
      </c>
      <c r="I647" s="4" t="inlineStr">
        <is>
          <t>N/A</t>
        </is>
      </c>
      <c r="J647" s="4" t="inlineStr">
        <is>
          <t>N/A</t>
        </is>
      </c>
      <c r="K647" s="4" t="n"/>
      <c r="L647" s="4" t="inlineStr">
        <is>
          <t>41/44</t>
        </is>
      </c>
      <c r="M647" s="9" t="inlineStr">
        <is>
          <t>Submission 955666814</t>
        </is>
      </c>
      <c r="N647" s="4" t="inlineStr">
        <is>
          <t>Yes</t>
        </is>
      </c>
    </row>
    <row r="648">
      <c r="A648" s="11" t="n">
        <v>45069.59167824074</v>
      </c>
      <c r="B648" s="4" t="inlineStr">
        <is>
          <t>2023-05</t>
        </is>
      </c>
      <c r="C648" s="4" t="n">
        <v>205</v>
      </c>
      <c r="D648" s="9" t="inlineStr">
        <is>
          <t>Isomorphic Strings</t>
        </is>
      </c>
      <c r="E648" s="4" t="inlineStr">
        <is>
          <t>Easy</t>
        </is>
      </c>
      <c r="F648" s="4" t="inlineStr">
        <is>
          <t>Arrays, Hashing &amp; Sorting</t>
        </is>
      </c>
      <c r="G648" s="4" t="inlineStr">
        <is>
          <t>Accepted</t>
        </is>
      </c>
      <c r="H648" s="4" t="inlineStr">
        <is>
          <t>C++</t>
        </is>
      </c>
      <c r="I648" s="4" t="inlineStr">
        <is>
          <t>12 ms</t>
        </is>
      </c>
      <c r="J648" s="4" t="inlineStr">
        <is>
          <t>7.2 MB</t>
        </is>
      </c>
      <c r="K648" s="4" t="n">
        <v>6.3</v>
      </c>
      <c r="L648" s="4" t="inlineStr">
        <is>
          <t>44/44</t>
        </is>
      </c>
      <c r="M648" s="9" t="inlineStr">
        <is>
          <t>Submission 955668181</t>
        </is>
      </c>
      <c r="N648" s="4" t="inlineStr">
        <is>
          <t>Yes</t>
        </is>
      </c>
    </row>
    <row r="649">
      <c r="A649" s="11" t="n">
        <v>45069.59277777778</v>
      </c>
      <c r="B649" s="4" t="inlineStr">
        <is>
          <t>2023-05</t>
        </is>
      </c>
      <c r="C649" s="4" t="n">
        <v>1153</v>
      </c>
      <c r="D649" s="9" t="inlineStr">
        <is>
          <t>String Transforms Into Another String</t>
        </is>
      </c>
      <c r="E649" s="4" t="inlineStr">
        <is>
          <t>Hard</t>
        </is>
      </c>
      <c r="F649" s="4" t="inlineStr">
        <is>
          <t>Graph: General BFS/DFS</t>
        </is>
      </c>
      <c r="G649" s="4" t="inlineStr">
        <is>
          <t>Wrong Answer</t>
        </is>
      </c>
      <c r="H649" s="4" t="inlineStr">
        <is>
          <t>C++</t>
        </is>
      </c>
      <c r="I649" s="4" t="inlineStr">
        <is>
          <t>N/A</t>
        </is>
      </c>
      <c r="J649" s="4" t="inlineStr">
        <is>
          <t>N/A</t>
        </is>
      </c>
      <c r="K649" s="4" t="n"/>
      <c r="L649" s="4" t="inlineStr">
        <is>
          <t>32/40</t>
        </is>
      </c>
      <c r="M649" s="9" t="inlineStr">
        <is>
          <t>Submission 955668873</t>
        </is>
      </c>
      <c r="N649" s="4" t="inlineStr">
        <is>
          <t>Yes</t>
        </is>
      </c>
    </row>
    <row r="650">
      <c r="A650" s="11" t="n">
        <v>45069.59862268518</v>
      </c>
      <c r="B650" s="4" t="inlineStr">
        <is>
          <t>2023-05</t>
        </is>
      </c>
      <c r="C650" s="4" t="n">
        <v>1153</v>
      </c>
      <c r="D650" s="9" t="inlineStr">
        <is>
          <t>String Transforms Into Another String</t>
        </is>
      </c>
      <c r="E650" s="4" t="inlineStr">
        <is>
          <t>Hard</t>
        </is>
      </c>
      <c r="F650" s="4" t="inlineStr">
        <is>
          <t>Graph: General BFS/DFS</t>
        </is>
      </c>
      <c r="G650" s="4" t="inlineStr">
        <is>
          <t>Accepted</t>
        </is>
      </c>
      <c r="H650" s="4" t="inlineStr">
        <is>
          <t>C++</t>
        </is>
      </c>
      <c r="I650" s="4" t="inlineStr">
        <is>
          <t>3 ms</t>
        </is>
      </c>
      <c r="J650" s="4" t="inlineStr">
        <is>
          <t>7.7 MB</t>
        </is>
      </c>
      <c r="K650" s="4" t="n">
        <v>89.2</v>
      </c>
      <c r="L650" s="4" t="inlineStr">
        <is>
          <t>40/40</t>
        </is>
      </c>
      <c r="M650" s="9" t="inlineStr">
        <is>
          <t>Submission 955672846</t>
        </is>
      </c>
      <c r="N650" s="4" t="inlineStr">
        <is>
          <t>Yes</t>
        </is>
      </c>
    </row>
    <row r="651">
      <c r="A651" s="11" t="n">
        <v>45069.63138888889</v>
      </c>
      <c r="B651" s="4" t="inlineStr">
        <is>
          <t>2023-05</t>
        </is>
      </c>
      <c r="C651" s="4" t="n">
        <v>205</v>
      </c>
      <c r="D651" s="9" t="inlineStr">
        <is>
          <t>Isomorphic Strings</t>
        </is>
      </c>
      <c r="E651" s="4" t="inlineStr">
        <is>
          <t>Easy</t>
        </is>
      </c>
      <c r="F651" s="4" t="inlineStr">
        <is>
          <t>Arrays, Hashing &amp; Sorting</t>
        </is>
      </c>
      <c r="G651" s="4" t="inlineStr">
        <is>
          <t>Accepted</t>
        </is>
      </c>
      <c r="H651" s="4" t="inlineStr">
        <is>
          <t>C++</t>
        </is>
      </c>
      <c r="I651" s="4" t="inlineStr">
        <is>
          <t>12 ms</t>
        </is>
      </c>
      <c r="J651" s="4" t="inlineStr">
        <is>
          <t>7.2 MB</t>
        </is>
      </c>
      <c r="K651" s="4" t="n">
        <v>6.3</v>
      </c>
      <c r="L651" s="4" t="inlineStr">
        <is>
          <t>44/44</t>
        </is>
      </c>
      <c r="M651" s="9" t="inlineStr">
        <is>
          <t>Submission 955695727</t>
        </is>
      </c>
      <c r="N651" s="4" t="inlineStr">
        <is>
          <t>Yes</t>
        </is>
      </c>
    </row>
    <row r="652">
      <c r="A652" s="11" t="n">
        <v>45070.3496875</v>
      </c>
      <c r="B652" s="4" t="inlineStr">
        <is>
          <t>2023-05</t>
        </is>
      </c>
      <c r="C652" s="4" t="n">
        <v>268</v>
      </c>
      <c r="D652" s="9" t="inlineStr">
        <is>
          <t>Missing Number</t>
        </is>
      </c>
      <c r="E652" s="4" t="inlineStr">
        <is>
          <t>Easy</t>
        </is>
      </c>
      <c r="F652" s="4" t="inlineStr">
        <is>
          <t>Math &amp; Bit Manipulation</t>
        </is>
      </c>
      <c r="G652" s="4" t="inlineStr">
        <is>
          <t>Accepted</t>
        </is>
      </c>
      <c r="H652" s="4" t="inlineStr">
        <is>
          <t>C++</t>
        </is>
      </c>
      <c r="I652" s="4" t="inlineStr">
        <is>
          <t>15 ms</t>
        </is>
      </c>
      <c r="J652" s="4" t="inlineStr">
        <is>
          <t>18.1 MB</t>
        </is>
      </c>
      <c r="K652" s="4" t="n">
        <v>10.9</v>
      </c>
      <c r="L652" s="4" t="inlineStr">
        <is>
          <t>122/122</t>
        </is>
      </c>
      <c r="M652" s="9" t="inlineStr">
        <is>
          <t>Submission 956169851</t>
        </is>
      </c>
      <c r="N652" s="4" t="inlineStr">
        <is>
          <t>Yes</t>
        </is>
      </c>
    </row>
    <row r="653">
      <c r="A653" s="11" t="n">
        <v>45070.35178240741</v>
      </c>
      <c r="B653" s="4" t="inlineStr">
        <is>
          <t>2023-05</t>
        </is>
      </c>
      <c r="C653" s="4" t="n">
        <v>268</v>
      </c>
      <c r="D653" s="9" t="inlineStr">
        <is>
          <t>Missing Number</t>
        </is>
      </c>
      <c r="E653" s="4" t="inlineStr">
        <is>
          <t>Easy</t>
        </is>
      </c>
      <c r="F653" s="4" t="inlineStr">
        <is>
          <t>Math &amp; Bit Manipulation</t>
        </is>
      </c>
      <c r="G653" s="4" t="inlineStr">
        <is>
          <t>Accepted</t>
        </is>
      </c>
      <c r="H653" s="4" t="inlineStr">
        <is>
          <t>C++</t>
        </is>
      </c>
      <c r="I653" s="4" t="inlineStr">
        <is>
          <t>29 ms</t>
        </is>
      </c>
      <c r="J653" s="4" t="inlineStr">
        <is>
          <t>18.5 MB</t>
        </is>
      </c>
      <c r="K653" s="4" t="n">
        <v>6.4</v>
      </c>
      <c r="L653" s="4" t="inlineStr">
        <is>
          <t>122/122</t>
        </is>
      </c>
      <c r="M653" s="9" t="inlineStr">
        <is>
          <t>Submission 956170954</t>
        </is>
      </c>
      <c r="N653" s="4" t="inlineStr">
        <is>
          <t>Yes</t>
        </is>
      </c>
    </row>
    <row r="654">
      <c r="A654" s="11" t="n">
        <v>45070.35289351852</v>
      </c>
      <c r="B654" s="4" t="inlineStr">
        <is>
          <t>2023-05</t>
        </is>
      </c>
      <c r="C654" s="4" t="n">
        <v>268</v>
      </c>
      <c r="D654" s="9" t="inlineStr">
        <is>
          <t>Missing Number</t>
        </is>
      </c>
      <c r="E654" s="4" t="inlineStr">
        <is>
          <t>Easy</t>
        </is>
      </c>
      <c r="F654" s="4" t="inlineStr">
        <is>
          <t>Math &amp; Bit Manipulation</t>
        </is>
      </c>
      <c r="G654" s="4" t="inlineStr">
        <is>
          <t>Accepted</t>
        </is>
      </c>
      <c r="H654" s="4" t="inlineStr">
        <is>
          <t>C++</t>
        </is>
      </c>
      <c r="I654" s="4" t="inlineStr">
        <is>
          <t>29 ms</t>
        </is>
      </c>
      <c r="J654" s="4" t="inlineStr">
        <is>
          <t>18.5 MB</t>
        </is>
      </c>
      <c r="K654" s="4" t="n">
        <v>6.4</v>
      </c>
      <c r="L654" s="4" t="inlineStr">
        <is>
          <t>122/122</t>
        </is>
      </c>
      <c r="M654" s="9" t="inlineStr">
        <is>
          <t>Submission 956171574</t>
        </is>
      </c>
      <c r="N654" s="4" t="inlineStr">
        <is>
          <t>Yes</t>
        </is>
      </c>
    </row>
    <row r="655">
      <c r="A655" s="11" t="n">
        <v>45070.35435185185</v>
      </c>
      <c r="B655" s="4" t="inlineStr">
        <is>
          <t>2023-05</t>
        </is>
      </c>
      <c r="C655" s="4" t="n">
        <v>268</v>
      </c>
      <c r="D655" s="9" t="inlineStr">
        <is>
          <t>Missing Number</t>
        </is>
      </c>
      <c r="E655" s="4" t="inlineStr">
        <is>
          <t>Easy</t>
        </is>
      </c>
      <c r="F655" s="4" t="inlineStr">
        <is>
          <t>Math &amp; Bit Manipulation</t>
        </is>
      </c>
      <c r="G655" s="4" t="inlineStr">
        <is>
          <t>Accepted</t>
        </is>
      </c>
      <c r="H655" s="4" t="inlineStr">
        <is>
          <t>C++</t>
        </is>
      </c>
      <c r="I655" s="4" t="inlineStr">
        <is>
          <t>26 ms</t>
        </is>
      </c>
      <c r="J655" s="4" t="inlineStr">
        <is>
          <t>18.5 MB</t>
        </is>
      </c>
      <c r="K655" s="4" t="n">
        <v>6.6</v>
      </c>
      <c r="L655" s="4" t="inlineStr">
        <is>
          <t>122/122</t>
        </is>
      </c>
      <c r="M655" s="9" t="inlineStr">
        <is>
          <t>Submission 956172334</t>
        </is>
      </c>
      <c r="N655" s="4" t="inlineStr">
        <is>
          <t>Yes</t>
        </is>
      </c>
    </row>
    <row r="656">
      <c r="A656" s="11" t="n">
        <v>45070.35791666667</v>
      </c>
      <c r="B656" s="4" t="inlineStr">
        <is>
          <t>2023-05</t>
        </is>
      </c>
      <c r="C656" s="4" t="n">
        <v>448</v>
      </c>
      <c r="D656" s="9" t="inlineStr">
        <is>
          <t>Find All Numbers Disappeared in an Array</t>
        </is>
      </c>
      <c r="E656" s="4" t="inlineStr">
        <is>
          <t>Easy</t>
        </is>
      </c>
      <c r="F656" s="4" t="inlineStr">
        <is>
          <t>Arrays, Hashing &amp; Sorting</t>
        </is>
      </c>
      <c r="G656" s="4" t="inlineStr">
        <is>
          <t>Accepted</t>
        </is>
      </c>
      <c r="H656" s="4" t="inlineStr">
        <is>
          <t>C++</t>
        </is>
      </c>
      <c r="I656" s="4" t="inlineStr">
        <is>
          <t>61 ms</t>
        </is>
      </c>
      <c r="J656" s="4" t="inlineStr">
        <is>
          <t>33.5 MB</t>
        </is>
      </c>
      <c r="K656" s="4" t="n">
        <v>12.8</v>
      </c>
      <c r="L656" s="4" t="inlineStr">
        <is>
          <t>33/33</t>
        </is>
      </c>
      <c r="M656" s="9" t="inlineStr">
        <is>
          <t>Submission 956174180</t>
        </is>
      </c>
      <c r="N656" s="4" t="inlineStr">
        <is>
          <t>Yes</t>
        </is>
      </c>
    </row>
    <row r="657">
      <c r="A657" s="11" t="n">
        <v>45070.3627662037</v>
      </c>
      <c r="B657" s="4" t="inlineStr">
        <is>
          <t>2023-05</t>
        </is>
      </c>
      <c r="C657" s="4" t="n">
        <v>287</v>
      </c>
      <c r="D657" s="9" t="inlineStr">
        <is>
          <t>Find the Duplicate Number</t>
        </is>
      </c>
      <c r="E657" s="4" t="inlineStr">
        <is>
          <t>Medium</t>
        </is>
      </c>
      <c r="F657" s="4" t="inlineStr">
        <is>
          <t>Two Pointers</t>
        </is>
      </c>
      <c r="G657" s="4" t="inlineStr">
        <is>
          <t>Accepted</t>
        </is>
      </c>
      <c r="H657" s="4" t="inlineStr">
        <is>
          <t>C++</t>
        </is>
      </c>
      <c r="I657" s="4" t="inlineStr">
        <is>
          <t>131 ms</t>
        </is>
      </c>
      <c r="J657" s="4" t="inlineStr">
        <is>
          <t>61.2 MB</t>
        </is>
      </c>
      <c r="K657" s="4" t="n">
        <v>5</v>
      </c>
      <c r="L657" s="4" t="inlineStr">
        <is>
          <t>58/58</t>
        </is>
      </c>
      <c r="M657" s="9" t="inlineStr">
        <is>
          <t>Submission 956176711</t>
        </is>
      </c>
      <c r="N657" s="4" t="inlineStr">
        <is>
          <t>Yes</t>
        </is>
      </c>
    </row>
    <row r="658">
      <c r="A658" s="11" t="n">
        <v>45070.36489583334</v>
      </c>
      <c r="B658" s="4" t="inlineStr">
        <is>
          <t>2023-05</t>
        </is>
      </c>
      <c r="C658" s="4" t="n">
        <v>442</v>
      </c>
      <c r="D658" s="9" t="inlineStr">
        <is>
          <t>Find All Duplicates in an Array</t>
        </is>
      </c>
      <c r="E658" s="4" t="inlineStr">
        <is>
          <t>Medium</t>
        </is>
      </c>
      <c r="F658" s="4" t="inlineStr">
        <is>
          <t>Arrays, Hashing &amp; Sorting</t>
        </is>
      </c>
      <c r="G658" s="4" t="inlineStr">
        <is>
          <t>Accepted</t>
        </is>
      </c>
      <c r="H658" s="4" t="inlineStr">
        <is>
          <t>C++</t>
        </is>
      </c>
      <c r="I658" s="4" t="inlineStr">
        <is>
          <t>60 ms</t>
        </is>
      </c>
      <c r="J658" s="4" t="inlineStr">
        <is>
          <t>33.6 MB</t>
        </is>
      </c>
      <c r="K658" s="4" t="n">
        <v>18</v>
      </c>
      <c r="L658" s="4" t="inlineStr">
        <is>
          <t>28/28</t>
        </is>
      </c>
      <c r="M658" s="9" t="inlineStr">
        <is>
          <t>Submission 956177792</t>
        </is>
      </c>
      <c r="N658" s="4" t="inlineStr">
        <is>
          <t>Yes</t>
        </is>
      </c>
    </row>
    <row r="659">
      <c r="A659" s="11" t="n">
        <v>45070.37226851852</v>
      </c>
      <c r="B659" s="4" t="inlineStr">
        <is>
          <t>2023-05</t>
        </is>
      </c>
      <c r="C659" s="4" t="n">
        <v>645</v>
      </c>
      <c r="D659" s="9" t="inlineStr">
        <is>
          <t>Set Mismatch</t>
        </is>
      </c>
      <c r="E659" s="4" t="inlineStr">
        <is>
          <t>Easy</t>
        </is>
      </c>
      <c r="F659" s="4" t="inlineStr">
        <is>
          <t>Arrays, Hashing &amp; Sorting</t>
        </is>
      </c>
      <c r="G659" s="4" t="inlineStr">
        <is>
          <t>Accepted</t>
        </is>
      </c>
      <c r="H659" s="4" t="inlineStr">
        <is>
          <t>C++</t>
        </is>
      </c>
      <c r="I659" s="4" t="inlineStr">
        <is>
          <t>38 ms</t>
        </is>
      </c>
      <c r="J659" s="4" t="inlineStr">
        <is>
          <t>21.4 MB</t>
        </is>
      </c>
      <c r="K659" s="4" t="n">
        <v>16.8</v>
      </c>
      <c r="L659" s="4" t="inlineStr">
        <is>
          <t>49/49</t>
        </is>
      </c>
      <c r="M659" s="9" t="inlineStr">
        <is>
          <t>Submission 956181760</t>
        </is>
      </c>
      <c r="N659" s="4" t="inlineStr">
        <is>
          <t>Yes</t>
        </is>
      </c>
    </row>
    <row r="660">
      <c r="A660" s="11" t="n">
        <v>45070.38100694444</v>
      </c>
      <c r="B660" s="4" t="inlineStr">
        <is>
          <t>2023-05</t>
        </is>
      </c>
      <c r="C660" s="4" t="n">
        <v>41</v>
      </c>
      <c r="D660" s="9" t="inlineStr">
        <is>
          <t>First Missing Positive</t>
        </is>
      </c>
      <c r="E660" s="4" t="inlineStr">
        <is>
          <t>Hard</t>
        </is>
      </c>
      <c r="F660" s="4" t="inlineStr">
        <is>
          <t>Arrays, Hashing &amp; Sorting</t>
        </is>
      </c>
      <c r="G660" s="4" t="inlineStr">
        <is>
          <t>Wrong Answer</t>
        </is>
      </c>
      <c r="H660" s="4" t="inlineStr">
        <is>
          <t>C++</t>
        </is>
      </c>
      <c r="I660" s="4" t="inlineStr">
        <is>
          <t>N/A</t>
        </is>
      </c>
      <c r="J660" s="4" t="inlineStr">
        <is>
          <t>N/A</t>
        </is>
      </c>
      <c r="K660" s="4" t="n"/>
      <c r="L660" s="4" t="inlineStr">
        <is>
          <t>56/175</t>
        </is>
      </c>
      <c r="M660" s="9" t="inlineStr">
        <is>
          <t>Submission 956186716</t>
        </is>
      </c>
      <c r="N660" s="4" t="inlineStr">
        <is>
          <t>Yes</t>
        </is>
      </c>
    </row>
    <row r="661">
      <c r="A661" s="11" t="n">
        <v>45070.38151620371</v>
      </c>
      <c r="B661" s="4" t="inlineStr">
        <is>
          <t>2023-05</t>
        </is>
      </c>
      <c r="C661" s="4" t="n">
        <v>41</v>
      </c>
      <c r="D661" s="9" t="inlineStr">
        <is>
          <t>First Missing Positive</t>
        </is>
      </c>
      <c r="E661" s="4" t="inlineStr">
        <is>
          <t>Hard</t>
        </is>
      </c>
      <c r="F661" s="4" t="inlineStr">
        <is>
          <t>Arrays, Hashing &amp; Sorting</t>
        </is>
      </c>
      <c r="G661" s="4" t="inlineStr">
        <is>
          <t>Runtime Error</t>
        </is>
      </c>
      <c r="H661" s="4" t="inlineStr">
        <is>
          <t>C++</t>
        </is>
      </c>
      <c r="I661" s="4" t="inlineStr">
        <is>
          <t>N/A</t>
        </is>
      </c>
      <c r="J661" s="4" t="inlineStr">
        <is>
          <t>N/A</t>
        </is>
      </c>
      <c r="K661" s="4" t="n"/>
      <c r="L661" s="4" t="inlineStr">
        <is>
          <t>61/175</t>
        </is>
      </c>
      <c r="M661" s="9" t="inlineStr">
        <is>
          <t>Submission 956187012</t>
        </is>
      </c>
      <c r="N661" s="4" t="inlineStr">
        <is>
          <t>Yes</t>
        </is>
      </c>
    </row>
    <row r="662">
      <c r="A662" s="11" t="n">
        <v>45070.38267361111</v>
      </c>
      <c r="B662" s="4" t="inlineStr">
        <is>
          <t>2023-05</t>
        </is>
      </c>
      <c r="C662" s="4" t="n">
        <v>41</v>
      </c>
      <c r="D662" s="9" t="inlineStr">
        <is>
          <t>First Missing Positive</t>
        </is>
      </c>
      <c r="E662" s="4" t="inlineStr">
        <is>
          <t>Hard</t>
        </is>
      </c>
      <c r="F662" s="4" t="inlineStr">
        <is>
          <t>Arrays, Hashing &amp; Sorting</t>
        </is>
      </c>
      <c r="G662" s="4" t="inlineStr">
        <is>
          <t>Accepted</t>
        </is>
      </c>
      <c r="H662" s="4" t="inlineStr">
        <is>
          <t>C++</t>
        </is>
      </c>
      <c r="I662" s="4" t="inlineStr">
        <is>
          <t>373 ms</t>
        </is>
      </c>
      <c r="J662" s="4" t="inlineStr">
        <is>
          <t>41.1 MB</t>
        </is>
      </c>
      <c r="K662" s="4" t="n">
        <v>5.1</v>
      </c>
      <c r="L662" s="4" t="inlineStr">
        <is>
          <t>175/175</t>
        </is>
      </c>
      <c r="M662" s="9" t="inlineStr">
        <is>
          <t>Submission 956187648</t>
        </is>
      </c>
      <c r="N662" s="4" t="inlineStr">
        <is>
          <t>Yes</t>
        </is>
      </c>
    </row>
    <row r="663">
      <c r="A663" s="11" t="n">
        <v>45070.38685185185</v>
      </c>
      <c r="B663" s="4" t="inlineStr">
        <is>
          <t>2023-05</t>
        </is>
      </c>
      <c r="C663" s="4" t="n">
        <v>41</v>
      </c>
      <c r="D663" s="9" t="inlineStr">
        <is>
          <t>First Missing Positive</t>
        </is>
      </c>
      <c r="E663" s="4" t="inlineStr">
        <is>
          <t>Hard</t>
        </is>
      </c>
      <c r="F663" s="4" t="inlineStr">
        <is>
          <t>Arrays, Hashing &amp; Sorting</t>
        </is>
      </c>
      <c r="G663" s="4" t="inlineStr">
        <is>
          <t>Accepted</t>
        </is>
      </c>
      <c r="H663" s="4" t="inlineStr">
        <is>
          <t>C++</t>
        </is>
      </c>
      <c r="I663" s="4" t="inlineStr">
        <is>
          <t>76 ms</t>
        </is>
      </c>
      <c r="J663" s="4" t="inlineStr">
        <is>
          <t>41.2 MB</t>
        </is>
      </c>
      <c r="K663" s="4" t="n"/>
      <c r="L663" s="4" t="inlineStr"/>
      <c r="M663" s="9" t="inlineStr">
        <is>
          <t>Submission 956190068</t>
        </is>
      </c>
      <c r="N663" s="4" t="inlineStr">
        <is>
          <t>Yes</t>
        </is>
      </c>
    </row>
    <row r="664">
      <c r="A664" s="11" t="n">
        <v>45070.38806712963</v>
      </c>
      <c r="B664" s="4" t="inlineStr">
        <is>
          <t>2023-05</t>
        </is>
      </c>
      <c r="C664" s="4" t="n">
        <v>41</v>
      </c>
      <c r="D664" s="9" t="inlineStr">
        <is>
          <t>First Missing Positive</t>
        </is>
      </c>
      <c r="E664" s="4" t="inlineStr">
        <is>
          <t>Hard</t>
        </is>
      </c>
      <c r="F664" s="4" t="inlineStr">
        <is>
          <t>Arrays, Hashing &amp; Sorting</t>
        </is>
      </c>
      <c r="G664" s="4" t="inlineStr">
        <is>
          <t>Accepted</t>
        </is>
      </c>
      <c r="H664" s="4" t="inlineStr">
        <is>
          <t>C++</t>
        </is>
      </c>
      <c r="I664" s="4" t="inlineStr">
        <is>
          <t>65 ms</t>
        </is>
      </c>
      <c r="J664" s="4" t="inlineStr">
        <is>
          <t>41.1 MB</t>
        </is>
      </c>
      <c r="K664" s="4" t="n">
        <v>7.5</v>
      </c>
      <c r="L664" s="4" t="inlineStr">
        <is>
          <t>175/175</t>
        </is>
      </c>
      <c r="M664" s="9" t="inlineStr">
        <is>
          <t>Submission 956190757</t>
        </is>
      </c>
      <c r="N664" s="4" t="inlineStr">
        <is>
          <t>Yes</t>
        </is>
      </c>
    </row>
    <row r="665">
      <c r="A665" s="11" t="n">
        <v>45070.51024305556</v>
      </c>
      <c r="B665" s="4" t="inlineStr">
        <is>
          <t>2023-05</t>
        </is>
      </c>
      <c r="C665" s="4" t="n">
        <v>832</v>
      </c>
      <c r="D665" s="9" t="inlineStr">
        <is>
          <t>Flipping an Image</t>
        </is>
      </c>
      <c r="E665" s="4" t="inlineStr">
        <is>
          <t>Easy</t>
        </is>
      </c>
      <c r="F665" s="4" t="inlineStr">
        <is>
          <t>Two Pointers</t>
        </is>
      </c>
      <c r="G665" s="4" t="inlineStr">
        <is>
          <t>Accepted</t>
        </is>
      </c>
      <c r="H665" s="4" t="inlineStr">
        <is>
          <t>C++</t>
        </is>
      </c>
      <c r="I665" s="4" t="inlineStr">
        <is>
          <t>11 ms</t>
        </is>
      </c>
      <c r="J665" s="4" t="inlineStr">
        <is>
          <t>8.8 MB</t>
        </is>
      </c>
      <c r="K665" s="4" t="n">
        <v>0.6</v>
      </c>
      <c r="L665" s="4" t="inlineStr">
        <is>
          <t>82/82</t>
        </is>
      </c>
      <c r="M665" s="9" t="inlineStr">
        <is>
          <t>Submission 956272640</t>
        </is>
      </c>
      <c r="N665" s="4" t="inlineStr">
        <is>
          <t>Yes</t>
        </is>
      </c>
    </row>
    <row r="666">
      <c r="A666" s="11" t="n">
        <v>45119.93109953704</v>
      </c>
      <c r="B666" s="4" t="inlineStr">
        <is>
          <t>2023-07</t>
        </is>
      </c>
      <c r="C666" s="4" t="n">
        <v>314</v>
      </c>
      <c r="D666" s="9" t="inlineStr">
        <is>
          <t>Binary Tree Vertical Order Traversal</t>
        </is>
      </c>
      <c r="E666" s="4" t="inlineStr">
        <is>
          <t>Medium</t>
        </is>
      </c>
      <c r="F666" s="4" t="inlineStr">
        <is>
          <t>Binary Tree (BFS / Level Order)</t>
        </is>
      </c>
      <c r="G666" s="4" t="inlineStr">
        <is>
          <t>Wrong Answer</t>
        </is>
      </c>
      <c r="H666" s="4" t="inlineStr">
        <is>
          <t>Python3</t>
        </is>
      </c>
      <c r="I666" s="4" t="inlineStr">
        <is>
          <t>N/A</t>
        </is>
      </c>
      <c r="J666" s="4" t="inlineStr">
        <is>
          <t>N/A</t>
        </is>
      </c>
      <c r="K666" s="4" t="n"/>
      <c r="L666" s="4" t="inlineStr">
        <is>
          <t>213/214</t>
        </is>
      </c>
      <c r="M666" s="9" t="inlineStr">
        <is>
          <t>Submission 992832751</t>
        </is>
      </c>
      <c r="N666" s="4" t="inlineStr">
        <is>
          <t>No</t>
        </is>
      </c>
    </row>
    <row r="667">
      <c r="A667" s="11" t="n">
        <v>45119.93134259259</v>
      </c>
      <c r="B667" s="4" t="inlineStr">
        <is>
          <t>2023-07</t>
        </is>
      </c>
      <c r="C667" s="4" t="n">
        <v>314</v>
      </c>
      <c r="D667" s="9" t="inlineStr">
        <is>
          <t>Binary Tree Vertical Order Traversal</t>
        </is>
      </c>
      <c r="E667" s="4" t="inlineStr">
        <is>
          <t>Medium</t>
        </is>
      </c>
      <c r="F667" s="4" t="inlineStr">
        <is>
          <t>Binary Tree (BFS / Level Order)</t>
        </is>
      </c>
      <c r="G667" s="4" t="inlineStr">
        <is>
          <t>Accepted</t>
        </is>
      </c>
      <c r="H667" s="4" t="inlineStr">
        <is>
          <t>Python3</t>
        </is>
      </c>
      <c r="I667" s="4" t="inlineStr">
        <is>
          <t>47 ms</t>
        </is>
      </c>
      <c r="J667" s="4" t="inlineStr">
        <is>
          <t>16.3 MB</t>
        </is>
      </c>
      <c r="K667" s="4" t="n">
        <v>0.1</v>
      </c>
      <c r="L667" s="4" t="inlineStr">
        <is>
          <t>214/214</t>
        </is>
      </c>
      <c r="M667" s="9" t="inlineStr">
        <is>
          <t>Submission 992833046</t>
        </is>
      </c>
      <c r="N667" s="4" t="inlineStr">
        <is>
          <t>No</t>
        </is>
      </c>
    </row>
    <row r="668">
      <c r="A668" s="11" t="n">
        <v>45155.9868287037</v>
      </c>
      <c r="B668" s="4" t="inlineStr">
        <is>
          <t>2023-08</t>
        </is>
      </c>
      <c r="C668" s="4" t="n">
        <v>704</v>
      </c>
      <c r="D668" s="9" t="inlineStr">
        <is>
          <t>Binary Search</t>
        </is>
      </c>
      <c r="E668" s="4" t="inlineStr">
        <is>
          <t>Easy</t>
        </is>
      </c>
      <c r="F668" s="4" t="inlineStr">
        <is>
          <t>Binary Search</t>
        </is>
      </c>
      <c r="G668" s="4" t="inlineStr">
        <is>
          <t>Accepted</t>
        </is>
      </c>
      <c r="H668" s="4" t="inlineStr">
        <is>
          <t>C++</t>
        </is>
      </c>
      <c r="I668" s="4" t="inlineStr">
        <is>
          <t>30 ms</t>
        </is>
      </c>
      <c r="J668" s="4" t="inlineStr">
        <is>
          <t>27.6 MB</t>
        </is>
      </c>
      <c r="K668" s="4" t="n">
        <v>0.1</v>
      </c>
      <c r="L668" s="4" t="inlineStr">
        <is>
          <t>47/47</t>
        </is>
      </c>
      <c r="M668" s="9" t="inlineStr">
        <is>
          <t>Submission 1024207359</t>
        </is>
      </c>
      <c r="N668" s="4" t="inlineStr">
        <is>
          <t>Yes</t>
        </is>
      </c>
    </row>
    <row r="669">
      <c r="A669" s="11" t="n">
        <v>45155.99502314815</v>
      </c>
      <c r="B669" s="4" t="inlineStr">
        <is>
          <t>2023-08</t>
        </is>
      </c>
      <c r="C669" s="4" t="n">
        <v>1768</v>
      </c>
      <c r="D669" s="9" t="inlineStr">
        <is>
          <t>Merge Strings Alternately</t>
        </is>
      </c>
      <c r="E669" s="4" t="inlineStr">
        <is>
          <t>Easy</t>
        </is>
      </c>
      <c r="F669" s="4" t="inlineStr">
        <is>
          <t>Two Pointers</t>
        </is>
      </c>
      <c r="G669" s="4" t="inlineStr">
        <is>
          <t>Accepted</t>
        </is>
      </c>
      <c r="H669" s="4" t="inlineStr">
        <is>
          <t>C++</t>
        </is>
      </c>
      <c r="I669" s="4" t="inlineStr">
        <is>
          <t>4 ms</t>
        </is>
      </c>
      <c r="J669" s="4" t="inlineStr">
        <is>
          <t>9.2 MB</t>
        </is>
      </c>
      <c r="K669" s="4" t="n">
        <v>30.1</v>
      </c>
      <c r="L669" s="4" t="inlineStr">
        <is>
          <t>108/108</t>
        </is>
      </c>
      <c r="M669" s="9" t="inlineStr">
        <is>
          <t>Submission 1024218483</t>
        </is>
      </c>
      <c r="N669" s="4" t="inlineStr">
        <is>
          <t>No</t>
        </is>
      </c>
    </row>
    <row r="670">
      <c r="A670" s="11" t="n">
        <v>45156.03224537037</v>
      </c>
      <c r="B670" s="4" t="inlineStr">
        <is>
          <t>2023-08</t>
        </is>
      </c>
      <c r="C670" s="4" t="n">
        <v>1071</v>
      </c>
      <c r="D670" s="9" t="inlineStr">
        <is>
          <t>Greatest Common Divisor of Strings</t>
        </is>
      </c>
      <c r="E670" s="4" t="inlineStr">
        <is>
          <t>Easy</t>
        </is>
      </c>
      <c r="F670" s="4" t="inlineStr">
        <is>
          <t>Math &amp; Bit Manipulation</t>
        </is>
      </c>
      <c r="G670" s="4" t="inlineStr">
        <is>
          <t>Wrong Answer</t>
        </is>
      </c>
      <c r="H670" s="4" t="inlineStr">
        <is>
          <t>C++</t>
        </is>
      </c>
      <c r="I670" s="4" t="inlineStr">
        <is>
          <t>N/A</t>
        </is>
      </c>
      <c r="J670" s="4" t="inlineStr">
        <is>
          <t>N/A</t>
        </is>
      </c>
      <c r="K670" s="4" t="n"/>
      <c r="L670" s="4" t="inlineStr">
        <is>
          <t>77/123</t>
        </is>
      </c>
      <c r="M670" s="9" t="inlineStr">
        <is>
          <t>Submission 1024263520</t>
        </is>
      </c>
      <c r="N670" s="4" t="inlineStr">
        <is>
          <t>No</t>
        </is>
      </c>
    </row>
    <row r="671">
      <c r="A671" s="11" t="n">
        <v>45156.0325</v>
      </c>
      <c r="B671" s="4" t="inlineStr">
        <is>
          <t>2023-08</t>
        </is>
      </c>
      <c r="C671" s="4" t="n">
        <v>1071</v>
      </c>
      <c r="D671" s="9" t="inlineStr">
        <is>
          <t>Greatest Common Divisor of Strings</t>
        </is>
      </c>
      <c r="E671" s="4" t="inlineStr">
        <is>
          <t>Easy</t>
        </is>
      </c>
      <c r="F671" s="4" t="inlineStr">
        <is>
          <t>Math &amp; Bit Manipulation</t>
        </is>
      </c>
      <c r="G671" s="4" t="inlineStr">
        <is>
          <t>Accepted</t>
        </is>
      </c>
      <c r="H671" s="4" t="inlineStr">
        <is>
          <t>C++</t>
        </is>
      </c>
      <c r="I671" s="4" t="inlineStr">
        <is>
          <t>95 ms</t>
        </is>
      </c>
      <c r="J671" s="4" t="inlineStr">
        <is>
          <t>252.1 MB</t>
        </is>
      </c>
      <c r="K671" s="4" t="n">
        <v>5.1</v>
      </c>
      <c r="L671" s="4" t="inlineStr">
        <is>
          <t>123/123</t>
        </is>
      </c>
      <c r="M671" s="9" t="inlineStr">
        <is>
          <t>Submission 1024263824</t>
        </is>
      </c>
      <c r="N671" s="4" t="inlineStr">
        <is>
          <t>No</t>
        </is>
      </c>
    </row>
    <row r="672">
      <c r="A672" s="11" t="n">
        <v>45156.91476851852</v>
      </c>
      <c r="B672" s="4" t="inlineStr">
        <is>
          <t>2023-08</t>
        </is>
      </c>
      <c r="C672" s="4" t="n">
        <v>1431</v>
      </c>
      <c r="D672" s="9" t="inlineStr">
        <is>
          <t>Kids With the Greatest Number of Candies</t>
        </is>
      </c>
      <c r="E672" s="4" t="inlineStr">
        <is>
          <t>Easy</t>
        </is>
      </c>
      <c r="F672" s="4" t="inlineStr">
        <is>
          <t>Arrays, Hashing &amp; Sorting</t>
        </is>
      </c>
      <c r="G672" s="4" t="inlineStr">
        <is>
          <t>Accepted</t>
        </is>
      </c>
      <c r="H672" s="4" t="inlineStr">
        <is>
          <t>C++</t>
        </is>
      </c>
      <c r="I672" s="4" t="inlineStr">
        <is>
          <t>0 ms</t>
        </is>
      </c>
      <c r="J672" s="4" t="inlineStr">
        <is>
          <t>8.9 MB</t>
        </is>
      </c>
      <c r="K672" s="4" t="n">
        <v>100</v>
      </c>
      <c r="L672" s="4" t="inlineStr">
        <is>
          <t>103/103</t>
        </is>
      </c>
      <c r="M672" s="9" t="inlineStr">
        <is>
          <t>Submission 1025007443</t>
        </is>
      </c>
      <c r="N672" s="4" t="inlineStr">
        <is>
          <t>No</t>
        </is>
      </c>
    </row>
    <row r="673">
      <c r="A673" s="11" t="n">
        <v>45156.95197916667</v>
      </c>
      <c r="B673" s="4" t="inlineStr">
        <is>
          <t>2023-08</t>
        </is>
      </c>
      <c r="C673" s="4" t="n">
        <v>605</v>
      </c>
      <c r="D673" s="9" t="inlineStr">
        <is>
          <t>Can Place Flowers</t>
        </is>
      </c>
      <c r="E673" s="4" t="inlineStr">
        <is>
          <t>Easy</t>
        </is>
      </c>
      <c r="F673" s="4" t="inlineStr">
        <is>
          <t>Greedy</t>
        </is>
      </c>
      <c r="G673" s="4" t="inlineStr">
        <is>
          <t>Time Limit Exceeded</t>
        </is>
      </c>
      <c r="H673" s="4" t="inlineStr">
        <is>
          <t>C++</t>
        </is>
      </c>
      <c r="I673" s="4" t="inlineStr">
        <is>
          <t>N/A</t>
        </is>
      </c>
      <c r="J673" s="4" t="inlineStr">
        <is>
          <t>N/A</t>
        </is>
      </c>
      <c r="K673" s="4" t="n"/>
      <c r="L673" s="4" t="inlineStr">
        <is>
          <t>84/127</t>
        </is>
      </c>
      <c r="M673" s="9" t="inlineStr">
        <is>
          <t>Submission 1025052295</t>
        </is>
      </c>
      <c r="N673" s="4" t="inlineStr">
        <is>
          <t>No</t>
        </is>
      </c>
    </row>
    <row r="674">
      <c r="A674" s="11" t="n">
        <v>45156.96894675926</v>
      </c>
      <c r="B674" s="4" t="inlineStr">
        <is>
          <t>2023-08</t>
        </is>
      </c>
      <c r="C674" s="4" t="n">
        <v>605</v>
      </c>
      <c r="D674" s="9" t="inlineStr">
        <is>
          <t>Can Place Flowers</t>
        </is>
      </c>
      <c r="E674" s="4" t="inlineStr">
        <is>
          <t>Easy</t>
        </is>
      </c>
      <c r="F674" s="4" t="inlineStr">
        <is>
          <t>Greedy</t>
        </is>
      </c>
      <c r="G674" s="4" t="inlineStr">
        <is>
          <t>Wrong Answer</t>
        </is>
      </c>
      <c r="H674" s="4" t="inlineStr">
        <is>
          <t>C++</t>
        </is>
      </c>
      <c r="I674" s="4" t="inlineStr">
        <is>
          <t>N/A</t>
        </is>
      </c>
      <c r="J674" s="4" t="inlineStr">
        <is>
          <t>N/A</t>
        </is>
      </c>
      <c r="K674" s="4" t="n"/>
      <c r="L674" s="4" t="inlineStr">
        <is>
          <t>102/127</t>
        </is>
      </c>
      <c r="M674" s="9" t="inlineStr">
        <is>
          <t>Submission 1025074175</t>
        </is>
      </c>
      <c r="N674" s="4" t="inlineStr">
        <is>
          <t>No</t>
        </is>
      </c>
    </row>
    <row r="675">
      <c r="A675" s="11" t="n">
        <v>45156.99431712963</v>
      </c>
      <c r="B675" s="4" t="inlineStr">
        <is>
          <t>2023-08</t>
        </is>
      </c>
      <c r="C675" s="4" t="n">
        <v>605</v>
      </c>
      <c r="D675" s="9" t="inlineStr">
        <is>
          <t>Can Place Flowers</t>
        </is>
      </c>
      <c r="E675" s="4" t="inlineStr">
        <is>
          <t>Easy</t>
        </is>
      </c>
      <c r="F675" s="4" t="inlineStr">
        <is>
          <t>Greedy</t>
        </is>
      </c>
      <c r="G675" s="4" t="inlineStr">
        <is>
          <t>Accepted</t>
        </is>
      </c>
      <c r="H675" s="4" t="inlineStr">
        <is>
          <t>C++</t>
        </is>
      </c>
      <c r="I675" s="4" t="inlineStr">
        <is>
          <t>13 ms</t>
        </is>
      </c>
      <c r="J675" s="4" t="inlineStr">
        <is>
          <t>20.3 MB</t>
        </is>
      </c>
      <c r="K675" s="4" t="n">
        <v>2.9</v>
      </c>
      <c r="L675" s="4" t="inlineStr">
        <is>
          <t>127/127</t>
        </is>
      </c>
      <c r="M675" s="9" t="inlineStr">
        <is>
          <t>Submission 1025106754</t>
        </is>
      </c>
      <c r="N675" s="4" t="inlineStr">
        <is>
          <t>No</t>
        </is>
      </c>
    </row>
    <row r="676">
      <c r="A676" s="11" t="n">
        <v>45157.01020833333</v>
      </c>
      <c r="B676" s="4" t="inlineStr">
        <is>
          <t>2023-08</t>
        </is>
      </c>
      <c r="C676" s="4" t="n">
        <v>345</v>
      </c>
      <c r="D676" s="9" t="inlineStr">
        <is>
          <t>Reverse Vowels of a String</t>
        </is>
      </c>
      <c r="E676" s="4" t="inlineStr">
        <is>
          <t>Easy</t>
        </is>
      </c>
      <c r="F676" s="4" t="inlineStr">
        <is>
          <t>Two Pointers</t>
        </is>
      </c>
      <c r="G676" s="4" t="inlineStr">
        <is>
          <t>Wrong Answer</t>
        </is>
      </c>
      <c r="H676" s="4" t="inlineStr">
        <is>
          <t>C++</t>
        </is>
      </c>
      <c r="I676" s="4" t="inlineStr">
        <is>
          <t>N/A</t>
        </is>
      </c>
      <c r="J676" s="4" t="inlineStr">
        <is>
          <t>N/A</t>
        </is>
      </c>
      <c r="K676" s="4" t="n"/>
      <c r="L676" s="4" t="inlineStr">
        <is>
          <t>394/480</t>
        </is>
      </c>
      <c r="M676" s="9" t="inlineStr">
        <is>
          <t>Submission 1025125409</t>
        </is>
      </c>
      <c r="N676" s="4" t="inlineStr">
        <is>
          <t>No</t>
        </is>
      </c>
    </row>
    <row r="677">
      <c r="A677" s="11" t="n">
        <v>45157.01108796296</v>
      </c>
      <c r="B677" s="4" t="inlineStr">
        <is>
          <t>2023-08</t>
        </is>
      </c>
      <c r="C677" s="4" t="n">
        <v>345</v>
      </c>
      <c r="D677" s="9" t="inlineStr">
        <is>
          <t>Reverse Vowels of a String</t>
        </is>
      </c>
      <c r="E677" s="4" t="inlineStr">
        <is>
          <t>Easy</t>
        </is>
      </c>
      <c r="F677" s="4" t="inlineStr">
        <is>
          <t>Two Pointers</t>
        </is>
      </c>
      <c r="G677" s="4" t="inlineStr">
        <is>
          <t>Accepted</t>
        </is>
      </c>
      <c r="H677" s="4" t="inlineStr">
        <is>
          <t>C++</t>
        </is>
      </c>
      <c r="I677" s="4" t="inlineStr">
        <is>
          <t>3 ms</t>
        </is>
      </c>
      <c r="J677" s="4" t="inlineStr">
        <is>
          <t>7.7 MB</t>
        </is>
      </c>
      <c r="K677" s="4" t="n">
        <v>32.3</v>
      </c>
      <c r="L677" s="4" t="inlineStr">
        <is>
          <t>480/480</t>
        </is>
      </c>
      <c r="M677" s="9" t="inlineStr">
        <is>
          <t>Submission 1025126413</t>
        </is>
      </c>
      <c r="N677" s="4" t="inlineStr">
        <is>
          <t>No</t>
        </is>
      </c>
    </row>
    <row r="678">
      <c r="A678" s="11" t="n">
        <v>45161.81515046296</v>
      </c>
      <c r="B678" s="4" t="inlineStr">
        <is>
          <t>2023-08</t>
        </is>
      </c>
      <c r="C678" s="4" t="n">
        <v>151</v>
      </c>
      <c r="D678" s="9" t="inlineStr">
        <is>
          <t>Reverse Words in a String</t>
        </is>
      </c>
      <c r="E678" s="4" t="inlineStr">
        <is>
          <t>Medium</t>
        </is>
      </c>
      <c r="F678" s="4" t="inlineStr">
        <is>
          <t>Two Pointers</t>
        </is>
      </c>
      <c r="G678" s="4" t="inlineStr">
        <is>
          <t>Accepted</t>
        </is>
      </c>
      <c r="H678" s="4" t="inlineStr">
        <is>
          <t>C++</t>
        </is>
      </c>
      <c r="I678" s="4" t="inlineStr">
        <is>
          <t>7 ms</t>
        </is>
      </c>
      <c r="J678" s="4" t="inlineStr">
        <is>
          <t>47.6 MB</t>
        </is>
      </c>
      <c r="K678" s="4" t="n">
        <v>13.4</v>
      </c>
      <c r="L678" s="4" t="inlineStr">
        <is>
          <t>58/58</t>
        </is>
      </c>
      <c r="M678" s="9" t="inlineStr">
        <is>
          <t>Submission 1029596542</t>
        </is>
      </c>
      <c r="N678" s="4" t="inlineStr">
        <is>
          <t>No</t>
        </is>
      </c>
    </row>
    <row r="679">
      <c r="A679" s="11" t="n">
        <v>45161.83085648148</v>
      </c>
      <c r="B679" s="4" t="inlineStr">
        <is>
          <t>2023-08</t>
        </is>
      </c>
      <c r="C679" s="4" t="n">
        <v>238</v>
      </c>
      <c r="D679" s="9" t="inlineStr">
        <is>
          <t>Product of Array Except Self</t>
        </is>
      </c>
      <c r="E679" s="4" t="inlineStr">
        <is>
          <t>Medium</t>
        </is>
      </c>
      <c r="F679" s="4" t="inlineStr">
        <is>
          <t>Prefix Sum &amp; Difference Array</t>
        </is>
      </c>
      <c r="G679" s="4" t="inlineStr">
        <is>
          <t>Accepted</t>
        </is>
      </c>
      <c r="H679" s="4" t="inlineStr">
        <is>
          <t>C++</t>
        </is>
      </c>
      <c r="I679" s="4" t="inlineStr">
        <is>
          <t>27 ms</t>
        </is>
      </c>
      <c r="J679" s="4" t="inlineStr">
        <is>
          <t>25 MB</t>
        </is>
      </c>
      <c r="K679" s="4" t="n">
        <v>6.2</v>
      </c>
      <c r="L679" s="4" t="inlineStr">
        <is>
          <t>22/22</t>
        </is>
      </c>
      <c r="M679" s="9" t="inlineStr">
        <is>
          <t>Submission 1029614944</t>
        </is>
      </c>
      <c r="N679" s="4" t="inlineStr">
        <is>
          <t>No</t>
        </is>
      </c>
    </row>
    <row r="680">
      <c r="A680" s="11" t="n">
        <v>45161.83539351852</v>
      </c>
      <c r="B680" s="4" t="inlineStr">
        <is>
          <t>2023-08</t>
        </is>
      </c>
      <c r="C680" s="4" t="n">
        <v>238</v>
      </c>
      <c r="D680" s="9" t="inlineStr">
        <is>
          <t>Product of Array Except Self</t>
        </is>
      </c>
      <c r="E680" s="4" t="inlineStr">
        <is>
          <t>Medium</t>
        </is>
      </c>
      <c r="F680" s="4" t="inlineStr">
        <is>
          <t>Prefix Sum &amp; Difference Array</t>
        </is>
      </c>
      <c r="G680" s="4" t="inlineStr">
        <is>
          <t>Accepted</t>
        </is>
      </c>
      <c r="H680" s="4" t="inlineStr">
        <is>
          <t>C++</t>
        </is>
      </c>
      <c r="I680" s="4" t="inlineStr">
        <is>
          <t>25 ms</t>
        </is>
      </c>
      <c r="J680" s="4" t="inlineStr">
        <is>
          <t>24 MB</t>
        </is>
      </c>
      <c r="K680" s="4" t="n">
        <v>6.2</v>
      </c>
      <c r="L680" s="4" t="inlineStr">
        <is>
          <t>22/22</t>
        </is>
      </c>
      <c r="M680" s="9" t="inlineStr">
        <is>
          <t>Submission 1029620534</t>
        </is>
      </c>
      <c r="N680" s="4" t="inlineStr">
        <is>
          <t>No</t>
        </is>
      </c>
    </row>
    <row r="681">
      <c r="A681" s="11" t="n">
        <v>45161.85219907408</v>
      </c>
      <c r="B681" s="4" t="inlineStr">
        <is>
          <t>2023-08</t>
        </is>
      </c>
      <c r="C681" s="4" t="n">
        <v>334</v>
      </c>
      <c r="D681" s="9" t="inlineStr">
        <is>
          <t>Increasing Triplet Subsequence</t>
        </is>
      </c>
      <c r="E681" s="4" t="inlineStr">
        <is>
          <t>Medium</t>
        </is>
      </c>
      <c r="F681" s="4" t="inlineStr">
        <is>
          <t>Greedy</t>
        </is>
      </c>
      <c r="G681" s="4" t="inlineStr">
        <is>
          <t>Wrong Answer</t>
        </is>
      </c>
      <c r="H681" s="4" t="inlineStr">
        <is>
          <t>C++</t>
        </is>
      </c>
      <c r="I681" s="4" t="inlineStr">
        <is>
          <t>N/A</t>
        </is>
      </c>
      <c r="J681" s="4" t="inlineStr">
        <is>
          <t>N/A</t>
        </is>
      </c>
      <c r="K681" s="4" t="n"/>
      <c r="L681" s="4" t="inlineStr">
        <is>
          <t>73/80</t>
        </is>
      </c>
      <c r="M681" s="9" t="inlineStr">
        <is>
          <t>Submission 1029640980</t>
        </is>
      </c>
      <c r="N681" s="4" t="inlineStr">
        <is>
          <t>No</t>
        </is>
      </c>
    </row>
    <row r="682">
      <c r="A682" s="11" t="n">
        <v>45161.85457175926</v>
      </c>
      <c r="B682" s="4" t="inlineStr">
        <is>
          <t>2023-08</t>
        </is>
      </c>
      <c r="C682" s="4" t="n">
        <v>334</v>
      </c>
      <c r="D682" s="9" t="inlineStr">
        <is>
          <t>Increasing Triplet Subsequence</t>
        </is>
      </c>
      <c r="E682" s="4" t="inlineStr">
        <is>
          <t>Medium</t>
        </is>
      </c>
      <c r="F682" s="4" t="inlineStr">
        <is>
          <t>Greedy</t>
        </is>
      </c>
      <c r="G682" s="4" t="inlineStr">
        <is>
          <t>Accepted</t>
        </is>
      </c>
      <c r="H682" s="4" t="inlineStr">
        <is>
          <t>C++</t>
        </is>
      </c>
      <c r="I682" s="4" t="inlineStr">
        <is>
          <t>119 ms</t>
        </is>
      </c>
      <c r="J682" s="4" t="inlineStr">
        <is>
          <t>121 MB</t>
        </is>
      </c>
      <c r="K682" s="4" t="n">
        <v>5</v>
      </c>
      <c r="L682" s="4" t="inlineStr">
        <is>
          <t>80/80</t>
        </is>
      </c>
      <c r="M682" s="9" t="inlineStr">
        <is>
          <t>Submission 1029643835</t>
        </is>
      </c>
      <c r="N682" s="4" t="inlineStr">
        <is>
          <t>No</t>
        </is>
      </c>
    </row>
    <row r="683">
      <c r="A683" s="11" t="n">
        <v>45161.85983796296</v>
      </c>
      <c r="B683" s="4" t="inlineStr">
        <is>
          <t>2023-08</t>
        </is>
      </c>
      <c r="C683" s="4" t="n">
        <v>334</v>
      </c>
      <c r="D683" s="9" t="inlineStr">
        <is>
          <t>Increasing Triplet Subsequence</t>
        </is>
      </c>
      <c r="E683" s="4" t="inlineStr">
        <is>
          <t>Medium</t>
        </is>
      </c>
      <c r="F683" s="4" t="inlineStr">
        <is>
          <t>Greedy</t>
        </is>
      </c>
      <c r="G683" s="4" t="inlineStr">
        <is>
          <t>Wrong Answer</t>
        </is>
      </c>
      <c r="H683" s="4" t="inlineStr">
        <is>
          <t>C++</t>
        </is>
      </c>
      <c r="I683" s="4" t="inlineStr">
        <is>
          <t>N/A</t>
        </is>
      </c>
      <c r="J683" s="4" t="inlineStr">
        <is>
          <t>N/A</t>
        </is>
      </c>
      <c r="K683" s="4" t="n"/>
      <c r="L683" s="4" t="inlineStr">
        <is>
          <t>73/80</t>
        </is>
      </c>
      <c r="M683" s="9" t="inlineStr">
        <is>
          <t>Submission 1029650064</t>
        </is>
      </c>
      <c r="N683" s="4" t="inlineStr">
        <is>
          <t>No</t>
        </is>
      </c>
    </row>
    <row r="684">
      <c r="A684" s="11" t="n">
        <v>45161.86216435185</v>
      </c>
      <c r="B684" s="4" t="inlineStr">
        <is>
          <t>2023-08</t>
        </is>
      </c>
      <c r="C684" s="4" t="n">
        <v>334</v>
      </c>
      <c r="D684" s="9" t="inlineStr">
        <is>
          <t>Increasing Triplet Subsequence</t>
        </is>
      </c>
      <c r="E684" s="4" t="inlineStr">
        <is>
          <t>Medium</t>
        </is>
      </c>
      <c r="F684" s="4" t="inlineStr">
        <is>
          <t>Greedy</t>
        </is>
      </c>
      <c r="G684" s="4" t="inlineStr">
        <is>
          <t>Accepted</t>
        </is>
      </c>
      <c r="H684" s="4" t="inlineStr">
        <is>
          <t>C++</t>
        </is>
      </c>
      <c r="I684" s="4" t="inlineStr">
        <is>
          <t>101 ms</t>
        </is>
      </c>
      <c r="J684" s="4" t="inlineStr">
        <is>
          <t>112.2 MB</t>
        </is>
      </c>
      <c r="K684" s="4" t="n">
        <v>5</v>
      </c>
      <c r="L684" s="4" t="inlineStr">
        <is>
          <t>80/80</t>
        </is>
      </c>
      <c r="M684" s="9" t="inlineStr">
        <is>
          <t>Submission 1029652848</t>
        </is>
      </c>
      <c r="N684" s="4" t="inlineStr">
        <is>
          <t>No</t>
        </is>
      </c>
    </row>
    <row r="685">
      <c r="A685" s="11" t="n">
        <v>45162.00606481481</v>
      </c>
      <c r="B685" s="4" t="inlineStr">
        <is>
          <t>2023-08</t>
        </is>
      </c>
      <c r="C685" s="4" t="n">
        <v>443</v>
      </c>
      <c r="D685" s="9" t="inlineStr">
        <is>
          <t>String Compression</t>
        </is>
      </c>
      <c r="E685" s="4" t="inlineStr">
        <is>
          <t>Medium</t>
        </is>
      </c>
      <c r="F685" s="4" t="inlineStr">
        <is>
          <t>Two Pointers</t>
        </is>
      </c>
      <c r="G685" s="4" t="inlineStr">
        <is>
          <t>Wrong Answer</t>
        </is>
      </c>
      <c r="H685" s="4" t="inlineStr">
        <is>
          <t>C++</t>
        </is>
      </c>
      <c r="I685" s="4" t="inlineStr">
        <is>
          <t>N/A</t>
        </is>
      </c>
      <c r="J685" s="4" t="inlineStr">
        <is>
          <t>N/A</t>
        </is>
      </c>
      <c r="K685" s="4" t="n"/>
      <c r="L685" s="4" t="inlineStr">
        <is>
          <t>0/75</t>
        </is>
      </c>
      <c r="M685" s="9" t="inlineStr">
        <is>
          <t>Submission 1029848000</t>
        </is>
      </c>
      <c r="N685" s="4" t="inlineStr">
        <is>
          <t>No</t>
        </is>
      </c>
    </row>
    <row r="686">
      <c r="A686" s="11" t="n">
        <v>45162.01318287037</v>
      </c>
      <c r="B686" s="4" t="inlineStr">
        <is>
          <t>2023-08</t>
        </is>
      </c>
      <c r="C686" s="4" t="n">
        <v>443</v>
      </c>
      <c r="D686" s="9" t="inlineStr">
        <is>
          <t>String Compression</t>
        </is>
      </c>
      <c r="E686" s="4" t="inlineStr">
        <is>
          <t>Medium</t>
        </is>
      </c>
      <c r="F686" s="4" t="inlineStr">
        <is>
          <t>Two Pointers</t>
        </is>
      </c>
      <c r="G686" s="4" t="inlineStr">
        <is>
          <t>Wrong Answer</t>
        </is>
      </c>
      <c r="H686" s="4" t="inlineStr">
        <is>
          <t>C++</t>
        </is>
      </c>
      <c r="I686" s="4" t="inlineStr">
        <is>
          <t>N/A</t>
        </is>
      </c>
      <c r="J686" s="4" t="inlineStr">
        <is>
          <t>N/A</t>
        </is>
      </c>
      <c r="K686" s="4" t="n"/>
      <c r="L686" s="4" t="inlineStr">
        <is>
          <t>33/75</t>
        </is>
      </c>
      <c r="M686" s="9" t="inlineStr">
        <is>
          <t>Submission 1029856921</t>
        </is>
      </c>
      <c r="N686" s="4" t="inlineStr">
        <is>
          <t>No</t>
        </is>
      </c>
    </row>
    <row r="687">
      <c r="A687" s="11" t="n">
        <v>45162.01709490741</v>
      </c>
      <c r="B687" s="4" t="inlineStr">
        <is>
          <t>2023-08</t>
        </is>
      </c>
      <c r="C687" s="4" t="n">
        <v>443</v>
      </c>
      <c r="D687" s="9" t="inlineStr">
        <is>
          <t>String Compression</t>
        </is>
      </c>
      <c r="E687" s="4" t="inlineStr">
        <is>
          <t>Medium</t>
        </is>
      </c>
      <c r="F687" s="4" t="inlineStr">
        <is>
          <t>Two Pointers</t>
        </is>
      </c>
      <c r="G687" s="4" t="inlineStr">
        <is>
          <t>Wrong Answer</t>
        </is>
      </c>
      <c r="H687" s="4" t="inlineStr">
        <is>
          <t>C++</t>
        </is>
      </c>
      <c r="I687" s="4" t="inlineStr">
        <is>
          <t>N/A</t>
        </is>
      </c>
      <c r="J687" s="4" t="inlineStr">
        <is>
          <t>N/A</t>
        </is>
      </c>
      <c r="K687" s="4" t="n"/>
      <c r="L687" s="4" t="inlineStr">
        <is>
          <t>40/75</t>
        </is>
      </c>
      <c r="M687" s="9" t="inlineStr">
        <is>
          <t>Submission 1029861766</t>
        </is>
      </c>
      <c r="N687" s="4" t="inlineStr">
        <is>
          <t>No</t>
        </is>
      </c>
    </row>
    <row r="688">
      <c r="A688" s="11" t="n">
        <v>45162.02039351852</v>
      </c>
      <c r="B688" s="4" t="inlineStr">
        <is>
          <t>2023-08</t>
        </is>
      </c>
      <c r="C688" s="4" t="n">
        <v>443</v>
      </c>
      <c r="D688" s="9" t="inlineStr">
        <is>
          <t>String Compression</t>
        </is>
      </c>
      <c r="E688" s="4" t="inlineStr">
        <is>
          <t>Medium</t>
        </is>
      </c>
      <c r="F688" s="4" t="inlineStr">
        <is>
          <t>Two Pointers</t>
        </is>
      </c>
      <c r="G688" s="4" t="inlineStr">
        <is>
          <t>Wrong Answer</t>
        </is>
      </c>
      <c r="H688" s="4" t="inlineStr">
        <is>
          <t>C++</t>
        </is>
      </c>
      <c r="I688" s="4" t="inlineStr">
        <is>
          <t>N/A</t>
        </is>
      </c>
      <c r="J688" s="4" t="inlineStr">
        <is>
          <t>N/A</t>
        </is>
      </c>
      <c r="K688" s="4" t="n"/>
      <c r="L688" s="4" t="inlineStr">
        <is>
          <t>40/75</t>
        </is>
      </c>
      <c r="M688" s="9" t="inlineStr">
        <is>
          <t>Submission 1029865733</t>
        </is>
      </c>
      <c r="N688" s="4" t="inlineStr">
        <is>
          <t>No</t>
        </is>
      </c>
    </row>
    <row r="689">
      <c r="A689" s="11" t="n">
        <v>45162.02283564815</v>
      </c>
      <c r="B689" s="4" t="inlineStr">
        <is>
          <t>2023-08</t>
        </is>
      </c>
      <c r="C689" s="4" t="n">
        <v>443</v>
      </c>
      <c r="D689" s="9" t="inlineStr">
        <is>
          <t>String Compression</t>
        </is>
      </c>
      <c r="E689" s="4" t="inlineStr">
        <is>
          <t>Medium</t>
        </is>
      </c>
      <c r="F689" s="4" t="inlineStr">
        <is>
          <t>Two Pointers</t>
        </is>
      </c>
      <c r="G689" s="4" t="inlineStr">
        <is>
          <t>Wrong Answer</t>
        </is>
      </c>
      <c r="H689" s="4" t="inlineStr">
        <is>
          <t>C++</t>
        </is>
      </c>
      <c r="I689" s="4" t="inlineStr">
        <is>
          <t>N/A</t>
        </is>
      </c>
      <c r="J689" s="4" t="inlineStr">
        <is>
          <t>N/A</t>
        </is>
      </c>
      <c r="K689" s="4" t="n"/>
      <c r="L689" s="4" t="inlineStr">
        <is>
          <t>43/75</t>
        </is>
      </c>
      <c r="M689" s="9" t="inlineStr">
        <is>
          <t>Submission 1029868613</t>
        </is>
      </c>
      <c r="N689" s="4" t="inlineStr">
        <is>
          <t>No</t>
        </is>
      </c>
    </row>
    <row r="690">
      <c r="A690" s="11" t="n">
        <v>45162.02732638889</v>
      </c>
      <c r="B690" s="4" t="inlineStr">
        <is>
          <t>2023-08</t>
        </is>
      </c>
      <c r="C690" s="4" t="n">
        <v>443</v>
      </c>
      <c r="D690" s="9" t="inlineStr">
        <is>
          <t>String Compression</t>
        </is>
      </c>
      <c r="E690" s="4" t="inlineStr">
        <is>
          <t>Medium</t>
        </is>
      </c>
      <c r="F690" s="4" t="inlineStr">
        <is>
          <t>Two Pointers</t>
        </is>
      </c>
      <c r="G690" s="4" t="inlineStr">
        <is>
          <t>Accepted</t>
        </is>
      </c>
      <c r="H690" s="4" t="inlineStr">
        <is>
          <t>C++</t>
        </is>
      </c>
      <c r="I690" s="4" t="inlineStr">
        <is>
          <t>8 ms</t>
        </is>
      </c>
      <c r="J690" s="4" t="inlineStr">
        <is>
          <t>9.1 MB</t>
        </is>
      </c>
      <c r="K690" s="4" t="n">
        <v>2.3</v>
      </c>
      <c r="L690" s="4" t="inlineStr">
        <is>
          <t>75/75</t>
        </is>
      </c>
      <c r="M690" s="9" t="inlineStr">
        <is>
          <t>Submission 1029873840</t>
        </is>
      </c>
      <c r="N690" s="4" t="inlineStr">
        <is>
          <t>No</t>
        </is>
      </c>
    </row>
    <row r="691">
      <c r="A691" s="11" t="n">
        <v>45162.03225694445</v>
      </c>
      <c r="B691" s="4" t="inlineStr">
        <is>
          <t>2023-08</t>
        </is>
      </c>
      <c r="C691" s="4" t="n">
        <v>443</v>
      </c>
      <c r="D691" s="9" t="inlineStr">
        <is>
          <t>String Compression</t>
        </is>
      </c>
      <c r="E691" s="4" t="inlineStr">
        <is>
          <t>Medium</t>
        </is>
      </c>
      <c r="F691" s="4" t="inlineStr">
        <is>
          <t>Two Pointers</t>
        </is>
      </c>
      <c r="G691" s="4" t="inlineStr">
        <is>
          <t>Accepted</t>
        </is>
      </c>
      <c r="H691" s="4" t="inlineStr">
        <is>
          <t>C++</t>
        </is>
      </c>
      <c r="I691" s="4" t="inlineStr">
        <is>
          <t>7 ms</t>
        </is>
      </c>
      <c r="J691" s="4" t="inlineStr">
        <is>
          <t>9 MB</t>
        </is>
      </c>
      <c r="K691" s="4" t="n">
        <v>2.3</v>
      </c>
      <c r="L691" s="4" t="inlineStr">
        <is>
          <t>75/75</t>
        </is>
      </c>
      <c r="M691" s="9" t="inlineStr">
        <is>
          <t>Submission 1029879136</t>
        </is>
      </c>
      <c r="N691" s="4" t="inlineStr">
        <is>
          <t>No</t>
        </is>
      </c>
    </row>
    <row r="692">
      <c r="A692" s="11" t="n">
        <v>45162.93751157408</v>
      </c>
      <c r="B692" s="4" t="inlineStr">
        <is>
          <t>2023-08</t>
        </is>
      </c>
      <c r="C692" s="4" t="n">
        <v>283</v>
      </c>
      <c r="D692" s="9" t="inlineStr">
        <is>
          <t>Move Zeroes</t>
        </is>
      </c>
      <c r="E692" s="4" t="inlineStr">
        <is>
          <t>Easy</t>
        </is>
      </c>
      <c r="F692" s="4" t="inlineStr">
        <is>
          <t>Two Pointers</t>
        </is>
      </c>
      <c r="G692" s="4" t="inlineStr">
        <is>
          <t>Accepted</t>
        </is>
      </c>
      <c r="H692" s="4" t="inlineStr">
        <is>
          <t>C++</t>
        </is>
      </c>
      <c r="I692" s="4" t="inlineStr">
        <is>
          <t>18 ms</t>
        </is>
      </c>
      <c r="J692" s="4" t="inlineStr">
        <is>
          <t>19.2 MB</t>
        </is>
      </c>
      <c r="K692" s="4" t="n">
        <v>7.1</v>
      </c>
      <c r="L692" s="4" t="inlineStr">
        <is>
          <t>74/74</t>
        </is>
      </c>
      <c r="M692" s="9" t="inlineStr">
        <is>
          <t>Submission 1030683227</t>
        </is>
      </c>
      <c r="N692" s="4" t="inlineStr">
        <is>
          <t>No</t>
        </is>
      </c>
    </row>
    <row r="693">
      <c r="A693" s="11" t="n">
        <v>45162.93854166667</v>
      </c>
      <c r="B693" s="4" t="inlineStr">
        <is>
          <t>2023-08</t>
        </is>
      </c>
      <c r="C693" s="4" t="n">
        <v>283</v>
      </c>
      <c r="D693" s="9" t="inlineStr">
        <is>
          <t>Move Zeroes</t>
        </is>
      </c>
      <c r="E693" s="4" t="inlineStr">
        <is>
          <t>Easy</t>
        </is>
      </c>
      <c r="F693" s="4" t="inlineStr">
        <is>
          <t>Two Pointers</t>
        </is>
      </c>
      <c r="G693" s="4" t="inlineStr">
        <is>
          <t>Accepted</t>
        </is>
      </c>
      <c r="H693" s="4" t="inlineStr">
        <is>
          <t>C++</t>
        </is>
      </c>
      <c r="I693" s="4" t="inlineStr">
        <is>
          <t>20 ms</t>
        </is>
      </c>
      <c r="J693" s="4" t="inlineStr">
        <is>
          <t>19.1 MB</t>
        </is>
      </c>
      <c r="K693" s="4" t="n">
        <v>7</v>
      </c>
      <c r="L693" s="4" t="inlineStr">
        <is>
          <t>74/74</t>
        </is>
      </c>
      <c r="M693" s="9" t="inlineStr">
        <is>
          <t>Submission 1030684594</t>
        </is>
      </c>
      <c r="N693" s="4" t="inlineStr">
        <is>
          <t>No</t>
        </is>
      </c>
    </row>
    <row r="694">
      <c r="A694" s="11" t="n">
        <v>45162.94497685185</v>
      </c>
      <c r="B694" s="4" t="inlineStr">
        <is>
          <t>2023-08</t>
        </is>
      </c>
      <c r="C694" s="4" t="n">
        <v>392</v>
      </c>
      <c r="D694" s="9" t="inlineStr">
        <is>
          <t>Is Subsequence</t>
        </is>
      </c>
      <c r="E694" s="4" t="inlineStr">
        <is>
          <t>Easy</t>
        </is>
      </c>
      <c r="F694" s="4" t="inlineStr">
        <is>
          <t>Two Pointers</t>
        </is>
      </c>
      <c r="G694" s="4" t="inlineStr">
        <is>
          <t>Wrong Answer</t>
        </is>
      </c>
      <c r="H694" s="4" t="inlineStr">
        <is>
          <t>C++</t>
        </is>
      </c>
      <c r="I694" s="4" t="inlineStr">
        <is>
          <t>N/A</t>
        </is>
      </c>
      <c r="J694" s="4" t="inlineStr">
        <is>
          <t>N/A</t>
        </is>
      </c>
      <c r="K694" s="4" t="n"/>
      <c r="L694" s="4" t="inlineStr">
        <is>
          <t>17/19</t>
        </is>
      </c>
      <c r="M694" s="9" t="inlineStr">
        <is>
          <t>Submission 1030692905</t>
        </is>
      </c>
      <c r="N694" s="4" t="inlineStr">
        <is>
          <t>No</t>
        </is>
      </c>
    </row>
    <row r="695">
      <c r="A695" s="11" t="n">
        <v>45162.94555555555</v>
      </c>
      <c r="B695" s="4" t="inlineStr">
        <is>
          <t>2023-08</t>
        </is>
      </c>
      <c r="C695" s="4" t="n">
        <v>392</v>
      </c>
      <c r="D695" s="9" t="inlineStr">
        <is>
          <t>Is Subsequence</t>
        </is>
      </c>
      <c r="E695" s="4" t="inlineStr">
        <is>
          <t>Easy</t>
        </is>
      </c>
      <c r="F695" s="4" t="inlineStr">
        <is>
          <t>Two Pointers</t>
        </is>
      </c>
      <c r="G695" s="4" t="inlineStr">
        <is>
          <t>Accepted</t>
        </is>
      </c>
      <c r="H695" s="4" t="inlineStr">
        <is>
          <t>C++</t>
        </is>
      </c>
      <c r="I695" s="4" t="inlineStr">
        <is>
          <t>3 ms</t>
        </is>
      </c>
      <c r="J695" s="4" t="inlineStr">
        <is>
          <t>6.4 MB</t>
        </is>
      </c>
      <c r="K695" s="4" t="n">
        <v>4.7</v>
      </c>
      <c r="L695" s="4" t="inlineStr">
        <is>
          <t>19/19</t>
        </is>
      </c>
      <c r="M695" s="9" t="inlineStr">
        <is>
          <t>Submission 1030693648</t>
        </is>
      </c>
      <c r="N695" s="4" t="inlineStr">
        <is>
          <t>No</t>
        </is>
      </c>
    </row>
    <row r="696">
      <c r="A696" s="11" t="n">
        <v>45162.97667824074</v>
      </c>
      <c r="B696" s="4" t="inlineStr">
        <is>
          <t>2023-08</t>
        </is>
      </c>
      <c r="C696" s="4" t="n">
        <v>11</v>
      </c>
      <c r="D696" s="9" t="inlineStr">
        <is>
          <t>Container With Most Water</t>
        </is>
      </c>
      <c r="E696" s="4" t="inlineStr">
        <is>
          <t>Medium</t>
        </is>
      </c>
      <c r="F696" s="4" t="inlineStr">
        <is>
          <t>Two Pointers</t>
        </is>
      </c>
      <c r="G696" s="4" t="inlineStr">
        <is>
          <t>Accepted</t>
        </is>
      </c>
      <c r="H696" s="4" t="inlineStr">
        <is>
          <t>C++</t>
        </is>
      </c>
      <c r="I696" s="4" t="inlineStr">
        <is>
          <t>64 ms</t>
        </is>
      </c>
      <c r="J696" s="4" t="inlineStr">
        <is>
          <t>59 MB</t>
        </is>
      </c>
      <c r="K696" s="4" t="n">
        <v>6.1</v>
      </c>
      <c r="L696" s="4" t="inlineStr">
        <is>
          <t>61/61</t>
        </is>
      </c>
      <c r="M696" s="9" t="inlineStr">
        <is>
          <t>Submission 1030734523</t>
        </is>
      </c>
      <c r="N696" s="4" t="inlineStr">
        <is>
          <t>No</t>
        </is>
      </c>
    </row>
    <row r="697">
      <c r="A697" s="11" t="n">
        <v>45162.98857638889</v>
      </c>
      <c r="B697" s="4" t="inlineStr">
        <is>
          <t>2023-08</t>
        </is>
      </c>
      <c r="C697" s="4" t="n">
        <v>1679</v>
      </c>
      <c r="D697" s="9" t="inlineStr">
        <is>
          <t>Max Number of K-Sum Pairs</t>
        </is>
      </c>
      <c r="E697" s="4" t="inlineStr">
        <is>
          <t>Medium</t>
        </is>
      </c>
      <c r="F697" s="4" t="inlineStr">
        <is>
          <t>Two Pointers</t>
        </is>
      </c>
      <c r="G697" s="4" t="inlineStr">
        <is>
          <t>Wrong Answer</t>
        </is>
      </c>
      <c r="H697" s="4" t="inlineStr">
        <is>
          <t>C++</t>
        </is>
      </c>
      <c r="I697" s="4" t="inlineStr">
        <is>
          <t>N/A</t>
        </is>
      </c>
      <c r="J697" s="4" t="inlineStr">
        <is>
          <t>N/A</t>
        </is>
      </c>
      <c r="K697" s="4" t="n"/>
      <c r="L697" s="4" t="inlineStr">
        <is>
          <t>25/51</t>
        </is>
      </c>
      <c r="M697" s="9" t="inlineStr">
        <is>
          <t>Submission 1030750698</t>
        </is>
      </c>
      <c r="N697" s="4" t="inlineStr">
        <is>
          <t>No</t>
        </is>
      </c>
    </row>
    <row r="698">
      <c r="A698" s="11" t="n">
        <v>45162.99076388889</v>
      </c>
      <c r="B698" s="4" t="inlineStr">
        <is>
          <t>2023-08</t>
        </is>
      </c>
      <c r="C698" s="4" t="n">
        <v>1679</v>
      </c>
      <c r="D698" s="9" t="inlineStr">
        <is>
          <t>Max Number of K-Sum Pairs</t>
        </is>
      </c>
      <c r="E698" s="4" t="inlineStr">
        <is>
          <t>Medium</t>
        </is>
      </c>
      <c r="F698" s="4" t="inlineStr">
        <is>
          <t>Two Pointers</t>
        </is>
      </c>
      <c r="G698" s="4" t="inlineStr">
        <is>
          <t>Accepted</t>
        </is>
      </c>
      <c r="H698" s="4" t="inlineStr">
        <is>
          <t>C++</t>
        </is>
      </c>
      <c r="I698" s="4" t="inlineStr">
        <is>
          <t>207 ms</t>
        </is>
      </c>
      <c r="J698" s="4" t="inlineStr">
        <is>
          <t>70.5 MB</t>
        </is>
      </c>
      <c r="K698" s="4" t="n">
        <v>5.1</v>
      </c>
      <c r="L698" s="4" t="inlineStr">
        <is>
          <t>51/51</t>
        </is>
      </c>
      <c r="M698" s="9" t="inlineStr">
        <is>
          <t>Submission 1030753639</t>
        </is>
      </c>
      <c r="N698" s="4" t="inlineStr">
        <is>
          <t>No</t>
        </is>
      </c>
    </row>
    <row r="699">
      <c r="A699" s="11" t="n">
        <v>45163.00569444444</v>
      </c>
      <c r="B699" s="4" t="inlineStr">
        <is>
          <t>2023-08</t>
        </is>
      </c>
      <c r="C699" s="4" t="n">
        <v>643</v>
      </c>
      <c r="D699" s="9" t="inlineStr">
        <is>
          <t>Maximum Average Subarray I</t>
        </is>
      </c>
      <c r="E699" s="4" t="inlineStr">
        <is>
          <t>Easy</t>
        </is>
      </c>
      <c r="F699" s="4" t="inlineStr">
        <is>
          <t>Sliding Window</t>
        </is>
      </c>
      <c r="G699" s="4" t="inlineStr">
        <is>
          <t>Accepted</t>
        </is>
      </c>
      <c r="H699" s="4" t="inlineStr">
        <is>
          <t>C++</t>
        </is>
      </c>
      <c r="I699" s="4" t="inlineStr">
        <is>
          <t>118 ms</t>
        </is>
      </c>
      <c r="J699" s="4" t="inlineStr">
        <is>
          <t>109.7 MB</t>
        </is>
      </c>
      <c r="K699" s="4" t="n">
        <v>7.6</v>
      </c>
      <c r="L699" s="4" t="inlineStr">
        <is>
          <t>127/127</t>
        </is>
      </c>
      <c r="M699" s="9" t="inlineStr">
        <is>
          <t>Submission 1030773000</t>
        </is>
      </c>
      <c r="N699" s="4" t="inlineStr">
        <is>
          <t>No</t>
        </is>
      </c>
    </row>
    <row r="700">
      <c r="A700" s="11" t="n">
        <v>45163.94164351852</v>
      </c>
      <c r="B700" s="4" t="inlineStr">
        <is>
          <t>2023-08</t>
        </is>
      </c>
      <c r="C700" s="4" t="n">
        <v>1456</v>
      </c>
      <c r="D700" s="9" t="inlineStr">
        <is>
          <t>Maximum Number of Vowels in a Substring of Given Length</t>
        </is>
      </c>
      <c r="E700" s="4" t="inlineStr">
        <is>
          <t>Medium</t>
        </is>
      </c>
      <c r="F700" s="4" t="inlineStr">
        <is>
          <t>Sliding Window</t>
        </is>
      </c>
      <c r="G700" s="4" t="inlineStr">
        <is>
          <t>Accepted</t>
        </is>
      </c>
      <c r="H700" s="4" t="inlineStr">
        <is>
          <t>C++</t>
        </is>
      </c>
      <c r="I700" s="4" t="inlineStr">
        <is>
          <t>348 ms</t>
        </is>
      </c>
      <c r="J700" s="4" t="inlineStr">
        <is>
          <t>77.8 MB</t>
        </is>
      </c>
      <c r="K700" s="4" t="n">
        <v>5.3</v>
      </c>
      <c r="L700" s="4" t="inlineStr">
        <is>
          <t>106/106</t>
        </is>
      </c>
      <c r="M700" s="9" t="inlineStr">
        <is>
          <t>Submission 1031591862</t>
        </is>
      </c>
      <c r="N700" s="4" t="inlineStr">
        <is>
          <t>No</t>
        </is>
      </c>
    </row>
    <row r="701">
      <c r="A701" s="11" t="n">
        <v>45163.94267361111</v>
      </c>
      <c r="B701" s="4" t="inlineStr">
        <is>
          <t>2023-08</t>
        </is>
      </c>
      <c r="C701" s="4" t="n">
        <v>1456</v>
      </c>
      <c r="D701" s="9" t="inlineStr">
        <is>
          <t>Maximum Number of Vowels in a Substring of Given Length</t>
        </is>
      </c>
      <c r="E701" s="4" t="inlineStr">
        <is>
          <t>Medium</t>
        </is>
      </c>
      <c r="F701" s="4" t="inlineStr">
        <is>
          <t>Sliding Window</t>
        </is>
      </c>
      <c r="G701" s="4" t="inlineStr">
        <is>
          <t>Accepted</t>
        </is>
      </c>
      <c r="H701" s="4" t="inlineStr">
        <is>
          <t>C++</t>
        </is>
      </c>
      <c r="I701" s="4" t="inlineStr">
        <is>
          <t>23 ms</t>
        </is>
      </c>
      <c r="J701" s="4" t="inlineStr">
        <is>
          <t>10 MB</t>
        </is>
      </c>
      <c r="K701" s="4" t="n">
        <v>5.3</v>
      </c>
      <c r="L701" s="4" t="inlineStr">
        <is>
          <t>106/106</t>
        </is>
      </c>
      <c r="M701" s="9" t="inlineStr">
        <is>
          <t>Submission 1031593106</t>
        </is>
      </c>
      <c r="N701" s="4" t="inlineStr">
        <is>
          <t>No</t>
        </is>
      </c>
    </row>
    <row r="702">
      <c r="A702" s="11" t="n">
        <v>45163.94315972222</v>
      </c>
      <c r="B702" s="4" t="inlineStr">
        <is>
          <t>2023-08</t>
        </is>
      </c>
      <c r="C702" s="4" t="n">
        <v>1456</v>
      </c>
      <c r="D702" s="9" t="inlineStr">
        <is>
          <t>Maximum Number of Vowels in a Substring of Given Length</t>
        </is>
      </c>
      <c r="E702" s="4" t="inlineStr">
        <is>
          <t>Medium</t>
        </is>
      </c>
      <c r="F702" s="4" t="inlineStr">
        <is>
          <t>Sliding Window</t>
        </is>
      </c>
      <c r="G702" s="4" t="inlineStr">
        <is>
          <t>Accepted</t>
        </is>
      </c>
      <c r="H702" s="4" t="inlineStr">
        <is>
          <t>C++</t>
        </is>
      </c>
      <c r="I702" s="4" t="inlineStr">
        <is>
          <t>21 ms</t>
        </is>
      </c>
      <c r="J702" s="4" t="inlineStr">
        <is>
          <t>10.1 MB</t>
        </is>
      </c>
      <c r="K702" s="4" t="n">
        <v>5.3</v>
      </c>
      <c r="L702" s="4" t="inlineStr">
        <is>
          <t>106/106</t>
        </is>
      </c>
      <c r="M702" s="9" t="inlineStr">
        <is>
          <t>Submission 1031593690</t>
        </is>
      </c>
      <c r="N702" s="4" t="inlineStr">
        <is>
          <t>No</t>
        </is>
      </c>
    </row>
    <row r="703">
      <c r="A703" s="11" t="n">
        <v>45163.94481481481</v>
      </c>
      <c r="B703" s="4" t="inlineStr">
        <is>
          <t>2023-08</t>
        </is>
      </c>
      <c r="C703" s="4" t="n">
        <v>1456</v>
      </c>
      <c r="D703" s="9" t="inlineStr">
        <is>
          <t>Maximum Number of Vowels in a Substring of Given Length</t>
        </is>
      </c>
      <c r="E703" s="4" t="inlineStr">
        <is>
          <t>Medium</t>
        </is>
      </c>
      <c r="F703" s="4" t="inlineStr">
        <is>
          <t>Sliding Window</t>
        </is>
      </c>
      <c r="G703" s="4" t="inlineStr">
        <is>
          <t>Accepted</t>
        </is>
      </c>
      <c r="H703" s="4" t="inlineStr">
        <is>
          <t>C++</t>
        </is>
      </c>
      <c r="I703" s="4" t="inlineStr">
        <is>
          <t>19 ms</t>
        </is>
      </c>
      <c r="J703" s="4" t="inlineStr">
        <is>
          <t>10 MB</t>
        </is>
      </c>
      <c r="K703" s="4" t="n">
        <v>6.2</v>
      </c>
      <c r="L703" s="4" t="inlineStr">
        <is>
          <t>106/106</t>
        </is>
      </c>
      <c r="M703" s="9" t="inlineStr">
        <is>
          <t>Submission 1031595683</t>
        </is>
      </c>
      <c r="N703" s="4" t="inlineStr">
        <is>
          <t>No</t>
        </is>
      </c>
    </row>
    <row r="704">
      <c r="A704" s="11" t="n">
        <v>45163.94553240741</v>
      </c>
      <c r="B704" s="4" t="inlineStr">
        <is>
          <t>2023-08</t>
        </is>
      </c>
      <c r="C704" s="4" t="n">
        <v>1456</v>
      </c>
      <c r="D704" s="9" t="inlineStr">
        <is>
          <t>Maximum Number of Vowels in a Substring of Given Length</t>
        </is>
      </c>
      <c r="E704" s="4" t="inlineStr">
        <is>
          <t>Medium</t>
        </is>
      </c>
      <c r="F704" s="4" t="inlineStr">
        <is>
          <t>Sliding Window</t>
        </is>
      </c>
      <c r="G704" s="4" t="inlineStr">
        <is>
          <t>Accepted</t>
        </is>
      </c>
      <c r="H704" s="4" t="inlineStr">
        <is>
          <t>C++</t>
        </is>
      </c>
      <c r="I704" s="4" t="inlineStr">
        <is>
          <t>23 ms</t>
        </is>
      </c>
      <c r="J704" s="4" t="inlineStr">
        <is>
          <t>10.1 MB</t>
        </is>
      </c>
      <c r="K704" s="4" t="n">
        <v>5.3</v>
      </c>
      <c r="L704" s="4" t="inlineStr">
        <is>
          <t>106/106</t>
        </is>
      </c>
      <c r="M704" s="9" t="inlineStr">
        <is>
          <t>Submission 1031596595</t>
        </is>
      </c>
      <c r="N704" s="4" t="inlineStr">
        <is>
          <t>No</t>
        </is>
      </c>
    </row>
    <row r="705">
      <c r="A705" s="11" t="n">
        <v>45163.94672453704</v>
      </c>
      <c r="B705" s="4" t="inlineStr">
        <is>
          <t>2023-08</t>
        </is>
      </c>
      <c r="C705" s="4" t="n">
        <v>1456</v>
      </c>
      <c r="D705" s="9" t="inlineStr">
        <is>
          <t>Maximum Number of Vowels in a Substring of Given Length</t>
        </is>
      </c>
      <c r="E705" s="4" t="inlineStr">
        <is>
          <t>Medium</t>
        </is>
      </c>
      <c r="F705" s="4" t="inlineStr">
        <is>
          <t>Sliding Window</t>
        </is>
      </c>
      <c r="G705" s="4" t="inlineStr">
        <is>
          <t>Accepted</t>
        </is>
      </c>
      <c r="H705" s="4" t="inlineStr">
        <is>
          <t>C++</t>
        </is>
      </c>
      <c r="I705" s="4" t="inlineStr">
        <is>
          <t>24 ms</t>
        </is>
      </c>
      <c r="J705" s="4" t="inlineStr">
        <is>
          <t>9.9 MB</t>
        </is>
      </c>
      <c r="K705" s="4" t="n">
        <v>5.3</v>
      </c>
      <c r="L705" s="4" t="inlineStr">
        <is>
          <t>106/106</t>
        </is>
      </c>
      <c r="M705" s="9" t="inlineStr">
        <is>
          <t>Submission 1031598078</t>
        </is>
      </c>
      <c r="N705" s="4" t="inlineStr">
        <is>
          <t>No</t>
        </is>
      </c>
    </row>
    <row r="706">
      <c r="A706" s="11" t="n">
        <v>45163.98332175926</v>
      </c>
      <c r="B706" s="4" t="inlineStr">
        <is>
          <t>2023-08</t>
        </is>
      </c>
      <c r="C706" s="4" t="n">
        <v>1004</v>
      </c>
      <c r="D706" s="9" t="inlineStr">
        <is>
          <t>Max Consecutive Ones III</t>
        </is>
      </c>
      <c r="E706" s="4" t="inlineStr">
        <is>
          <t>Medium</t>
        </is>
      </c>
      <c r="F706" s="4" t="inlineStr">
        <is>
          <t>Sliding Window</t>
        </is>
      </c>
      <c r="G706" s="4" t="inlineStr">
        <is>
          <t>Accepted</t>
        </is>
      </c>
      <c r="H706" s="4" t="inlineStr">
        <is>
          <t>C++</t>
        </is>
      </c>
      <c r="I706" s="4" t="inlineStr">
        <is>
          <t>61 ms</t>
        </is>
      </c>
      <c r="J706" s="4" t="inlineStr">
        <is>
          <t>55.6 MB</t>
        </is>
      </c>
      <c r="K706" s="4" t="n">
        <v>5.8</v>
      </c>
      <c r="L706" s="4" t="inlineStr">
        <is>
          <t>55/55</t>
        </is>
      </c>
      <c r="M706" s="9" t="inlineStr">
        <is>
          <t>Submission 1031644223</t>
        </is>
      </c>
      <c r="N706" s="4" t="inlineStr">
        <is>
          <t>No</t>
        </is>
      </c>
    </row>
    <row r="707">
      <c r="A707" s="11" t="n">
        <v>45170.87417824074</v>
      </c>
      <c r="B707" s="4" t="inlineStr">
        <is>
          <t>2023-09</t>
        </is>
      </c>
      <c r="C707" s="4" t="n">
        <v>1493</v>
      </c>
      <c r="D707" s="9" t="inlineStr">
        <is>
          <t>Longest Subarray of 1's After Deleting One Element</t>
        </is>
      </c>
      <c r="E707" s="4" t="inlineStr">
        <is>
          <t>Medium</t>
        </is>
      </c>
      <c r="F707" s="4" t="inlineStr">
        <is>
          <t>Sliding Window</t>
        </is>
      </c>
      <c r="G707" s="4" t="inlineStr">
        <is>
          <t>Accepted</t>
        </is>
      </c>
      <c r="H707" s="4" t="inlineStr">
        <is>
          <t>C++</t>
        </is>
      </c>
      <c r="I707" s="4" t="inlineStr">
        <is>
          <t>28 ms</t>
        </is>
      </c>
      <c r="J707" s="4" t="inlineStr">
        <is>
          <t>46.6 MB</t>
        </is>
      </c>
      <c r="K707" s="4" t="n">
        <v>6.2</v>
      </c>
      <c r="L707" s="4" t="inlineStr">
        <is>
          <t>81/81</t>
        </is>
      </c>
      <c r="M707" s="9" t="inlineStr">
        <is>
          <t>Submission 1037751435</t>
        </is>
      </c>
      <c r="N707" s="4" t="inlineStr">
        <is>
          <t>No</t>
        </is>
      </c>
    </row>
    <row r="708">
      <c r="A708" s="11" t="n">
        <v>45170.96398148148</v>
      </c>
      <c r="B708" s="4" t="inlineStr">
        <is>
          <t>2023-09</t>
        </is>
      </c>
      <c r="C708" s="4" t="n">
        <v>1732</v>
      </c>
      <c r="D708" s="9" t="inlineStr">
        <is>
          <t>Find the Highest Altitude</t>
        </is>
      </c>
      <c r="E708" s="4" t="inlineStr">
        <is>
          <t>Easy</t>
        </is>
      </c>
      <c r="F708" s="4" t="inlineStr">
        <is>
          <t>Prefix Sum &amp; Difference Array</t>
        </is>
      </c>
      <c r="G708" s="4" t="inlineStr">
        <is>
          <t>Accepted</t>
        </is>
      </c>
      <c r="H708" s="4" t="inlineStr">
        <is>
          <t>C++</t>
        </is>
      </c>
      <c r="I708" s="4" t="inlineStr">
        <is>
          <t>0 ms</t>
        </is>
      </c>
      <c r="J708" s="4" t="inlineStr">
        <is>
          <t>7.9 MB</t>
        </is>
      </c>
      <c r="K708" s="4" t="n">
        <v>100</v>
      </c>
      <c r="L708" s="4" t="inlineStr">
        <is>
          <t>80/80</t>
        </is>
      </c>
      <c r="M708" s="9" t="inlineStr">
        <is>
          <t>Submission 1037851819</t>
        </is>
      </c>
      <c r="N708" s="4" t="inlineStr">
        <is>
          <t>No</t>
        </is>
      </c>
    </row>
    <row r="709">
      <c r="A709" s="11" t="n">
        <v>45170.96825231481</v>
      </c>
      <c r="B709" s="4" t="inlineStr">
        <is>
          <t>2023-09</t>
        </is>
      </c>
      <c r="C709" s="4" t="n">
        <v>724</v>
      </c>
      <c r="D709" s="9" t="inlineStr">
        <is>
          <t>Find Pivot Index</t>
        </is>
      </c>
      <c r="E709" s="4" t="inlineStr">
        <is>
          <t>Easy</t>
        </is>
      </c>
      <c r="F709" s="4" t="inlineStr">
        <is>
          <t>Prefix Sum &amp; Difference Array</t>
        </is>
      </c>
      <c r="G709" s="4" t="inlineStr">
        <is>
          <t>Accepted</t>
        </is>
      </c>
      <c r="H709" s="4" t="inlineStr">
        <is>
          <t>C++</t>
        </is>
      </c>
      <c r="I709" s="4" t="inlineStr">
        <is>
          <t>22 ms</t>
        </is>
      </c>
      <c r="J709" s="4" t="inlineStr">
        <is>
          <t>31.1 MB</t>
        </is>
      </c>
      <c r="K709" s="4" t="n">
        <v>9.4</v>
      </c>
      <c r="L709" s="4" t="inlineStr">
        <is>
          <t>746/746</t>
        </is>
      </c>
      <c r="M709" s="9" t="inlineStr">
        <is>
          <t>Submission 1037856937</t>
        </is>
      </c>
      <c r="N709" s="4" t="inlineStr">
        <is>
          <t>No</t>
        </is>
      </c>
    </row>
    <row r="710">
      <c r="A710" s="11" t="n">
        <v>45177.70121527778</v>
      </c>
      <c r="B710" s="4" t="inlineStr">
        <is>
          <t>2023-09</t>
        </is>
      </c>
      <c r="C710" s="4" t="n">
        <v>2215</v>
      </c>
      <c r="D710" s="9" t="inlineStr">
        <is>
          <t>Find the Difference of Two Arrays</t>
        </is>
      </c>
      <c r="E710" s="4" t="inlineStr">
        <is>
          <t>Easy</t>
        </is>
      </c>
      <c r="F710" s="4" t="inlineStr">
        <is>
          <t>Arrays, Hashing &amp; Sorting</t>
        </is>
      </c>
      <c r="G710" s="4" t="inlineStr">
        <is>
          <t>Accepted</t>
        </is>
      </c>
      <c r="H710" s="4" t="inlineStr">
        <is>
          <t>C++</t>
        </is>
      </c>
      <c r="I710" s="4" t="inlineStr">
        <is>
          <t>470 ms</t>
        </is>
      </c>
      <c r="J710" s="4" t="inlineStr">
        <is>
          <t>36.8 MB</t>
        </is>
      </c>
      <c r="K710" s="4" t="n">
        <v>5</v>
      </c>
      <c r="L710" s="4" t="inlineStr">
        <is>
          <t>202/202</t>
        </is>
      </c>
      <c r="M710" s="9" t="inlineStr">
        <is>
          <t>Submission 1043842772</t>
        </is>
      </c>
      <c r="N710" s="4" t="inlineStr">
        <is>
          <t>No</t>
        </is>
      </c>
    </row>
    <row r="711">
      <c r="A711" s="11" t="n">
        <v>45177.96155092592</v>
      </c>
      <c r="B711" s="4" t="inlineStr">
        <is>
          <t>2023-09</t>
        </is>
      </c>
      <c r="C711" s="4" t="n">
        <v>1207</v>
      </c>
      <c r="D711" s="9" t="inlineStr">
        <is>
          <t>Unique Number of Occurrences</t>
        </is>
      </c>
      <c r="E711" s="4" t="inlineStr">
        <is>
          <t>Easy</t>
        </is>
      </c>
      <c r="F711" s="4" t="inlineStr">
        <is>
          <t>Arrays, Hashing &amp; Sorting</t>
        </is>
      </c>
      <c r="G711" s="4" t="inlineStr">
        <is>
          <t>Accepted</t>
        </is>
      </c>
      <c r="H711" s="4" t="inlineStr">
        <is>
          <t>C++</t>
        </is>
      </c>
      <c r="I711" s="4" t="inlineStr">
        <is>
          <t>0 ms</t>
        </is>
      </c>
      <c r="J711" s="4" t="inlineStr">
        <is>
          <t>8.5 MB</t>
        </is>
      </c>
      <c r="K711" s="4" t="n">
        <v>100</v>
      </c>
      <c r="L711" s="4" t="inlineStr">
        <is>
          <t>67/67</t>
        </is>
      </c>
      <c r="M711" s="9" t="inlineStr">
        <is>
          <t>Submission 1044102868</t>
        </is>
      </c>
      <c r="N711" s="4" t="inlineStr">
        <is>
          <t>No</t>
        </is>
      </c>
    </row>
    <row r="712">
      <c r="A712" s="11" t="n">
        <v>45177.98615740741</v>
      </c>
      <c r="B712" s="4" t="inlineStr">
        <is>
          <t>2023-09</t>
        </is>
      </c>
      <c r="C712" s="4" t="n">
        <v>1657</v>
      </c>
      <c r="D712" s="9" t="inlineStr">
        <is>
          <t>Determine if Two Strings Are Close</t>
        </is>
      </c>
      <c r="E712" s="4" t="inlineStr">
        <is>
          <t>Medium</t>
        </is>
      </c>
      <c r="F712" s="4" t="inlineStr">
        <is>
          <t>Arrays, Hashing &amp; Sorting</t>
        </is>
      </c>
      <c r="G712" s="4" t="inlineStr">
        <is>
          <t>Wrong Answer</t>
        </is>
      </c>
      <c r="H712" s="4" t="inlineStr">
        <is>
          <t>C++</t>
        </is>
      </c>
      <c r="I712" s="4" t="inlineStr">
        <is>
          <t>N/A</t>
        </is>
      </c>
      <c r="J712" s="4" t="inlineStr">
        <is>
          <t>N/A</t>
        </is>
      </c>
      <c r="K712" s="4" t="n"/>
      <c r="L712" s="4" t="inlineStr">
        <is>
          <t>131/153</t>
        </is>
      </c>
      <c r="M712" s="9" t="inlineStr">
        <is>
          <t>Submission 1044132167</t>
        </is>
      </c>
      <c r="N712" s="4" t="inlineStr">
        <is>
          <t>Yes</t>
        </is>
      </c>
    </row>
    <row r="713">
      <c r="A713" s="11" t="n">
        <v>45177.99616898148</v>
      </c>
      <c r="B713" s="4" t="inlineStr">
        <is>
          <t>2023-09</t>
        </is>
      </c>
      <c r="C713" s="4" t="n">
        <v>1657</v>
      </c>
      <c r="D713" s="9" t="inlineStr">
        <is>
          <t>Determine if Two Strings Are Close</t>
        </is>
      </c>
      <c r="E713" s="4" t="inlineStr">
        <is>
          <t>Medium</t>
        </is>
      </c>
      <c r="F713" s="4" t="inlineStr">
        <is>
          <t>Arrays, Hashing &amp; Sorting</t>
        </is>
      </c>
      <c r="G713" s="4" t="inlineStr">
        <is>
          <t>Wrong Answer</t>
        </is>
      </c>
      <c r="H713" s="4" t="inlineStr">
        <is>
          <t>C++</t>
        </is>
      </c>
      <c r="I713" s="4" t="inlineStr">
        <is>
          <t>N/A</t>
        </is>
      </c>
      <c r="J713" s="4" t="inlineStr">
        <is>
          <t>N/A</t>
        </is>
      </c>
      <c r="K713" s="4" t="n"/>
      <c r="L713" s="4" t="inlineStr">
        <is>
          <t>62/153</t>
        </is>
      </c>
      <c r="M713" s="9" t="inlineStr">
        <is>
          <t>Submission 1044144179</t>
        </is>
      </c>
      <c r="N713" s="4" t="inlineStr">
        <is>
          <t>Yes</t>
        </is>
      </c>
    </row>
    <row r="714">
      <c r="A714" s="11" t="n">
        <v>45177.99796296296</v>
      </c>
      <c r="B714" s="4" t="inlineStr">
        <is>
          <t>2023-09</t>
        </is>
      </c>
      <c r="C714" s="4" t="n">
        <v>1657</v>
      </c>
      <c r="D714" s="9" t="inlineStr">
        <is>
          <t>Determine if Two Strings Are Close</t>
        </is>
      </c>
      <c r="E714" s="4" t="inlineStr">
        <is>
          <t>Medium</t>
        </is>
      </c>
      <c r="F714" s="4" t="inlineStr">
        <is>
          <t>Arrays, Hashing &amp; Sorting</t>
        </is>
      </c>
      <c r="G714" s="4" t="inlineStr">
        <is>
          <t>Accepted</t>
        </is>
      </c>
      <c r="H714" s="4" t="inlineStr">
        <is>
          <t>C++</t>
        </is>
      </c>
      <c r="I714" s="4" t="inlineStr">
        <is>
          <t>111 ms</t>
        </is>
      </c>
      <c r="J714" s="4" t="inlineStr">
        <is>
          <t>21.1 MB</t>
        </is>
      </c>
      <c r="K714" s="4" t="n">
        <v>5</v>
      </c>
      <c r="L714" s="4" t="inlineStr">
        <is>
          <t>153/153</t>
        </is>
      </c>
      <c r="M714" s="9" t="inlineStr">
        <is>
          <t>Submission 1044146339</t>
        </is>
      </c>
      <c r="N714" s="4" t="inlineStr">
        <is>
          <t>Yes</t>
        </is>
      </c>
    </row>
    <row r="715">
      <c r="A715" s="11" t="n">
        <v>45178.00407407407</v>
      </c>
      <c r="B715" s="4" t="inlineStr">
        <is>
          <t>2023-09</t>
        </is>
      </c>
      <c r="C715" s="4" t="n">
        <v>1657</v>
      </c>
      <c r="D715" s="9" t="inlineStr">
        <is>
          <t>Determine if Two Strings Are Close</t>
        </is>
      </c>
      <c r="E715" s="4" t="inlineStr">
        <is>
          <t>Medium</t>
        </is>
      </c>
      <c r="F715" s="4" t="inlineStr">
        <is>
          <t>Arrays, Hashing &amp; Sorting</t>
        </is>
      </c>
      <c r="G715" s="4" t="inlineStr">
        <is>
          <t>Accepted</t>
        </is>
      </c>
      <c r="H715" s="4" t="inlineStr">
        <is>
          <t>C++</t>
        </is>
      </c>
      <c r="I715" s="4" t="inlineStr">
        <is>
          <t>115 ms</t>
        </is>
      </c>
      <c r="J715" s="4" t="inlineStr">
        <is>
          <t>21 MB</t>
        </is>
      </c>
      <c r="K715" s="4" t="n">
        <v>5</v>
      </c>
      <c r="L715" s="4" t="inlineStr">
        <is>
          <t>153/153</t>
        </is>
      </c>
      <c r="M715" s="9" t="inlineStr">
        <is>
          <t>Submission 1044153250</t>
        </is>
      </c>
      <c r="N715" s="4" t="inlineStr">
        <is>
          <t>Yes</t>
        </is>
      </c>
    </row>
    <row r="716">
      <c r="A716" s="11" t="n">
        <v>45178.01368055555</v>
      </c>
      <c r="B716" s="4" t="inlineStr">
        <is>
          <t>2023-09</t>
        </is>
      </c>
      <c r="C716" s="4" t="n">
        <v>2352</v>
      </c>
      <c r="D716" s="9" t="inlineStr">
        <is>
          <t>Equal Row and Column Pairs</t>
        </is>
      </c>
      <c r="E716" s="4" t="inlineStr">
        <is>
          <t>Medium</t>
        </is>
      </c>
      <c r="F716" s="4" t="inlineStr">
        <is>
          <t>Arrays, Hashing &amp; Sorting</t>
        </is>
      </c>
      <c r="G716" s="4" t="inlineStr">
        <is>
          <t>Accepted</t>
        </is>
      </c>
      <c r="H716" s="4" t="inlineStr">
        <is>
          <t>C++</t>
        </is>
      </c>
      <c r="I716" s="4" t="inlineStr">
        <is>
          <t>68 ms</t>
        </is>
      </c>
      <c r="J716" s="4" t="inlineStr">
        <is>
          <t>33.9 MB</t>
        </is>
      </c>
      <c r="K716" s="4" t="n">
        <v>34.8</v>
      </c>
      <c r="L716" s="4" t="inlineStr">
        <is>
          <t>78/78</t>
        </is>
      </c>
      <c r="M716" s="9" t="inlineStr">
        <is>
          <t>Submission 1044163612</t>
        </is>
      </c>
      <c r="N716" s="4" t="inlineStr">
        <is>
          <t>No</t>
        </is>
      </c>
    </row>
    <row r="717">
      <c r="A717" s="11" t="n">
        <v>45181.83721064815</v>
      </c>
      <c r="B717" s="4" t="inlineStr">
        <is>
          <t>2023-09</t>
        </is>
      </c>
      <c r="C717" s="4" t="n">
        <v>2390</v>
      </c>
      <c r="D717" s="9" t="inlineStr">
        <is>
          <t>Removing Stars From a String</t>
        </is>
      </c>
      <c r="E717" s="4" t="inlineStr">
        <is>
          <t>Medium</t>
        </is>
      </c>
      <c r="F717" s="4" t="inlineStr">
        <is>
          <t>Stack</t>
        </is>
      </c>
      <c r="G717" s="4" t="inlineStr">
        <is>
          <t>Memory Limit Exceeded</t>
        </is>
      </c>
      <c r="H717" s="4" t="inlineStr">
        <is>
          <t>C++</t>
        </is>
      </c>
      <c r="I717" s="4" t="inlineStr">
        <is>
          <t>N/A</t>
        </is>
      </c>
      <c r="J717" s="4" t="inlineStr">
        <is>
          <t>N/A</t>
        </is>
      </c>
      <c r="K717" s="4" t="n"/>
      <c r="L717" s="4" t="inlineStr">
        <is>
          <t>32/65</t>
        </is>
      </c>
      <c r="M717" s="9" t="inlineStr">
        <is>
          <t>Submission 1047528661</t>
        </is>
      </c>
      <c r="N717" s="4" t="inlineStr">
        <is>
          <t>No</t>
        </is>
      </c>
    </row>
    <row r="718">
      <c r="A718" s="11" t="n">
        <v>45181.84430555555</v>
      </c>
      <c r="B718" s="4" t="inlineStr">
        <is>
          <t>2023-09</t>
        </is>
      </c>
      <c r="C718" s="4" t="n">
        <v>2390</v>
      </c>
      <c r="D718" s="9" t="inlineStr">
        <is>
          <t>Removing Stars From a String</t>
        </is>
      </c>
      <c r="E718" s="4" t="inlineStr">
        <is>
          <t>Medium</t>
        </is>
      </c>
      <c r="F718" s="4" t="inlineStr">
        <is>
          <t>Stack</t>
        </is>
      </c>
      <c r="G718" s="4" t="inlineStr">
        <is>
          <t>Accepted</t>
        </is>
      </c>
      <c r="H718" s="4" t="inlineStr">
        <is>
          <t>C++</t>
        </is>
      </c>
      <c r="I718" s="4" t="inlineStr">
        <is>
          <t>84 ms</t>
        </is>
      </c>
      <c r="J718" s="4" t="inlineStr">
        <is>
          <t>26.9 MB</t>
        </is>
      </c>
      <c r="K718" s="4" t="n"/>
      <c r="L718" s="4" t="inlineStr"/>
      <c r="M718" s="9" t="inlineStr">
        <is>
          <t>Submission 1047537156</t>
        </is>
      </c>
      <c r="N718" s="4" t="inlineStr">
        <is>
          <t>No</t>
        </is>
      </c>
    </row>
    <row r="719">
      <c r="A719" s="11" t="n">
        <v>45181.85513888889</v>
      </c>
      <c r="B719" s="4" t="inlineStr">
        <is>
          <t>2023-09</t>
        </is>
      </c>
      <c r="C719" s="4" t="n">
        <v>735</v>
      </c>
      <c r="D719" s="9" t="inlineStr">
        <is>
          <t>Asteroid Collision</t>
        </is>
      </c>
      <c r="E719" s="4" t="inlineStr">
        <is>
          <t>Medium</t>
        </is>
      </c>
      <c r="F719" s="4" t="inlineStr">
        <is>
          <t>Stack</t>
        </is>
      </c>
      <c r="G719" s="4" t="inlineStr">
        <is>
          <t>Runtime Error</t>
        </is>
      </c>
      <c r="H719" s="4" t="inlineStr">
        <is>
          <t>C++</t>
        </is>
      </c>
      <c r="I719" s="4" t="inlineStr">
        <is>
          <t>N/A</t>
        </is>
      </c>
      <c r="J719" s="4" t="inlineStr">
        <is>
          <t>N/A</t>
        </is>
      </c>
      <c r="K719" s="4" t="n"/>
      <c r="L719" s="4" t="inlineStr">
        <is>
          <t>3/275</t>
        </is>
      </c>
      <c r="M719" s="9" t="inlineStr">
        <is>
          <t>Submission 1047550220</t>
        </is>
      </c>
      <c r="N719" s="4" t="inlineStr">
        <is>
          <t>No</t>
        </is>
      </c>
    </row>
    <row r="720">
      <c r="A720" s="11" t="n">
        <v>45181.8653125</v>
      </c>
      <c r="B720" s="4" t="inlineStr">
        <is>
          <t>2023-09</t>
        </is>
      </c>
      <c r="C720" s="4" t="n">
        <v>735</v>
      </c>
      <c r="D720" s="9" t="inlineStr">
        <is>
          <t>Asteroid Collision</t>
        </is>
      </c>
      <c r="E720" s="4" t="inlineStr">
        <is>
          <t>Medium</t>
        </is>
      </c>
      <c r="F720" s="4" t="inlineStr">
        <is>
          <t>Stack</t>
        </is>
      </c>
      <c r="G720" s="4" t="inlineStr">
        <is>
          <t>Accepted</t>
        </is>
      </c>
      <c r="H720" s="4" t="inlineStr">
        <is>
          <t>C++</t>
        </is>
      </c>
      <c r="I720" s="4" t="inlineStr">
        <is>
          <t>7 ms</t>
        </is>
      </c>
      <c r="J720" s="4" t="inlineStr">
        <is>
          <t>17.7 MB</t>
        </is>
      </c>
      <c r="K720" s="4" t="n">
        <v>5.5</v>
      </c>
      <c r="L720" s="4" t="inlineStr">
        <is>
          <t>275/275</t>
        </is>
      </c>
      <c r="M720" s="9" t="inlineStr">
        <is>
          <t>Submission 1047562175</t>
        </is>
      </c>
      <c r="N720" s="4" t="inlineStr">
        <is>
          <t>No</t>
        </is>
      </c>
    </row>
    <row r="721">
      <c r="A721" s="11" t="n">
        <v>45181.87101851852</v>
      </c>
      <c r="B721" s="4" t="inlineStr">
        <is>
          <t>2023-09</t>
        </is>
      </c>
      <c r="C721" s="4" t="n">
        <v>735</v>
      </c>
      <c r="D721" s="9" t="inlineStr">
        <is>
          <t>Asteroid Collision</t>
        </is>
      </c>
      <c r="E721" s="4" t="inlineStr">
        <is>
          <t>Medium</t>
        </is>
      </c>
      <c r="F721" s="4" t="inlineStr">
        <is>
          <t>Stack</t>
        </is>
      </c>
      <c r="G721" s="4" t="inlineStr">
        <is>
          <t>Accepted</t>
        </is>
      </c>
      <c r="H721" s="4" t="inlineStr">
        <is>
          <t>C++</t>
        </is>
      </c>
      <c r="I721" s="4" t="inlineStr">
        <is>
          <t>10 ms</t>
        </is>
      </c>
      <c r="J721" s="4" t="inlineStr">
        <is>
          <t>17.8 MB</t>
        </is>
      </c>
      <c r="K721" s="4" t="n">
        <v>5.5</v>
      </c>
      <c r="L721" s="4" t="inlineStr">
        <is>
          <t>275/275</t>
        </is>
      </c>
      <c r="M721" s="9" t="inlineStr">
        <is>
          <t>Submission 1047569035</t>
        </is>
      </c>
      <c r="N721" s="4" t="inlineStr">
        <is>
          <t>No</t>
        </is>
      </c>
    </row>
    <row r="722">
      <c r="A722" s="11" t="n">
        <v>45182.00825231482</v>
      </c>
      <c r="B722" s="4" t="inlineStr">
        <is>
          <t>2023-09</t>
        </is>
      </c>
      <c r="C722" s="4" t="n">
        <v>394</v>
      </c>
      <c r="D722" s="9" t="inlineStr">
        <is>
          <t>Decode String</t>
        </is>
      </c>
      <c r="E722" s="4" t="inlineStr">
        <is>
          <t>Medium</t>
        </is>
      </c>
      <c r="F722" s="4" t="inlineStr">
        <is>
          <t>Stack</t>
        </is>
      </c>
      <c r="G722" s="4" t="inlineStr">
        <is>
          <t>Wrong Answer</t>
        </is>
      </c>
      <c r="H722" s="4" t="inlineStr">
        <is>
          <t>C++</t>
        </is>
      </c>
      <c r="I722" s="4" t="inlineStr">
        <is>
          <t>N/A</t>
        </is>
      </c>
      <c r="J722" s="4" t="inlineStr">
        <is>
          <t>N/A</t>
        </is>
      </c>
      <c r="K722" s="4" t="n"/>
      <c r="L722" s="4" t="inlineStr">
        <is>
          <t>23/34</t>
        </is>
      </c>
      <c r="M722" s="9" t="inlineStr">
        <is>
          <t>Submission 1047747472</t>
        </is>
      </c>
      <c r="N722" s="4" t="inlineStr">
        <is>
          <t>No</t>
        </is>
      </c>
    </row>
    <row r="723">
      <c r="A723" s="11" t="n">
        <v>45182.00921296296</v>
      </c>
      <c r="B723" s="4" t="inlineStr">
        <is>
          <t>2023-09</t>
        </is>
      </c>
      <c r="C723" s="4" t="n">
        <v>394</v>
      </c>
      <c r="D723" s="9" t="inlineStr">
        <is>
          <t>Decode String</t>
        </is>
      </c>
      <c r="E723" s="4" t="inlineStr">
        <is>
          <t>Medium</t>
        </is>
      </c>
      <c r="F723" s="4" t="inlineStr">
        <is>
          <t>Stack</t>
        </is>
      </c>
      <c r="G723" s="4" t="inlineStr">
        <is>
          <t>Accepted</t>
        </is>
      </c>
      <c r="H723" s="4" t="inlineStr">
        <is>
          <t>C++</t>
        </is>
      </c>
      <c r="I723" s="4" t="inlineStr">
        <is>
          <t>6 ms</t>
        </is>
      </c>
      <c r="J723" s="4" t="inlineStr">
        <is>
          <t>11.1 MB</t>
        </is>
      </c>
      <c r="K723" s="4" t="n">
        <v>0.8</v>
      </c>
      <c r="L723" s="4" t="inlineStr">
        <is>
          <t>34/34</t>
        </is>
      </c>
      <c r="M723" s="9" t="inlineStr">
        <is>
          <t>Submission 1047748694</t>
        </is>
      </c>
      <c r="N723" s="4" t="inlineStr">
        <is>
          <t>No</t>
        </is>
      </c>
    </row>
    <row r="724">
      <c r="A724" s="11" t="n">
        <v>45182.02556712963</v>
      </c>
      <c r="B724" s="4" t="inlineStr">
        <is>
          <t>2023-09</t>
        </is>
      </c>
      <c r="C724" s="4" t="n">
        <v>933</v>
      </c>
      <c r="D724" s="9" t="inlineStr">
        <is>
          <t>Number of Recent Calls</t>
        </is>
      </c>
      <c r="E724" s="4" t="inlineStr">
        <is>
          <t>Easy</t>
        </is>
      </c>
      <c r="F724" s="4" t="inlineStr">
        <is>
          <t>Design</t>
        </is>
      </c>
      <c r="G724" s="4" t="inlineStr">
        <is>
          <t>Accepted</t>
        </is>
      </c>
      <c r="H724" s="4" t="inlineStr">
        <is>
          <t>C++</t>
        </is>
      </c>
      <c r="I724" s="4" t="inlineStr">
        <is>
          <t>134 ms</t>
        </is>
      </c>
      <c r="J724" s="4" t="inlineStr">
        <is>
          <t>57.3 MB</t>
        </is>
      </c>
      <c r="K724" s="4" t="n">
        <v>5.7</v>
      </c>
      <c r="L724" s="4" t="inlineStr">
        <is>
          <t>68/68</t>
        </is>
      </c>
      <c r="M724" s="9" t="inlineStr">
        <is>
          <t>Submission 1047767716</t>
        </is>
      </c>
      <c r="N724" s="4" t="inlineStr">
        <is>
          <t>No</t>
        </is>
      </c>
    </row>
    <row r="725">
      <c r="A725" s="11" t="n">
        <v>45213.35313657407</v>
      </c>
      <c r="B725" s="4" t="inlineStr">
        <is>
          <t>2023-10</t>
        </is>
      </c>
      <c r="C725" s="4" t="n">
        <v>127</v>
      </c>
      <c r="D725" s="9" t="inlineStr">
        <is>
          <t>Word Ladder</t>
        </is>
      </c>
      <c r="E725" s="4" t="inlineStr">
        <is>
          <t>Hard</t>
        </is>
      </c>
      <c r="F725" s="4" t="inlineStr">
        <is>
          <t>Graph: General BFS/DFS</t>
        </is>
      </c>
      <c r="G725" s="4" t="inlineStr">
        <is>
          <t>Accepted</t>
        </is>
      </c>
      <c r="H725" s="4" t="inlineStr">
        <is>
          <t>C++</t>
        </is>
      </c>
      <c r="I725" s="4" t="inlineStr">
        <is>
          <t>62 ms</t>
        </is>
      </c>
      <c r="J725" s="4" t="inlineStr">
        <is>
          <t>16 MB</t>
        </is>
      </c>
      <c r="K725" s="4" t="n">
        <v>47.9</v>
      </c>
      <c r="L725" s="4" t="inlineStr">
        <is>
          <t>51/51</t>
        </is>
      </c>
      <c r="M725" s="9" t="inlineStr">
        <is>
          <t>Submission 1074673446</t>
        </is>
      </c>
      <c r="N725" s="4" t="inlineStr">
        <is>
          <t>Yes</t>
        </is>
      </c>
    </row>
    <row r="726">
      <c r="A726" s="11" t="n">
        <v>45213.35627314815</v>
      </c>
      <c r="B726" s="4" t="inlineStr">
        <is>
          <t>2023-10</t>
        </is>
      </c>
      <c r="C726" s="4" t="n">
        <v>127</v>
      </c>
      <c r="D726" s="9" t="inlineStr">
        <is>
          <t>Word Ladder</t>
        </is>
      </c>
      <c r="E726" s="4" t="inlineStr">
        <is>
          <t>Hard</t>
        </is>
      </c>
      <c r="F726" s="4" t="inlineStr">
        <is>
          <t>Graph: General BFS/DFS</t>
        </is>
      </c>
      <c r="G726" s="4" t="inlineStr">
        <is>
          <t>Accepted</t>
        </is>
      </c>
      <c r="H726" s="4" t="inlineStr">
        <is>
          <t>C++</t>
        </is>
      </c>
      <c r="I726" s="4" t="inlineStr">
        <is>
          <t>69 ms</t>
        </is>
      </c>
      <c r="J726" s="4" t="inlineStr">
        <is>
          <t>17.4 MB</t>
        </is>
      </c>
      <c r="K726" s="4" t="n">
        <v>43.1</v>
      </c>
      <c r="L726" s="4" t="inlineStr">
        <is>
          <t>51/51</t>
        </is>
      </c>
      <c r="M726" s="9" t="inlineStr">
        <is>
          <t>Submission 1074675001</t>
        </is>
      </c>
      <c r="N726" s="4" t="inlineStr">
        <is>
          <t>Yes</t>
        </is>
      </c>
    </row>
    <row r="727">
      <c r="A727" s="11" t="n">
        <v>45213.36461805556</v>
      </c>
      <c r="B727" s="4" t="inlineStr">
        <is>
          <t>2023-10</t>
        </is>
      </c>
      <c r="C727" s="4" t="n">
        <v>126</v>
      </c>
      <c r="D727" s="9" t="inlineStr">
        <is>
          <t>Word Ladder II</t>
        </is>
      </c>
      <c r="E727" s="4" t="inlineStr">
        <is>
          <t>Hard</t>
        </is>
      </c>
      <c r="F727" s="4" t="inlineStr">
        <is>
          <t>Graph: General BFS/DFS</t>
        </is>
      </c>
      <c r="G727" s="4" t="inlineStr">
        <is>
          <t>Memory Limit Exceeded</t>
        </is>
      </c>
      <c r="H727" s="4" t="inlineStr">
        <is>
          <t>C++</t>
        </is>
      </c>
      <c r="I727" s="4" t="inlineStr">
        <is>
          <t>N/A</t>
        </is>
      </c>
      <c r="J727" s="4" t="inlineStr">
        <is>
          <t>N/A</t>
        </is>
      </c>
      <c r="K727" s="4" t="n"/>
      <c r="L727" s="4" t="inlineStr">
        <is>
          <t>32/36</t>
        </is>
      </c>
      <c r="M727" s="9" t="inlineStr">
        <is>
          <t>Submission 1074679202</t>
        </is>
      </c>
      <c r="N727" s="4" t="inlineStr">
        <is>
          <t>Yes</t>
        </is>
      </c>
    </row>
    <row r="728">
      <c r="A728" s="11" t="n">
        <v>45213.37184027778</v>
      </c>
      <c r="B728" s="4" t="inlineStr">
        <is>
          <t>2023-10</t>
        </is>
      </c>
      <c r="C728" s="4" t="n">
        <v>126</v>
      </c>
      <c r="D728" s="9" t="inlineStr">
        <is>
          <t>Word Ladder II</t>
        </is>
      </c>
      <c r="E728" s="4" t="inlineStr">
        <is>
          <t>Hard</t>
        </is>
      </c>
      <c r="F728" s="4" t="inlineStr">
        <is>
          <t>Graph: General BFS/DFS</t>
        </is>
      </c>
      <c r="G728" s="4" t="inlineStr">
        <is>
          <t>Accepted</t>
        </is>
      </c>
      <c r="H728" s="4" t="inlineStr">
        <is>
          <t>C++</t>
        </is>
      </c>
      <c r="I728" s="4" t="inlineStr">
        <is>
          <t>54 ms</t>
        </is>
      </c>
      <c r="J728" s="4" t="inlineStr">
        <is>
          <t>11.3 MB</t>
        </is>
      </c>
      <c r="K728" s="4" t="n">
        <v>5</v>
      </c>
      <c r="L728" s="4" t="inlineStr">
        <is>
          <t>36/36</t>
        </is>
      </c>
      <c r="M728" s="9" t="inlineStr">
        <is>
          <t>Submission 1074682758</t>
        </is>
      </c>
      <c r="N728" s="4" t="inlineStr">
        <is>
          <t>Yes</t>
        </is>
      </c>
    </row>
    <row r="729">
      <c r="A729" s="11" t="n">
        <v>45213.37236111111</v>
      </c>
      <c r="B729" s="4" t="inlineStr">
        <is>
          <t>2023-10</t>
        </is>
      </c>
      <c r="C729" s="4" t="n">
        <v>126</v>
      </c>
      <c r="D729" s="9" t="inlineStr">
        <is>
          <t>Word Ladder II</t>
        </is>
      </c>
      <c r="E729" s="4" t="inlineStr">
        <is>
          <t>Hard</t>
        </is>
      </c>
      <c r="F729" s="4" t="inlineStr">
        <is>
          <t>Graph: General BFS/DFS</t>
        </is>
      </c>
      <c r="G729" s="4" t="inlineStr">
        <is>
          <t>Accepted</t>
        </is>
      </c>
      <c r="H729" s="4" t="inlineStr">
        <is>
          <t>C++</t>
        </is>
      </c>
      <c r="I729" s="4" t="inlineStr">
        <is>
          <t>46 ms</t>
        </is>
      </c>
      <c r="J729" s="4" t="inlineStr">
        <is>
          <t>10.9 MB</t>
        </is>
      </c>
      <c r="K729" s="4" t="n">
        <v>5</v>
      </c>
      <c r="L729" s="4" t="inlineStr">
        <is>
          <t>36/36</t>
        </is>
      </c>
      <c r="M729" s="9" t="inlineStr">
        <is>
          <t>Submission 1074683017</t>
        </is>
      </c>
      <c r="N729" s="4" t="inlineStr">
        <is>
          <t>Yes</t>
        </is>
      </c>
    </row>
    <row r="730">
      <c r="A730" s="11" t="n">
        <v>45213.37482638889</v>
      </c>
      <c r="B730" s="4" t="inlineStr">
        <is>
          <t>2023-10</t>
        </is>
      </c>
      <c r="C730" s="4" t="n">
        <v>126</v>
      </c>
      <c r="D730" s="9" t="inlineStr">
        <is>
          <t>Word Ladder II</t>
        </is>
      </c>
      <c r="E730" s="4" t="inlineStr">
        <is>
          <t>Hard</t>
        </is>
      </c>
      <c r="F730" s="4" t="inlineStr">
        <is>
          <t>Graph: General BFS/DFS</t>
        </is>
      </c>
      <c r="G730" s="4" t="inlineStr">
        <is>
          <t>Accepted</t>
        </is>
      </c>
      <c r="H730" s="4" t="inlineStr">
        <is>
          <t>C++</t>
        </is>
      </c>
      <c r="I730" s="4" t="inlineStr">
        <is>
          <t>45 ms</t>
        </is>
      </c>
      <c r="J730" s="4" t="inlineStr">
        <is>
          <t>11 MB</t>
        </is>
      </c>
      <c r="K730" s="4" t="n">
        <v>5</v>
      </c>
      <c r="L730" s="4" t="inlineStr">
        <is>
          <t>36/36</t>
        </is>
      </c>
      <c r="M730" s="9" t="inlineStr">
        <is>
          <t>Submission 1074684278</t>
        </is>
      </c>
      <c r="N730" s="4" t="inlineStr">
        <is>
          <t>Yes</t>
        </is>
      </c>
    </row>
    <row r="731">
      <c r="A731" s="11" t="n">
        <v>45217.59707175926</v>
      </c>
      <c r="B731" s="4" t="inlineStr">
        <is>
          <t>2023-10</t>
        </is>
      </c>
      <c r="C731" s="4" t="n">
        <v>694</v>
      </c>
      <c r="D731" s="9" t="inlineStr">
        <is>
          <t>Number of Distinct Islands</t>
        </is>
      </c>
      <c r="E731" s="4" t="inlineStr">
        <is>
          <t>Medium</t>
        </is>
      </c>
      <c r="F731" s="4" t="inlineStr">
        <is>
          <t>Graph: Grid BFS/DFS</t>
        </is>
      </c>
      <c r="G731" s="4" t="inlineStr">
        <is>
          <t>Accepted</t>
        </is>
      </c>
      <c r="H731" s="4" t="inlineStr">
        <is>
          <t>C++</t>
        </is>
      </c>
      <c r="I731" s="4" t="inlineStr">
        <is>
          <t>53 ms</t>
        </is>
      </c>
      <c r="J731" s="4" t="inlineStr">
        <is>
          <t>37.1 MB</t>
        </is>
      </c>
      <c r="K731" s="4" t="n">
        <v>11.7</v>
      </c>
      <c r="L731" s="4" t="inlineStr">
        <is>
          <t>759/759</t>
        </is>
      </c>
      <c r="M731" s="9" t="inlineStr">
        <is>
          <t>Submission 1078223567</t>
        </is>
      </c>
      <c r="N731" s="4" t="inlineStr">
        <is>
          <t>Yes</t>
        </is>
      </c>
    </row>
    <row r="732">
      <c r="A732" s="11" t="n">
        <v>45218.75413194444</v>
      </c>
      <c r="B732" s="4" t="inlineStr">
        <is>
          <t>2023-10</t>
        </is>
      </c>
      <c r="C732" s="4" t="n">
        <v>124</v>
      </c>
      <c r="D732" s="9" t="inlineStr">
        <is>
          <t>Binary Tree Maximum Path Sum</t>
        </is>
      </c>
      <c r="E732" s="4" t="inlineStr">
        <is>
          <t>Hard</t>
        </is>
      </c>
      <c r="F732" s="4" t="inlineStr">
        <is>
          <t>DP: On Trees</t>
        </is>
      </c>
      <c r="G732" s="4" t="inlineStr">
        <is>
          <t>Accepted</t>
        </is>
      </c>
      <c r="H732" s="4" t="inlineStr">
        <is>
          <t>C++</t>
        </is>
      </c>
      <c r="I732" s="4" t="inlineStr">
        <is>
          <t>21 ms</t>
        </is>
      </c>
      <c r="J732" s="4" t="inlineStr">
        <is>
          <t>28 MB</t>
        </is>
      </c>
      <c r="K732" s="4" t="n">
        <v>3.9</v>
      </c>
      <c r="L732" s="4" t="inlineStr">
        <is>
          <t>95/95</t>
        </is>
      </c>
      <c r="M732" s="9" t="inlineStr">
        <is>
          <t>Submission 1079157157</t>
        </is>
      </c>
      <c r="N732" s="4" t="inlineStr">
        <is>
          <t>Yes</t>
        </is>
      </c>
    </row>
    <row r="733">
      <c r="A733" s="11" t="n">
        <v>45218.85868055555</v>
      </c>
      <c r="B733" s="4" t="inlineStr">
        <is>
          <t>2023-10</t>
        </is>
      </c>
      <c r="C733" s="4" t="n">
        <v>1</v>
      </c>
      <c r="D733" s="9" t="inlineStr">
        <is>
          <t>Two Sum</t>
        </is>
      </c>
      <c r="E733" s="4" t="inlineStr">
        <is>
          <t>Easy</t>
        </is>
      </c>
      <c r="F733" s="4" t="inlineStr">
        <is>
          <t>Arrays, Hashing &amp; Sorting</t>
        </is>
      </c>
      <c r="G733" s="4" t="inlineStr">
        <is>
          <t>Accepted</t>
        </is>
      </c>
      <c r="H733" s="4" t="inlineStr">
        <is>
          <t>C++</t>
        </is>
      </c>
      <c r="I733" s="4" t="inlineStr">
        <is>
          <t>14 ms</t>
        </is>
      </c>
      <c r="J733" s="4" t="inlineStr">
        <is>
          <t>11.4 MB</t>
        </is>
      </c>
      <c r="K733" s="4" t="n">
        <v>39.3</v>
      </c>
      <c r="L733" s="4" t="inlineStr">
        <is>
          <t>60/60</t>
        </is>
      </c>
      <c r="M733" s="9" t="inlineStr">
        <is>
          <t>Submission 1079247546</t>
        </is>
      </c>
      <c r="N733" s="4" t="inlineStr">
        <is>
          <t>Yes</t>
        </is>
      </c>
    </row>
    <row r="734">
      <c r="A734" s="11" t="n">
        <v>45219.84195601852</v>
      </c>
      <c r="B734" s="4" t="inlineStr">
        <is>
          <t>2023-10</t>
        </is>
      </c>
      <c r="C734" s="4" t="n">
        <v>269</v>
      </c>
      <c r="D734" s="9" t="inlineStr">
        <is>
          <t>Alien Dictionary</t>
        </is>
      </c>
      <c r="E734" s="4" t="inlineStr">
        <is>
          <t>Hard</t>
        </is>
      </c>
      <c r="F734" s="4" t="inlineStr">
        <is>
          <t>Graph: Topological Sort</t>
        </is>
      </c>
      <c r="G734" s="4" t="inlineStr">
        <is>
          <t>Wrong Answer</t>
        </is>
      </c>
      <c r="H734" s="4" t="inlineStr">
        <is>
          <t>C++</t>
        </is>
      </c>
      <c r="I734" s="4" t="inlineStr">
        <is>
          <t>N/A</t>
        </is>
      </c>
      <c r="J734" s="4" t="inlineStr">
        <is>
          <t>N/A</t>
        </is>
      </c>
      <c r="K734" s="4" t="n"/>
      <c r="L734" s="4" t="inlineStr">
        <is>
          <t>81/127</t>
        </is>
      </c>
      <c r="M734" s="9" t="inlineStr">
        <is>
          <t>Submission 1079969864</t>
        </is>
      </c>
      <c r="N734" s="4" t="inlineStr">
        <is>
          <t>Yes</t>
        </is>
      </c>
    </row>
    <row r="735">
      <c r="A735" s="11" t="n">
        <v>45219.84694444444</v>
      </c>
      <c r="B735" s="4" t="inlineStr">
        <is>
          <t>2023-10</t>
        </is>
      </c>
      <c r="C735" s="4" t="n">
        <v>269</v>
      </c>
      <c r="D735" s="9" t="inlineStr">
        <is>
          <t>Alien Dictionary</t>
        </is>
      </c>
      <c r="E735" s="4" t="inlineStr">
        <is>
          <t>Hard</t>
        </is>
      </c>
      <c r="F735" s="4" t="inlineStr">
        <is>
          <t>Graph: Topological Sort</t>
        </is>
      </c>
      <c r="G735" s="4" t="inlineStr">
        <is>
          <t>Wrong Answer</t>
        </is>
      </c>
      <c r="H735" s="4" t="inlineStr">
        <is>
          <t>C++</t>
        </is>
      </c>
      <c r="I735" s="4" t="inlineStr">
        <is>
          <t>N/A</t>
        </is>
      </c>
      <c r="J735" s="4" t="inlineStr">
        <is>
          <t>N/A</t>
        </is>
      </c>
      <c r="K735" s="4" t="n"/>
      <c r="L735" s="4" t="inlineStr">
        <is>
          <t>84/127</t>
        </is>
      </c>
      <c r="M735" s="9" t="inlineStr">
        <is>
          <t>Submission 1079974102</t>
        </is>
      </c>
      <c r="N735" s="4" t="inlineStr">
        <is>
          <t>Yes</t>
        </is>
      </c>
    </row>
    <row r="736">
      <c r="A736" s="11" t="n">
        <v>45219.91481481482</v>
      </c>
      <c r="B736" s="4" t="inlineStr">
        <is>
          <t>2023-10</t>
        </is>
      </c>
      <c r="C736" s="4" t="n">
        <v>269</v>
      </c>
      <c r="D736" s="9" t="inlineStr">
        <is>
          <t>Alien Dictionary</t>
        </is>
      </c>
      <c r="E736" s="4" t="inlineStr">
        <is>
          <t>Hard</t>
        </is>
      </c>
      <c r="F736" s="4" t="inlineStr">
        <is>
          <t>Graph: Topological Sort</t>
        </is>
      </c>
      <c r="G736" s="4" t="inlineStr">
        <is>
          <t>Wrong Answer</t>
        </is>
      </c>
      <c r="H736" s="4" t="inlineStr">
        <is>
          <t>C++</t>
        </is>
      </c>
      <c r="I736" s="4" t="inlineStr">
        <is>
          <t>N/A</t>
        </is>
      </c>
      <c r="J736" s="4" t="inlineStr">
        <is>
          <t>N/A</t>
        </is>
      </c>
      <c r="K736" s="4" t="n"/>
      <c r="L736" s="4" t="inlineStr">
        <is>
          <t>125/127</t>
        </is>
      </c>
      <c r="M736" s="9" t="inlineStr">
        <is>
          <t>Submission 1080029994</t>
        </is>
      </c>
      <c r="N736" s="4" t="inlineStr">
        <is>
          <t>Yes</t>
        </is>
      </c>
    </row>
    <row r="737">
      <c r="A737" s="11" t="n">
        <v>45219.91739583333</v>
      </c>
      <c r="B737" s="4" t="inlineStr">
        <is>
          <t>2023-10</t>
        </is>
      </c>
      <c r="C737" s="4" t="n">
        <v>269</v>
      </c>
      <c r="D737" s="9" t="inlineStr">
        <is>
          <t>Alien Dictionary</t>
        </is>
      </c>
      <c r="E737" s="4" t="inlineStr">
        <is>
          <t>Hard</t>
        </is>
      </c>
      <c r="F737" s="4" t="inlineStr">
        <is>
          <t>Graph: Topological Sort</t>
        </is>
      </c>
      <c r="G737" s="4" t="inlineStr">
        <is>
          <t>Accepted</t>
        </is>
      </c>
      <c r="H737" s="4" t="inlineStr">
        <is>
          <t>C++</t>
        </is>
      </c>
      <c r="I737" s="4" t="inlineStr">
        <is>
          <t>6 ms</t>
        </is>
      </c>
      <c r="J737" s="4" t="inlineStr">
        <is>
          <t>9.7 MB</t>
        </is>
      </c>
      <c r="K737" s="4" t="n">
        <v>8.199999999999999</v>
      </c>
      <c r="L737" s="4" t="inlineStr">
        <is>
          <t>127/127</t>
        </is>
      </c>
      <c r="M737" s="9" t="inlineStr">
        <is>
          <t>Submission 1080032283</t>
        </is>
      </c>
      <c r="N737" s="4" t="inlineStr">
        <is>
          <t>Yes</t>
        </is>
      </c>
    </row>
    <row r="738">
      <c r="A738" s="11" t="n">
        <v>45239.16671296296</v>
      </c>
      <c r="B738" s="4" t="inlineStr">
        <is>
          <t>2023-11</t>
        </is>
      </c>
      <c r="C738" s="4" t="n">
        <v>408</v>
      </c>
      <c r="D738" s="9" t="inlineStr">
        <is>
          <t>Valid Word Abbreviation</t>
        </is>
      </c>
      <c r="E738" s="4" t="inlineStr">
        <is>
          <t>Easy</t>
        </is>
      </c>
      <c r="F738" s="4" t="inlineStr">
        <is>
          <t>Two Pointers</t>
        </is>
      </c>
      <c r="G738" s="4" t="inlineStr">
        <is>
          <t>Accepted</t>
        </is>
      </c>
      <c r="H738" s="4" t="inlineStr">
        <is>
          <t>Python3</t>
        </is>
      </c>
      <c r="I738" s="4" t="inlineStr">
        <is>
          <t>35 ms</t>
        </is>
      </c>
      <c r="J738" s="4" t="inlineStr">
        <is>
          <t>16.5 MB</t>
        </is>
      </c>
      <c r="K738" s="4" t="n">
        <v>0.4</v>
      </c>
      <c r="L738" s="4" t="inlineStr">
        <is>
          <t>323/323</t>
        </is>
      </c>
      <c r="M738" s="9" t="inlineStr">
        <is>
          <t>Submission 1094782340</t>
        </is>
      </c>
      <c r="N738" s="4" t="inlineStr">
        <is>
          <t>No</t>
        </is>
      </c>
    </row>
    <row r="739">
      <c r="A739" s="11" t="n">
        <v>45240.22956018519</v>
      </c>
      <c r="B739" s="4" t="inlineStr">
        <is>
          <t>2023-11</t>
        </is>
      </c>
      <c r="C739" s="4" t="n">
        <v>339</v>
      </c>
      <c r="D739" s="9" t="inlineStr">
        <is>
          <t>Nested List Weight Sum</t>
        </is>
      </c>
      <c r="E739" s="4" t="inlineStr">
        <is>
          <t>Medium</t>
        </is>
      </c>
      <c r="F739" s="4" t="inlineStr">
        <is>
          <t>Binary Tree (DFS &amp; Recursion)</t>
        </is>
      </c>
      <c r="G739" s="4" t="inlineStr">
        <is>
          <t>Runtime Error</t>
        </is>
      </c>
      <c r="H739" s="4" t="inlineStr">
        <is>
          <t>Python3</t>
        </is>
      </c>
      <c r="I739" s="4" t="inlineStr">
        <is>
          <t>N/A</t>
        </is>
      </c>
      <c r="J739" s="4" t="inlineStr">
        <is>
          <t>N/A</t>
        </is>
      </c>
      <c r="K739" s="4" t="n"/>
      <c r="L739" s="4" t="inlineStr">
        <is>
          <t>0/25</t>
        </is>
      </c>
      <c r="M739" s="9" t="inlineStr">
        <is>
          <t>Submission 1095575429</t>
        </is>
      </c>
      <c r="N739" s="4" t="inlineStr">
        <is>
          <t>No</t>
        </is>
      </c>
    </row>
    <row r="740">
      <c r="A740" s="11" t="n">
        <v>45242.98887731481</v>
      </c>
      <c r="B740" s="4" t="inlineStr">
        <is>
          <t>2023-11</t>
        </is>
      </c>
      <c r="C740" s="4" t="n">
        <v>827</v>
      </c>
      <c r="D740" s="9" t="inlineStr">
        <is>
          <t>Making A Large Island</t>
        </is>
      </c>
      <c r="E740" s="4" t="inlineStr">
        <is>
          <t>Hard</t>
        </is>
      </c>
      <c r="F740" s="4" t="inlineStr">
        <is>
          <t>Graph: Grid BFS/DFS</t>
        </is>
      </c>
      <c r="G740" s="4" t="inlineStr">
        <is>
          <t>Time Limit Exceeded</t>
        </is>
      </c>
      <c r="H740" s="4" t="inlineStr">
        <is>
          <t>Python3</t>
        </is>
      </c>
      <c r="I740" s="4" t="inlineStr">
        <is>
          <t>N/A</t>
        </is>
      </c>
      <c r="J740" s="4" t="inlineStr">
        <is>
          <t>N/A</t>
        </is>
      </c>
      <c r="K740" s="4" t="n"/>
      <c r="L740" s="4" t="inlineStr">
        <is>
          <t>70/75</t>
        </is>
      </c>
      <c r="M740" s="9" t="inlineStr">
        <is>
          <t>Submission 1097380291</t>
        </is>
      </c>
      <c r="N740" s="4" t="inlineStr">
        <is>
          <t>No</t>
        </is>
      </c>
    </row>
    <row r="741">
      <c r="A741" s="11" t="n">
        <v>45243.02548611111</v>
      </c>
      <c r="B741" s="4" t="inlineStr">
        <is>
          <t>2023-11</t>
        </is>
      </c>
      <c r="C741" s="4" t="n">
        <v>827</v>
      </c>
      <c r="D741" s="9" t="inlineStr">
        <is>
          <t>Making A Large Island</t>
        </is>
      </c>
      <c r="E741" s="4" t="inlineStr">
        <is>
          <t>Hard</t>
        </is>
      </c>
      <c r="F741" s="4" t="inlineStr">
        <is>
          <t>Graph: Grid BFS/DFS</t>
        </is>
      </c>
      <c r="G741" s="4" t="inlineStr">
        <is>
          <t>Runtime Error</t>
        </is>
      </c>
      <c r="H741" s="4" t="inlineStr">
        <is>
          <t>Python3</t>
        </is>
      </c>
      <c r="I741" s="4" t="inlineStr">
        <is>
          <t>N/A</t>
        </is>
      </c>
      <c r="J741" s="4" t="inlineStr">
        <is>
          <t>N/A</t>
        </is>
      </c>
      <c r="K741" s="4" t="n"/>
      <c r="L741" s="4" t="inlineStr">
        <is>
          <t>3/75</t>
        </is>
      </c>
      <c r="M741" s="9" t="inlineStr">
        <is>
          <t>Submission 1097406476</t>
        </is>
      </c>
      <c r="N741" s="4" t="inlineStr">
        <is>
          <t>No</t>
        </is>
      </c>
    </row>
    <row r="742">
      <c r="A742" s="11" t="n">
        <v>45243.02572916666</v>
      </c>
      <c r="B742" s="4" t="inlineStr">
        <is>
          <t>2023-11</t>
        </is>
      </c>
      <c r="C742" s="4" t="n">
        <v>827</v>
      </c>
      <c r="D742" s="9" t="inlineStr">
        <is>
          <t>Making A Large Island</t>
        </is>
      </c>
      <c r="E742" s="4" t="inlineStr">
        <is>
          <t>Hard</t>
        </is>
      </c>
      <c r="F742" s="4" t="inlineStr">
        <is>
          <t>Graph: Grid BFS/DFS</t>
        </is>
      </c>
      <c r="G742" s="4" t="inlineStr">
        <is>
          <t>Runtime Error</t>
        </is>
      </c>
      <c r="H742" s="4" t="inlineStr">
        <is>
          <t>Python3</t>
        </is>
      </c>
      <c r="I742" s="4" t="inlineStr">
        <is>
          <t>N/A</t>
        </is>
      </c>
      <c r="J742" s="4" t="inlineStr">
        <is>
          <t>N/A</t>
        </is>
      </c>
      <c r="K742" s="4" t="n"/>
      <c r="L742" s="4" t="inlineStr">
        <is>
          <t>3/75</t>
        </is>
      </c>
      <c r="M742" s="9" t="inlineStr">
        <is>
          <t>Submission 1097406644</t>
        </is>
      </c>
      <c r="N742" s="4" t="inlineStr">
        <is>
          <t>No</t>
        </is>
      </c>
    </row>
    <row r="743">
      <c r="A743" s="11" t="n">
        <v>45243.02622685185</v>
      </c>
      <c r="B743" s="4" t="inlineStr">
        <is>
          <t>2023-11</t>
        </is>
      </c>
      <c r="C743" s="4" t="n">
        <v>827</v>
      </c>
      <c r="D743" s="9" t="inlineStr">
        <is>
          <t>Making A Large Island</t>
        </is>
      </c>
      <c r="E743" s="4" t="inlineStr">
        <is>
          <t>Hard</t>
        </is>
      </c>
      <c r="F743" s="4" t="inlineStr">
        <is>
          <t>Graph: Grid BFS/DFS</t>
        </is>
      </c>
      <c r="G743" s="4" t="inlineStr">
        <is>
          <t>Accepted</t>
        </is>
      </c>
      <c r="H743" s="4" t="inlineStr">
        <is>
          <t>Python3</t>
        </is>
      </c>
      <c r="I743" s="4" t="inlineStr">
        <is>
          <t>2828 ms</t>
        </is>
      </c>
      <c r="J743" s="4" t="inlineStr">
        <is>
          <t>28.5 MB</t>
        </is>
      </c>
      <c r="K743" s="4" t="n">
        <v>5</v>
      </c>
      <c r="L743" s="4" t="inlineStr">
        <is>
          <t>75/75</t>
        </is>
      </c>
      <c r="M743" s="9" t="inlineStr">
        <is>
          <t>Submission 1097406988</t>
        </is>
      </c>
      <c r="N743" s="4" t="inlineStr">
        <is>
          <t>No</t>
        </is>
      </c>
    </row>
    <row r="744">
      <c r="A744" s="11" t="n">
        <v>45243.03887731482</v>
      </c>
      <c r="B744" s="4" t="inlineStr">
        <is>
          <t>2023-11</t>
        </is>
      </c>
      <c r="C744" s="4" t="n">
        <v>921</v>
      </c>
      <c r="D744" s="9" t="inlineStr">
        <is>
          <t>Minimum Add to Make Parentheses Valid</t>
        </is>
      </c>
      <c r="E744" s="4" t="inlineStr">
        <is>
          <t>Medium</t>
        </is>
      </c>
      <c r="F744" s="4" t="inlineStr">
        <is>
          <t>Greedy</t>
        </is>
      </c>
      <c r="G744" s="4" t="inlineStr">
        <is>
          <t>Accepted</t>
        </is>
      </c>
      <c r="H744" s="4" t="inlineStr">
        <is>
          <t>Python3</t>
        </is>
      </c>
      <c r="I744" s="4" t="inlineStr">
        <is>
          <t>49 ms</t>
        </is>
      </c>
      <c r="J744" s="4" t="inlineStr">
        <is>
          <t>16.2 MB</t>
        </is>
      </c>
      <c r="K744" s="4" t="n">
        <v>0.6</v>
      </c>
      <c r="L744" s="4" t="inlineStr">
        <is>
          <t>115/115</t>
        </is>
      </c>
      <c r="M744" s="9" t="inlineStr">
        <is>
          <t>Submission 1097415373</t>
        </is>
      </c>
      <c r="N744" s="4" t="inlineStr">
        <is>
          <t>No</t>
        </is>
      </c>
    </row>
    <row r="745">
      <c r="A745" s="11" t="n">
        <v>45243.039375</v>
      </c>
      <c r="B745" s="4" t="inlineStr">
        <is>
          <t>2023-11</t>
        </is>
      </c>
      <c r="C745" s="4" t="n">
        <v>921</v>
      </c>
      <c r="D745" s="9" t="inlineStr">
        <is>
          <t>Minimum Add to Make Parentheses Valid</t>
        </is>
      </c>
      <c r="E745" s="4" t="inlineStr">
        <is>
          <t>Medium</t>
        </is>
      </c>
      <c r="F745" s="4" t="inlineStr">
        <is>
          <t>Greedy</t>
        </is>
      </c>
      <c r="G745" s="4" t="inlineStr">
        <is>
          <t>Accepted</t>
        </is>
      </c>
      <c r="H745" s="4" t="inlineStr">
        <is>
          <t>Python3</t>
        </is>
      </c>
      <c r="I745" s="4" t="inlineStr">
        <is>
          <t>43 ms</t>
        </is>
      </c>
      <c r="J745" s="4" t="inlineStr">
        <is>
          <t>16.1 MB</t>
        </is>
      </c>
      <c r="K745" s="4" t="n">
        <v>0.6</v>
      </c>
      <c r="L745" s="4" t="inlineStr">
        <is>
          <t>115/115</t>
        </is>
      </c>
      <c r="M745" s="9" t="inlineStr">
        <is>
          <t>Submission 1097415671</t>
        </is>
      </c>
      <c r="N745" s="4" t="inlineStr">
        <is>
          <t>No</t>
        </is>
      </c>
    </row>
    <row r="746">
      <c r="A746" s="11" t="n">
        <v>45243.12809027778</v>
      </c>
      <c r="B746" s="4" t="inlineStr">
        <is>
          <t>2023-11</t>
        </is>
      </c>
      <c r="C746" s="4" t="n">
        <v>973</v>
      </c>
      <c r="D746" s="9" t="inlineStr">
        <is>
          <t>K Closest Points to Origin</t>
        </is>
      </c>
      <c r="E746" s="4" t="inlineStr">
        <is>
          <t>Medium</t>
        </is>
      </c>
      <c r="F746" s="4" t="inlineStr">
        <is>
          <t>Heap / Top-K</t>
        </is>
      </c>
      <c r="G746" s="4" t="inlineStr">
        <is>
          <t>Accepted</t>
        </is>
      </c>
      <c r="H746" s="4" t="inlineStr">
        <is>
          <t>Python3</t>
        </is>
      </c>
      <c r="I746" s="4" t="inlineStr">
        <is>
          <t>694 ms</t>
        </is>
      </c>
      <c r="J746" s="4" t="inlineStr">
        <is>
          <t>22.1 MB</t>
        </is>
      </c>
      <c r="K746" s="4" t="n">
        <v>5</v>
      </c>
      <c r="L746" s="4" t="inlineStr">
        <is>
          <t>87/87</t>
        </is>
      </c>
      <c r="M746" s="9" t="inlineStr">
        <is>
          <t>Submission 1097473741</t>
        </is>
      </c>
      <c r="N746" s="4" t="inlineStr">
        <is>
          <t>Yes</t>
        </is>
      </c>
    </row>
    <row r="747">
      <c r="A747" s="11" t="n">
        <v>45243.16241898148</v>
      </c>
      <c r="B747" s="4" t="inlineStr">
        <is>
          <t>2023-11</t>
        </is>
      </c>
      <c r="C747" s="4" t="n">
        <v>973</v>
      </c>
      <c r="D747" s="9" t="inlineStr">
        <is>
          <t>K Closest Points to Origin</t>
        </is>
      </c>
      <c r="E747" s="4" t="inlineStr">
        <is>
          <t>Medium</t>
        </is>
      </c>
      <c r="F747" s="4" t="inlineStr">
        <is>
          <t>Heap / Top-K</t>
        </is>
      </c>
      <c r="G747" s="4" t="inlineStr">
        <is>
          <t>Runtime Error</t>
        </is>
      </c>
      <c r="H747" s="4" t="inlineStr">
        <is>
          <t>Python3</t>
        </is>
      </c>
      <c r="I747" s="4" t="inlineStr">
        <is>
          <t>N/A</t>
        </is>
      </c>
      <c r="J747" s="4" t="inlineStr">
        <is>
          <t>N/A</t>
        </is>
      </c>
      <c r="K747" s="4" t="n"/>
      <c r="L747" s="4" t="inlineStr">
        <is>
          <t>0/87</t>
        </is>
      </c>
      <c r="M747" s="9" t="inlineStr">
        <is>
          <t>Submission 1097493384</t>
        </is>
      </c>
      <c r="N747" s="4" t="inlineStr">
        <is>
          <t>Yes</t>
        </is>
      </c>
    </row>
    <row r="748">
      <c r="A748" s="11" t="n">
        <v>45243.92585648148</v>
      </c>
      <c r="B748" s="4" t="inlineStr">
        <is>
          <t>2023-11</t>
        </is>
      </c>
      <c r="C748" s="4" t="n">
        <v>129</v>
      </c>
      <c r="D748" s="9" t="inlineStr">
        <is>
          <t>Sum Root to Leaf Numbers</t>
        </is>
      </c>
      <c r="E748" s="4" t="inlineStr">
        <is>
          <t>Medium</t>
        </is>
      </c>
      <c r="F748" s="4" t="inlineStr">
        <is>
          <t>Binary Tree (DFS &amp; Recursion)</t>
        </is>
      </c>
      <c r="G748" s="4" t="inlineStr">
        <is>
          <t>Runtime Error</t>
        </is>
      </c>
      <c r="H748" s="4" t="inlineStr">
        <is>
          <t>Python3</t>
        </is>
      </c>
      <c r="I748" s="4" t="inlineStr">
        <is>
          <t>N/A</t>
        </is>
      </c>
      <c r="J748" s="4" t="inlineStr">
        <is>
          <t>N/A</t>
        </is>
      </c>
      <c r="K748" s="4" t="n"/>
      <c r="L748" s="4" t="inlineStr">
        <is>
          <t>0/108</t>
        </is>
      </c>
      <c r="M748" s="9" t="inlineStr">
        <is>
          <t>Submission 1098027197</t>
        </is>
      </c>
      <c r="N748" s="4" t="inlineStr">
        <is>
          <t>Yes</t>
        </is>
      </c>
    </row>
    <row r="749">
      <c r="A749" s="11" t="n">
        <v>45243.9615162037</v>
      </c>
      <c r="B749" s="4" t="inlineStr">
        <is>
          <t>2023-11</t>
        </is>
      </c>
      <c r="C749" s="4" t="n">
        <v>704</v>
      </c>
      <c r="D749" s="9" t="inlineStr">
        <is>
          <t>Binary Search</t>
        </is>
      </c>
      <c r="E749" s="4" t="inlineStr">
        <is>
          <t>Easy</t>
        </is>
      </c>
      <c r="F749" s="4" t="inlineStr">
        <is>
          <t>Binary Search</t>
        </is>
      </c>
      <c r="G749" s="4" t="inlineStr">
        <is>
          <t>Accepted</t>
        </is>
      </c>
      <c r="H749" s="4" t="inlineStr">
        <is>
          <t>Python3</t>
        </is>
      </c>
      <c r="I749" s="4" t="inlineStr">
        <is>
          <t>238 ms</t>
        </is>
      </c>
      <c r="J749" s="4" t="inlineStr">
        <is>
          <t>17.7 MB</t>
        </is>
      </c>
      <c r="K749" s="4" t="n">
        <v>0.2</v>
      </c>
      <c r="L749" s="4" t="inlineStr">
        <is>
          <t>47/47</t>
        </is>
      </c>
      <c r="M749" s="9" t="inlineStr">
        <is>
          <t>Submission 1098061854</t>
        </is>
      </c>
      <c r="N749" s="4" t="inlineStr">
        <is>
          <t>Yes</t>
        </is>
      </c>
    </row>
    <row r="750">
      <c r="A750" s="11" t="n">
        <v>45243.9727199074</v>
      </c>
      <c r="B750" s="4" t="inlineStr">
        <is>
          <t>2023-11</t>
        </is>
      </c>
      <c r="C750" s="4" t="n">
        <v>704</v>
      </c>
      <c r="D750" s="9" t="inlineStr">
        <is>
          <t>Binary Search</t>
        </is>
      </c>
      <c r="E750" s="4" t="inlineStr">
        <is>
          <t>Easy</t>
        </is>
      </c>
      <c r="F750" s="4" t="inlineStr">
        <is>
          <t>Binary Search</t>
        </is>
      </c>
      <c r="G750" s="4" t="inlineStr">
        <is>
          <t>Wrong Answer</t>
        </is>
      </c>
      <c r="H750" s="4" t="inlineStr">
        <is>
          <t>Python3</t>
        </is>
      </c>
      <c r="I750" s="4" t="inlineStr">
        <is>
          <t>N/A</t>
        </is>
      </c>
      <c r="J750" s="4" t="inlineStr">
        <is>
          <t>N/A</t>
        </is>
      </c>
      <c r="K750" s="4" t="n"/>
      <c r="L750" s="4" t="inlineStr">
        <is>
          <t>33/47</t>
        </is>
      </c>
      <c r="M750" s="9" t="inlineStr">
        <is>
          <t>Submission 1098072700</t>
        </is>
      </c>
      <c r="N750" s="4" t="inlineStr">
        <is>
          <t>Yes</t>
        </is>
      </c>
    </row>
    <row r="751">
      <c r="A751" s="11" t="n">
        <v>45243.97439814815</v>
      </c>
      <c r="B751" s="4" t="inlineStr">
        <is>
          <t>2023-11</t>
        </is>
      </c>
      <c r="C751" s="4" t="n">
        <v>704</v>
      </c>
      <c r="D751" s="9" t="inlineStr">
        <is>
          <t>Binary Search</t>
        </is>
      </c>
      <c r="E751" s="4" t="inlineStr">
        <is>
          <t>Easy</t>
        </is>
      </c>
      <c r="F751" s="4" t="inlineStr">
        <is>
          <t>Binary Search</t>
        </is>
      </c>
      <c r="G751" s="4" t="inlineStr">
        <is>
          <t>Wrong Answer</t>
        </is>
      </c>
      <c r="H751" s="4" t="inlineStr">
        <is>
          <t>Python3</t>
        </is>
      </c>
      <c r="I751" s="4" t="inlineStr">
        <is>
          <t>N/A</t>
        </is>
      </c>
      <c r="J751" s="4" t="inlineStr">
        <is>
          <t>N/A</t>
        </is>
      </c>
      <c r="K751" s="4" t="n"/>
      <c r="L751" s="4" t="inlineStr">
        <is>
          <t>24/47</t>
        </is>
      </c>
      <c r="M751" s="9" t="inlineStr">
        <is>
          <t>Submission 1098074316</t>
        </is>
      </c>
      <c r="N751" s="4" t="inlineStr">
        <is>
          <t>Yes</t>
        </is>
      </c>
    </row>
    <row r="752">
      <c r="A752" s="11" t="n">
        <v>45243.97445601852</v>
      </c>
      <c r="B752" s="4" t="inlineStr">
        <is>
          <t>2023-11</t>
        </is>
      </c>
      <c r="C752" s="4" t="n">
        <v>704</v>
      </c>
      <c r="D752" s="9" t="inlineStr">
        <is>
          <t>Binary Search</t>
        </is>
      </c>
      <c r="E752" s="4" t="inlineStr">
        <is>
          <t>Easy</t>
        </is>
      </c>
      <c r="F752" s="4" t="inlineStr">
        <is>
          <t>Binary Search</t>
        </is>
      </c>
      <c r="G752" s="4" t="inlineStr">
        <is>
          <t>Accepted</t>
        </is>
      </c>
      <c r="H752" s="4" t="inlineStr">
        <is>
          <t>Python3</t>
        </is>
      </c>
      <c r="I752" s="4" t="inlineStr">
        <is>
          <t>212 ms</t>
        </is>
      </c>
      <c r="J752" s="4" t="inlineStr">
        <is>
          <t>17.7 MB</t>
        </is>
      </c>
      <c r="K752" s="4" t="n">
        <v>0.2</v>
      </c>
      <c r="L752" s="4" t="inlineStr">
        <is>
          <t>47/47</t>
        </is>
      </c>
      <c r="M752" s="9" t="inlineStr">
        <is>
          <t>Submission 1098074392</t>
        </is>
      </c>
      <c r="N752" s="4" t="inlineStr">
        <is>
          <t>Yes</t>
        </is>
      </c>
    </row>
    <row r="753">
      <c r="A753" s="11" t="n">
        <v>45244.86662037037</v>
      </c>
      <c r="B753" s="4" t="inlineStr">
        <is>
          <t>2023-11</t>
        </is>
      </c>
      <c r="C753" s="4" t="n">
        <v>283</v>
      </c>
      <c r="D753" s="9" t="inlineStr">
        <is>
          <t>Move Zeroes</t>
        </is>
      </c>
      <c r="E753" s="4" t="inlineStr">
        <is>
          <t>Easy</t>
        </is>
      </c>
      <c r="F753" s="4" t="inlineStr">
        <is>
          <t>Two Pointers</t>
        </is>
      </c>
      <c r="G753" s="4" t="inlineStr">
        <is>
          <t>Accepted</t>
        </is>
      </c>
      <c r="H753" s="4" t="inlineStr">
        <is>
          <t>Python3</t>
        </is>
      </c>
      <c r="I753" s="4" t="inlineStr">
        <is>
          <t>147 ms</t>
        </is>
      </c>
      <c r="J753" s="4" t="inlineStr">
        <is>
          <t>17.8 MB</t>
        </is>
      </c>
      <c r="K753" s="4" t="n">
        <v>9.199999999999999</v>
      </c>
      <c r="L753" s="4" t="inlineStr">
        <is>
          <t>74/74</t>
        </is>
      </c>
      <c r="M753" s="9" t="inlineStr">
        <is>
          <t>Submission 1098725717</t>
        </is>
      </c>
      <c r="N753" s="4" t="inlineStr">
        <is>
          <t>No</t>
        </is>
      </c>
    </row>
    <row r="754">
      <c r="A754" s="11" t="n">
        <v>45244.8746875</v>
      </c>
      <c r="B754" s="4" t="inlineStr">
        <is>
          <t>2023-11</t>
        </is>
      </c>
      <c r="C754" s="4" t="n">
        <v>283</v>
      </c>
      <c r="D754" s="9" t="inlineStr">
        <is>
          <t>Move Zeroes</t>
        </is>
      </c>
      <c r="E754" s="4" t="inlineStr">
        <is>
          <t>Easy</t>
        </is>
      </c>
      <c r="F754" s="4" t="inlineStr">
        <is>
          <t>Two Pointers</t>
        </is>
      </c>
      <c r="G754" s="4" t="inlineStr">
        <is>
          <t>Accepted</t>
        </is>
      </c>
      <c r="H754" s="4" t="inlineStr">
        <is>
          <t>Python3</t>
        </is>
      </c>
      <c r="I754" s="4" t="inlineStr">
        <is>
          <t>148 ms</t>
        </is>
      </c>
      <c r="J754" s="4" t="inlineStr">
        <is>
          <t>17.9 MB</t>
        </is>
      </c>
      <c r="K754" s="4" t="n">
        <v>9.199999999999999</v>
      </c>
      <c r="L754" s="4" t="inlineStr">
        <is>
          <t>74/74</t>
        </is>
      </c>
      <c r="M754" s="9" t="inlineStr">
        <is>
          <t>Submission 1098732870</t>
        </is>
      </c>
      <c r="N754" s="4" t="inlineStr">
        <is>
          <t>No</t>
        </is>
      </c>
    </row>
    <row r="755">
      <c r="A755" s="11" t="n">
        <v>45244.89024305555</v>
      </c>
      <c r="B755" s="4" t="inlineStr">
        <is>
          <t>2023-11</t>
        </is>
      </c>
      <c r="C755" s="4" t="n">
        <v>766</v>
      </c>
      <c r="D755" s="9" t="inlineStr">
        <is>
          <t>Toeplitz Matrix</t>
        </is>
      </c>
      <c r="E755" s="4" t="inlineStr">
        <is>
          <t>Easy</t>
        </is>
      </c>
      <c r="F755" s="4" t="inlineStr">
        <is>
          <t>Strings &amp; Simulation</t>
        </is>
      </c>
      <c r="G755" s="4" t="inlineStr">
        <is>
          <t>Accepted</t>
        </is>
      </c>
      <c r="H755" s="4" t="inlineStr">
        <is>
          <t>Python3</t>
        </is>
      </c>
      <c r="I755" s="4" t="inlineStr">
        <is>
          <t>76 ms</t>
        </is>
      </c>
      <c r="J755" s="4" t="inlineStr">
        <is>
          <t>16.2 MB</t>
        </is>
      </c>
      <c r="K755" s="4" t="n">
        <v>4.7</v>
      </c>
      <c r="L755" s="4" t="inlineStr">
        <is>
          <t>483/483</t>
        </is>
      </c>
      <c r="M755" s="9" t="inlineStr">
        <is>
          <t>Submission 1098746900</t>
        </is>
      </c>
      <c r="N755" s="4" t="inlineStr">
        <is>
          <t>No</t>
        </is>
      </c>
    </row>
    <row r="756">
      <c r="A756" s="11" t="n">
        <v>45245.89293981482</v>
      </c>
      <c r="B756" s="4" t="inlineStr">
        <is>
          <t>2023-11</t>
        </is>
      </c>
      <c r="C756" s="4" t="n">
        <v>199</v>
      </c>
      <c r="D756" s="9" t="inlineStr">
        <is>
          <t>Binary Tree Right Side View</t>
        </is>
      </c>
      <c r="E756" s="4" t="inlineStr">
        <is>
          <t>Medium</t>
        </is>
      </c>
      <c r="F756" s="4" t="inlineStr">
        <is>
          <t>Binary Tree (BFS / Level Order)</t>
        </is>
      </c>
      <c r="G756" s="4" t="inlineStr">
        <is>
          <t>Accepted</t>
        </is>
      </c>
      <c r="H756" s="4" t="inlineStr">
        <is>
          <t>Python3</t>
        </is>
      </c>
      <c r="I756" s="4" t="inlineStr">
        <is>
          <t>35 ms</t>
        </is>
      </c>
      <c r="J756" s="4" t="inlineStr">
        <is>
          <t>16.2 MB</t>
        </is>
      </c>
      <c r="K756" s="4" t="n">
        <v>0.5</v>
      </c>
      <c r="L756" s="4" t="inlineStr">
        <is>
          <t>216/216</t>
        </is>
      </c>
      <c r="M756" s="9" t="inlineStr">
        <is>
          <t>Submission 1099466326</t>
        </is>
      </c>
      <c r="N756" s="4" t="inlineStr">
        <is>
          <t>No</t>
        </is>
      </c>
    </row>
    <row r="757">
      <c r="A757" s="11" t="n">
        <v>45245.965625</v>
      </c>
      <c r="B757" s="4" t="inlineStr">
        <is>
          <t>2023-11</t>
        </is>
      </c>
      <c r="C757" s="4" t="n">
        <v>987</v>
      </c>
      <c r="D757" s="9" t="inlineStr">
        <is>
          <t>Vertical Order Traversal of a Binary Tree</t>
        </is>
      </c>
      <c r="E757" s="4" t="inlineStr">
        <is>
          <t>Hard</t>
        </is>
      </c>
      <c r="F757" s="4" t="inlineStr">
        <is>
          <t>Binary Tree (BFS / Level Order)</t>
        </is>
      </c>
      <c r="G757" s="4" t="inlineStr">
        <is>
          <t>Accepted</t>
        </is>
      </c>
      <c r="H757" s="4" t="inlineStr">
        <is>
          <t>Python3</t>
        </is>
      </c>
      <c r="I757" s="4" t="inlineStr">
        <is>
          <t>45 ms</t>
        </is>
      </c>
      <c r="J757" s="4" t="inlineStr">
        <is>
          <t>16.6 MB</t>
        </is>
      </c>
      <c r="K757" s="4" t="n">
        <v>1.1</v>
      </c>
      <c r="L757" s="4" t="inlineStr">
        <is>
          <t>34/34</t>
        </is>
      </c>
      <c r="M757" s="9" t="inlineStr">
        <is>
          <t>Submission 1099525947</t>
        </is>
      </c>
      <c r="N757" s="4" t="inlineStr">
        <is>
          <t>Yes</t>
        </is>
      </c>
    </row>
    <row r="758">
      <c r="A758" s="11" t="n">
        <v>45245.98836805556</v>
      </c>
      <c r="B758" s="4" t="inlineStr">
        <is>
          <t>2023-11</t>
        </is>
      </c>
      <c r="C758" s="4" t="n">
        <v>283</v>
      </c>
      <c r="D758" s="9" t="inlineStr">
        <is>
          <t>Move Zeroes</t>
        </is>
      </c>
      <c r="E758" s="4" t="inlineStr">
        <is>
          <t>Easy</t>
        </is>
      </c>
      <c r="F758" s="4" t="inlineStr">
        <is>
          <t>Two Pointers</t>
        </is>
      </c>
      <c r="G758" s="4" t="inlineStr">
        <is>
          <t>Accepted</t>
        </is>
      </c>
      <c r="H758" s="4" t="inlineStr">
        <is>
          <t>Python</t>
        </is>
      </c>
      <c r="I758" s="4" t="inlineStr">
        <is>
          <t>122 ms</t>
        </is>
      </c>
      <c r="J758" s="4" t="inlineStr">
        <is>
          <t>14.7 MB</t>
        </is>
      </c>
      <c r="K758" s="4" t="n">
        <v>10.2</v>
      </c>
      <c r="L758" s="4" t="inlineStr">
        <is>
          <t>74/74</t>
        </is>
      </c>
      <c r="M758" s="9" t="inlineStr">
        <is>
          <t>Submission 1099547386</t>
        </is>
      </c>
      <c r="N758" s="4" t="inlineStr">
        <is>
          <t>No</t>
        </is>
      </c>
    </row>
    <row r="759">
      <c r="A759" s="11" t="n">
        <v>45245.98949074074</v>
      </c>
      <c r="B759" s="4" t="inlineStr">
        <is>
          <t>2023-11</t>
        </is>
      </c>
      <c r="C759" s="4" t="n">
        <v>283</v>
      </c>
      <c r="D759" s="9" t="inlineStr">
        <is>
          <t>Move Zeroes</t>
        </is>
      </c>
      <c r="E759" s="4" t="inlineStr">
        <is>
          <t>Easy</t>
        </is>
      </c>
      <c r="F759" s="4" t="inlineStr">
        <is>
          <t>Two Pointers</t>
        </is>
      </c>
      <c r="G759" s="4" t="inlineStr">
        <is>
          <t>Accepted</t>
        </is>
      </c>
      <c r="H759" s="4" t="inlineStr">
        <is>
          <t>Python</t>
        </is>
      </c>
      <c r="I759" s="4" t="inlineStr">
        <is>
          <t>124 ms</t>
        </is>
      </c>
      <c r="J759" s="4" t="inlineStr">
        <is>
          <t>14.5 MB</t>
        </is>
      </c>
      <c r="K759" s="4" t="n">
        <v>10.2</v>
      </c>
      <c r="L759" s="4" t="inlineStr">
        <is>
          <t>74/74</t>
        </is>
      </c>
      <c r="M759" s="9" t="inlineStr">
        <is>
          <t>Submission 1099548511</t>
        </is>
      </c>
      <c r="N759" s="4" t="inlineStr">
        <is>
          <t>No</t>
        </is>
      </c>
    </row>
    <row r="760">
      <c r="A760" s="11" t="n">
        <v>45245.99608796297</v>
      </c>
      <c r="B760" s="4" t="inlineStr">
        <is>
          <t>2023-11</t>
        </is>
      </c>
      <c r="C760" s="4" t="n">
        <v>31</v>
      </c>
      <c r="D760" s="9" t="inlineStr">
        <is>
          <t>Next Permutation</t>
        </is>
      </c>
      <c r="E760" s="4" t="inlineStr">
        <is>
          <t>Medium</t>
        </is>
      </c>
      <c r="F760" s="4" t="inlineStr">
        <is>
          <t>Two Pointers</t>
        </is>
      </c>
      <c r="G760" s="4" t="inlineStr">
        <is>
          <t>Wrong Answer</t>
        </is>
      </c>
      <c r="H760" s="4" t="inlineStr">
        <is>
          <t>Python</t>
        </is>
      </c>
      <c r="I760" s="4" t="inlineStr">
        <is>
          <t>N/A</t>
        </is>
      </c>
      <c r="J760" s="4" t="inlineStr">
        <is>
          <t>N/A</t>
        </is>
      </c>
      <c r="K760" s="4" t="n"/>
      <c r="L760" s="4" t="inlineStr">
        <is>
          <t>261/266</t>
        </is>
      </c>
      <c r="M760" s="9" t="inlineStr">
        <is>
          <t>Submission 1099554668</t>
        </is>
      </c>
      <c r="N760" s="4" t="inlineStr">
        <is>
          <t>Yes</t>
        </is>
      </c>
    </row>
    <row r="761">
      <c r="A761" s="11" t="n">
        <v>45246.02743055556</v>
      </c>
      <c r="B761" s="4" t="inlineStr">
        <is>
          <t>2023-11</t>
        </is>
      </c>
      <c r="C761" s="4" t="n">
        <v>88</v>
      </c>
      <c r="D761" s="9" t="inlineStr">
        <is>
          <t>Merge Sorted Array</t>
        </is>
      </c>
      <c r="E761" s="4" t="inlineStr">
        <is>
          <t>Easy</t>
        </is>
      </c>
      <c r="F761" s="4" t="inlineStr">
        <is>
          <t>Two Pointers</t>
        </is>
      </c>
      <c r="G761" s="4" t="inlineStr">
        <is>
          <t>Accepted</t>
        </is>
      </c>
      <c r="H761" s="4" t="inlineStr">
        <is>
          <t>Python</t>
        </is>
      </c>
      <c r="I761" s="4" t="inlineStr">
        <is>
          <t>19 ms</t>
        </is>
      </c>
      <c r="J761" s="4" t="inlineStr">
        <is>
          <t>13.2 MB</t>
        </is>
      </c>
      <c r="K761" s="4" t="n">
        <v>3.1</v>
      </c>
      <c r="L761" s="4" t="inlineStr">
        <is>
          <t>59/59</t>
        </is>
      </c>
      <c r="M761" s="9" t="inlineStr">
        <is>
          <t>Submission 1099580916</t>
        </is>
      </c>
      <c r="N761" s="4" t="inlineStr">
        <is>
          <t>No</t>
        </is>
      </c>
    </row>
    <row r="762">
      <c r="A762" s="11" t="n">
        <v>45246.04403935185</v>
      </c>
      <c r="B762" s="4" t="inlineStr">
        <is>
          <t>2023-11</t>
        </is>
      </c>
      <c r="C762" s="4" t="n">
        <v>200</v>
      </c>
      <c r="D762" s="9" t="inlineStr">
        <is>
          <t>Number of Islands</t>
        </is>
      </c>
      <c r="E762" s="4" t="inlineStr">
        <is>
          <t>Medium</t>
        </is>
      </c>
      <c r="F762" s="4" t="inlineStr">
        <is>
          <t>Graph: Grid BFS/DFS</t>
        </is>
      </c>
      <c r="G762" s="4" t="inlineStr">
        <is>
          <t>Accepted</t>
        </is>
      </c>
      <c r="H762" s="4" t="inlineStr">
        <is>
          <t>Python</t>
        </is>
      </c>
      <c r="I762" s="4" t="inlineStr">
        <is>
          <t>228 ms</t>
        </is>
      </c>
      <c r="J762" s="4" t="inlineStr">
        <is>
          <t>28.9 MB</t>
        </is>
      </c>
      <c r="K762" s="4" t="n">
        <v>55.7</v>
      </c>
      <c r="L762" s="4" t="inlineStr">
        <is>
          <t>49/49</t>
        </is>
      </c>
      <c r="M762" s="9" t="inlineStr">
        <is>
          <t>Submission 1099593783</t>
        </is>
      </c>
      <c r="N762" s="4" t="inlineStr">
        <is>
          <t>Yes</t>
        </is>
      </c>
    </row>
    <row r="763">
      <c r="A763" s="11" t="n">
        <v>45246.19491898148</v>
      </c>
      <c r="B763" s="4" t="inlineStr">
        <is>
          <t>2023-11</t>
        </is>
      </c>
      <c r="C763" s="4" t="n">
        <v>17</v>
      </c>
      <c r="D763" s="9" t="inlineStr">
        <is>
          <t>Letter Combinations of a Phone Number</t>
        </is>
      </c>
      <c r="E763" s="4" t="inlineStr">
        <is>
          <t>Medium</t>
        </is>
      </c>
      <c r="F763" s="4" t="inlineStr">
        <is>
          <t>Backtracking</t>
        </is>
      </c>
      <c r="G763" s="4" t="inlineStr">
        <is>
          <t>Accepted</t>
        </is>
      </c>
      <c r="H763" s="4" t="inlineStr">
        <is>
          <t>Python</t>
        </is>
      </c>
      <c r="I763" s="4" t="inlineStr">
        <is>
          <t>10 ms</t>
        </is>
      </c>
      <c r="J763" s="4" t="inlineStr">
        <is>
          <t>13.4 MB</t>
        </is>
      </c>
      <c r="K763" s="4" t="n">
        <v>0.7</v>
      </c>
      <c r="L763" s="4" t="inlineStr">
        <is>
          <t>25/25</t>
        </is>
      </c>
      <c r="M763" s="9" t="inlineStr">
        <is>
          <t>Submission 1099689974</t>
        </is>
      </c>
      <c r="N763" s="4" t="inlineStr">
        <is>
          <t>Yes</t>
        </is>
      </c>
    </row>
    <row r="764">
      <c r="A764" s="11" t="n">
        <v>45246.19815972223</v>
      </c>
      <c r="B764" s="4" t="inlineStr">
        <is>
          <t>2023-11</t>
        </is>
      </c>
      <c r="C764" s="4" t="n">
        <v>125</v>
      </c>
      <c r="D764" s="9" t="inlineStr">
        <is>
          <t>Valid Palindrome</t>
        </is>
      </c>
      <c r="E764" s="4" t="inlineStr">
        <is>
          <t>Easy</t>
        </is>
      </c>
      <c r="F764" s="4" t="inlineStr">
        <is>
          <t>Two Pointers</t>
        </is>
      </c>
      <c r="G764" s="4" t="inlineStr">
        <is>
          <t>Accepted</t>
        </is>
      </c>
      <c r="H764" s="4" t="inlineStr">
        <is>
          <t>Python</t>
        </is>
      </c>
      <c r="I764" s="4" t="inlineStr">
        <is>
          <t>23 ms</t>
        </is>
      </c>
      <c r="J764" s="4" t="inlineStr">
        <is>
          <t>14.1 MB</t>
        </is>
      </c>
      <c r="K764" s="4" t="n">
        <v>36.1</v>
      </c>
      <c r="L764" s="4" t="inlineStr">
        <is>
          <t>485/485</t>
        </is>
      </c>
      <c r="M764" s="9" t="inlineStr">
        <is>
          <t>Submission 1099691668</t>
        </is>
      </c>
      <c r="N764" s="4" t="inlineStr">
        <is>
          <t>No</t>
        </is>
      </c>
    </row>
    <row r="765">
      <c r="A765" s="11" t="n">
        <v>45246.25586805555</v>
      </c>
      <c r="B765" s="4" t="inlineStr">
        <is>
          <t>2023-11</t>
        </is>
      </c>
      <c r="C765" s="4" t="n">
        <v>670</v>
      </c>
      <c r="D765" s="9" t="inlineStr">
        <is>
          <t>Maximum Swap</t>
        </is>
      </c>
      <c r="E765" s="4" t="inlineStr">
        <is>
          <t>Medium</t>
        </is>
      </c>
      <c r="F765" s="4" t="inlineStr">
        <is>
          <t>Greedy</t>
        </is>
      </c>
      <c r="G765" s="4" t="inlineStr">
        <is>
          <t>Wrong Answer</t>
        </is>
      </c>
      <c r="H765" s="4" t="inlineStr">
        <is>
          <t>Python</t>
        </is>
      </c>
      <c r="I765" s="4" t="inlineStr">
        <is>
          <t>N/A</t>
        </is>
      </c>
      <c r="J765" s="4" t="inlineStr">
        <is>
          <t>N/A</t>
        </is>
      </c>
      <c r="K765" s="4" t="n"/>
      <c r="L765" s="4" t="inlineStr">
        <is>
          <t>105/112</t>
        </is>
      </c>
      <c r="M765" s="9" t="inlineStr">
        <is>
          <t>Submission 1099721690</t>
        </is>
      </c>
      <c r="N765" s="4" t="inlineStr">
        <is>
          <t>No</t>
        </is>
      </c>
    </row>
    <row r="766">
      <c r="A766" s="11" t="n">
        <v>45246.33887731482</v>
      </c>
      <c r="B766" s="4" t="inlineStr">
        <is>
          <t>2023-11</t>
        </is>
      </c>
      <c r="C766" s="4" t="n">
        <v>56</v>
      </c>
      <c r="D766" s="9" t="inlineStr">
        <is>
          <t>Merge Intervals</t>
        </is>
      </c>
      <c r="E766" s="4" t="inlineStr">
        <is>
          <t>Medium</t>
        </is>
      </c>
      <c r="F766" s="4" t="inlineStr">
        <is>
          <t>Intervals &amp; Sweep Line</t>
        </is>
      </c>
      <c r="G766" s="4" t="inlineStr">
        <is>
          <t>Accepted</t>
        </is>
      </c>
      <c r="H766" s="4" t="inlineStr">
        <is>
          <t>Python</t>
        </is>
      </c>
      <c r="I766" s="4" t="inlineStr">
        <is>
          <t>101 ms</t>
        </is>
      </c>
      <c r="J766" s="4" t="inlineStr">
        <is>
          <t>18 MB</t>
        </is>
      </c>
      <c r="K766" s="4" t="n">
        <v>5.1</v>
      </c>
      <c r="L766" s="4" t="inlineStr">
        <is>
          <t>170/170</t>
        </is>
      </c>
      <c r="M766" s="9" t="inlineStr">
        <is>
          <t>Submission 1099770280</t>
        </is>
      </c>
      <c r="N766" s="4" t="inlineStr">
        <is>
          <t>Yes</t>
        </is>
      </c>
    </row>
    <row r="767">
      <c r="A767" s="11" t="n">
        <v>45246.85293981482</v>
      </c>
      <c r="B767" s="4" t="inlineStr">
        <is>
          <t>2023-11</t>
        </is>
      </c>
      <c r="C767" s="4" t="n">
        <v>986</v>
      </c>
      <c r="D767" s="9" t="inlineStr">
        <is>
          <t>Interval List Intersections</t>
        </is>
      </c>
      <c r="E767" s="4" t="inlineStr">
        <is>
          <t>Medium</t>
        </is>
      </c>
      <c r="F767" s="4" t="inlineStr">
        <is>
          <t>Intervals &amp; Sweep Line</t>
        </is>
      </c>
      <c r="G767" s="4" t="inlineStr">
        <is>
          <t>Accepted</t>
        </is>
      </c>
      <c r="H767" s="4" t="inlineStr">
        <is>
          <t>Python</t>
        </is>
      </c>
      <c r="I767" s="4" t="inlineStr">
        <is>
          <t>100 ms</t>
        </is>
      </c>
      <c r="J767" s="4" t="inlineStr">
        <is>
          <t>14.2 MB</t>
        </is>
      </c>
      <c r="K767" s="4" t="n">
        <v>5.6</v>
      </c>
      <c r="L767" s="4" t="inlineStr">
        <is>
          <t>85/85</t>
        </is>
      </c>
      <c r="M767" s="9" t="inlineStr">
        <is>
          <t>Submission 1100140524</t>
        </is>
      </c>
      <c r="N767" s="4" t="inlineStr">
        <is>
          <t>No</t>
        </is>
      </c>
    </row>
    <row r="768">
      <c r="A768" s="11" t="n">
        <v>45246.97704861111</v>
      </c>
      <c r="B768" s="4" t="inlineStr">
        <is>
          <t>2023-11</t>
        </is>
      </c>
      <c r="C768" s="4" t="n">
        <v>23</v>
      </c>
      <c r="D768" s="9" t="inlineStr">
        <is>
          <t>Merge k Sorted Lists</t>
        </is>
      </c>
      <c r="E768" s="4" t="inlineStr">
        <is>
          <t>Hard</t>
        </is>
      </c>
      <c r="F768" s="4" t="inlineStr">
        <is>
          <t>Heap / Top-K</t>
        </is>
      </c>
      <c r="G768" s="4" t="inlineStr">
        <is>
          <t>Accepted</t>
        </is>
      </c>
      <c r="H768" s="4" t="inlineStr">
        <is>
          <t>Python</t>
        </is>
      </c>
      <c r="I768" s="4" t="inlineStr">
        <is>
          <t>66 ms</t>
        </is>
      </c>
      <c r="J768" s="4" t="inlineStr">
        <is>
          <t>19.5 MB</t>
        </is>
      </c>
      <c r="K768" s="4" t="n">
        <v>10.4</v>
      </c>
      <c r="L768" s="4" t="inlineStr">
        <is>
          <t>133/133</t>
        </is>
      </c>
      <c r="M768" s="9" t="inlineStr">
        <is>
          <t>Submission 1100251601</t>
        </is>
      </c>
      <c r="N768" s="4" t="inlineStr">
        <is>
          <t>Yes</t>
        </is>
      </c>
    </row>
    <row r="769">
      <c r="A769" s="11" t="n">
        <v>45247.05082175926</v>
      </c>
      <c r="B769" s="4" t="inlineStr">
        <is>
          <t>2023-11</t>
        </is>
      </c>
      <c r="C769" s="4" t="n">
        <v>296</v>
      </c>
      <c r="D769" s="9" t="inlineStr">
        <is>
          <t>Best Meeting Point</t>
        </is>
      </c>
      <c r="E769" s="4" t="inlineStr">
        <is>
          <t>Hard</t>
        </is>
      </c>
      <c r="F769" s="4" t="inlineStr">
        <is>
          <t>Math &amp; Bit Manipulation</t>
        </is>
      </c>
      <c r="G769" s="4" t="inlineStr">
        <is>
          <t>Time Limit Exceeded</t>
        </is>
      </c>
      <c r="H769" s="4" t="inlineStr">
        <is>
          <t>Python</t>
        </is>
      </c>
      <c r="I769" s="4" t="inlineStr">
        <is>
          <t>N/A</t>
        </is>
      </c>
      <c r="J769" s="4" t="inlineStr">
        <is>
          <t>N/A</t>
        </is>
      </c>
      <c r="K769" s="4" t="n"/>
      <c r="L769" s="4" t="inlineStr">
        <is>
          <t>56/58</t>
        </is>
      </c>
      <c r="M769" s="9" t="inlineStr">
        <is>
          <t>Submission 1100314137</t>
        </is>
      </c>
      <c r="N769" s="4" t="inlineStr">
        <is>
          <t>No</t>
        </is>
      </c>
    </row>
    <row r="770">
      <c r="A770" s="11" t="n">
        <v>45247.05983796297</v>
      </c>
      <c r="B770" s="4" t="inlineStr">
        <is>
          <t>2023-11</t>
        </is>
      </c>
      <c r="C770" s="4" t="n">
        <v>296</v>
      </c>
      <c r="D770" s="9" t="inlineStr">
        <is>
          <t>Best Meeting Point</t>
        </is>
      </c>
      <c r="E770" s="4" t="inlineStr">
        <is>
          <t>Hard</t>
        </is>
      </c>
      <c r="F770" s="4" t="inlineStr">
        <is>
          <t>Math &amp; Bit Manipulation</t>
        </is>
      </c>
      <c r="G770" s="4" t="inlineStr">
        <is>
          <t>Accepted</t>
        </is>
      </c>
      <c r="H770" s="4" t="inlineStr">
        <is>
          <t>Python</t>
        </is>
      </c>
      <c r="I770" s="4" t="inlineStr">
        <is>
          <t>82 ms</t>
        </is>
      </c>
      <c r="J770" s="4" t="inlineStr">
        <is>
          <t>18.5 MB</t>
        </is>
      </c>
      <c r="K770" s="4" t="n">
        <v>18.2</v>
      </c>
      <c r="L770" s="4" t="inlineStr">
        <is>
          <t>58/58</t>
        </is>
      </c>
      <c r="M770" s="9" t="inlineStr">
        <is>
          <t>Submission 1100321094</t>
        </is>
      </c>
      <c r="N770" s="4" t="inlineStr">
        <is>
          <t>No</t>
        </is>
      </c>
    </row>
    <row r="771">
      <c r="A771" s="11" t="n">
        <v>45247.13497685185</v>
      </c>
      <c r="B771" s="4" t="inlineStr">
        <is>
          <t>2023-11</t>
        </is>
      </c>
      <c r="C771" s="4" t="n">
        <v>270</v>
      </c>
      <c r="D771" s="9" t="inlineStr">
        <is>
          <t>Closest Binary Search Tree Value</t>
        </is>
      </c>
      <c r="E771" s="4" t="inlineStr">
        <is>
          <t>Easy</t>
        </is>
      </c>
      <c r="F771" s="4" t="inlineStr">
        <is>
          <t>Binary Search Tree</t>
        </is>
      </c>
      <c r="G771" s="4" t="inlineStr">
        <is>
          <t>Wrong Answer</t>
        </is>
      </c>
      <c r="H771" s="4" t="inlineStr">
        <is>
          <t>Python</t>
        </is>
      </c>
      <c r="I771" s="4" t="inlineStr">
        <is>
          <t>N/A</t>
        </is>
      </c>
      <c r="J771" s="4" t="inlineStr">
        <is>
          <t>N/A</t>
        </is>
      </c>
      <c r="K771" s="4" t="n"/>
      <c r="L771" s="4" t="inlineStr">
        <is>
          <t>42/65</t>
        </is>
      </c>
      <c r="M771" s="9" t="inlineStr">
        <is>
          <t>Submission 1100371549</t>
        </is>
      </c>
      <c r="N771" s="4" t="inlineStr">
        <is>
          <t>Yes</t>
        </is>
      </c>
    </row>
    <row r="772">
      <c r="A772" s="11" t="n">
        <v>45247.13524305556</v>
      </c>
      <c r="B772" s="4" t="inlineStr">
        <is>
          <t>2023-11</t>
        </is>
      </c>
      <c r="C772" s="4" t="n">
        <v>270</v>
      </c>
      <c r="D772" s="9" t="inlineStr">
        <is>
          <t>Closest Binary Search Tree Value</t>
        </is>
      </c>
      <c r="E772" s="4" t="inlineStr">
        <is>
          <t>Easy</t>
        </is>
      </c>
      <c r="F772" s="4" t="inlineStr">
        <is>
          <t>Binary Search Tree</t>
        </is>
      </c>
      <c r="G772" s="4" t="inlineStr">
        <is>
          <t>Wrong Answer</t>
        </is>
      </c>
      <c r="H772" s="4" t="inlineStr">
        <is>
          <t>Python</t>
        </is>
      </c>
      <c r="I772" s="4" t="inlineStr">
        <is>
          <t>N/A</t>
        </is>
      </c>
      <c r="J772" s="4" t="inlineStr">
        <is>
          <t>N/A</t>
        </is>
      </c>
      <c r="K772" s="4" t="n"/>
      <c r="L772" s="4" t="inlineStr">
        <is>
          <t>42/65</t>
        </is>
      </c>
      <c r="M772" s="9" t="inlineStr">
        <is>
          <t>Submission 1100371698</t>
        </is>
      </c>
      <c r="N772" s="4" t="inlineStr">
        <is>
          <t>Yes</t>
        </is>
      </c>
    </row>
    <row r="773">
      <c r="A773" s="11" t="n">
        <v>45247.13877314814</v>
      </c>
      <c r="B773" s="4" t="inlineStr">
        <is>
          <t>2023-11</t>
        </is>
      </c>
      <c r="C773" s="4" t="n">
        <v>270</v>
      </c>
      <c r="D773" s="9" t="inlineStr">
        <is>
          <t>Closest Binary Search Tree Value</t>
        </is>
      </c>
      <c r="E773" s="4" t="inlineStr">
        <is>
          <t>Easy</t>
        </is>
      </c>
      <c r="F773" s="4" t="inlineStr">
        <is>
          <t>Binary Search Tree</t>
        </is>
      </c>
      <c r="G773" s="4" t="inlineStr">
        <is>
          <t>Wrong Answer</t>
        </is>
      </c>
      <c r="H773" s="4" t="inlineStr">
        <is>
          <t>Python</t>
        </is>
      </c>
      <c r="I773" s="4" t="inlineStr">
        <is>
          <t>N/A</t>
        </is>
      </c>
      <c r="J773" s="4" t="inlineStr">
        <is>
          <t>N/A</t>
        </is>
      </c>
      <c r="K773" s="4" t="n"/>
      <c r="L773" s="4" t="inlineStr">
        <is>
          <t>26/65</t>
        </is>
      </c>
      <c r="M773" s="9" t="inlineStr">
        <is>
          <t>Submission 1100373877</t>
        </is>
      </c>
      <c r="N773" s="4" t="inlineStr">
        <is>
          <t>Yes</t>
        </is>
      </c>
    </row>
    <row r="774">
      <c r="A774" s="11" t="n">
        <v>45247.13958333333</v>
      </c>
      <c r="B774" s="4" t="inlineStr">
        <is>
          <t>2023-11</t>
        </is>
      </c>
      <c r="C774" s="4" t="n">
        <v>270</v>
      </c>
      <c r="D774" s="9" t="inlineStr">
        <is>
          <t>Closest Binary Search Tree Value</t>
        </is>
      </c>
      <c r="E774" s="4" t="inlineStr">
        <is>
          <t>Easy</t>
        </is>
      </c>
      <c r="F774" s="4" t="inlineStr">
        <is>
          <t>Binary Search Tree</t>
        </is>
      </c>
      <c r="G774" s="4" t="inlineStr">
        <is>
          <t>Wrong Answer</t>
        </is>
      </c>
      <c r="H774" s="4" t="inlineStr">
        <is>
          <t>Python</t>
        </is>
      </c>
      <c r="I774" s="4" t="inlineStr">
        <is>
          <t>N/A</t>
        </is>
      </c>
      <c r="J774" s="4" t="inlineStr">
        <is>
          <t>N/A</t>
        </is>
      </c>
      <c r="K774" s="4" t="n"/>
      <c r="L774" s="4" t="inlineStr">
        <is>
          <t>26/65</t>
        </is>
      </c>
      <c r="M774" s="9" t="inlineStr">
        <is>
          <t>Submission 1100374398</t>
        </is>
      </c>
      <c r="N774" s="4" t="inlineStr">
        <is>
          <t>Yes</t>
        </is>
      </c>
    </row>
    <row r="775">
      <c r="A775" s="11" t="n">
        <v>45247.14006944445</v>
      </c>
      <c r="B775" s="4" t="inlineStr">
        <is>
          <t>2023-11</t>
        </is>
      </c>
      <c r="C775" s="4" t="n">
        <v>270</v>
      </c>
      <c r="D775" s="9" t="inlineStr">
        <is>
          <t>Closest Binary Search Tree Value</t>
        </is>
      </c>
      <c r="E775" s="4" t="inlineStr">
        <is>
          <t>Easy</t>
        </is>
      </c>
      <c r="F775" s="4" t="inlineStr">
        <is>
          <t>Binary Search Tree</t>
        </is>
      </c>
      <c r="G775" s="4" t="inlineStr">
        <is>
          <t>Wrong Answer</t>
        </is>
      </c>
      <c r="H775" s="4" t="inlineStr">
        <is>
          <t>Python</t>
        </is>
      </c>
      <c r="I775" s="4" t="inlineStr">
        <is>
          <t>N/A</t>
        </is>
      </c>
      <c r="J775" s="4" t="inlineStr">
        <is>
          <t>N/A</t>
        </is>
      </c>
      <c r="K775" s="4" t="n"/>
      <c r="L775" s="4" t="inlineStr">
        <is>
          <t>64/65</t>
        </is>
      </c>
      <c r="M775" s="9" t="inlineStr">
        <is>
          <t>Submission 1100374686</t>
        </is>
      </c>
      <c r="N775" s="4" t="inlineStr">
        <is>
          <t>Yes</t>
        </is>
      </c>
    </row>
    <row r="776">
      <c r="A776" s="11" t="n">
        <v>45247.14092592592</v>
      </c>
      <c r="B776" s="4" t="inlineStr">
        <is>
          <t>2023-11</t>
        </is>
      </c>
      <c r="C776" s="4" t="n">
        <v>270</v>
      </c>
      <c r="D776" s="9" t="inlineStr">
        <is>
          <t>Closest Binary Search Tree Value</t>
        </is>
      </c>
      <c r="E776" s="4" t="inlineStr">
        <is>
          <t>Easy</t>
        </is>
      </c>
      <c r="F776" s="4" t="inlineStr">
        <is>
          <t>Binary Search Tree</t>
        </is>
      </c>
      <c r="G776" s="4" t="inlineStr">
        <is>
          <t>Runtime Error</t>
        </is>
      </c>
      <c r="H776" s="4" t="inlineStr">
        <is>
          <t>Python</t>
        </is>
      </c>
      <c r="I776" s="4" t="inlineStr">
        <is>
          <t>N/A</t>
        </is>
      </c>
      <c r="J776" s="4" t="inlineStr">
        <is>
          <t>N/A</t>
        </is>
      </c>
      <c r="K776" s="4" t="n"/>
      <c r="L776" s="4" t="inlineStr">
        <is>
          <t>0/65</t>
        </is>
      </c>
      <c r="M776" s="9" t="inlineStr">
        <is>
          <t>Submission 1100375199</t>
        </is>
      </c>
      <c r="N776" s="4" t="inlineStr">
        <is>
          <t>Yes</t>
        </is>
      </c>
    </row>
    <row r="777">
      <c r="A777" s="11" t="n">
        <v>45247.14107638889</v>
      </c>
      <c r="B777" s="4" t="inlineStr">
        <is>
          <t>2023-11</t>
        </is>
      </c>
      <c r="C777" s="4" t="n">
        <v>270</v>
      </c>
      <c r="D777" s="9" t="inlineStr">
        <is>
          <t>Closest Binary Search Tree Value</t>
        </is>
      </c>
      <c r="E777" s="4" t="inlineStr">
        <is>
          <t>Easy</t>
        </is>
      </c>
      <c r="F777" s="4" t="inlineStr">
        <is>
          <t>Binary Search Tree</t>
        </is>
      </c>
      <c r="G777" s="4" t="inlineStr">
        <is>
          <t>Accepted</t>
        </is>
      </c>
      <c r="H777" s="4" t="inlineStr">
        <is>
          <t>Python</t>
        </is>
      </c>
      <c r="I777" s="4" t="inlineStr">
        <is>
          <t>31 ms</t>
        </is>
      </c>
      <c r="J777" s="4" t="inlineStr">
        <is>
          <t>17.3 MB</t>
        </is>
      </c>
      <c r="K777" s="4" t="n">
        <v>7.1</v>
      </c>
      <c r="L777" s="4" t="inlineStr">
        <is>
          <t>65/65</t>
        </is>
      </c>
      <c r="M777" s="9" t="inlineStr">
        <is>
          <t>Submission 1100375309</t>
        </is>
      </c>
      <c r="N777" s="4" t="inlineStr">
        <is>
          <t>Yes</t>
        </is>
      </c>
    </row>
    <row r="778">
      <c r="A778" s="11" t="n">
        <v>45247.95949074074</v>
      </c>
      <c r="B778" s="4" t="inlineStr">
        <is>
          <t>2023-11</t>
        </is>
      </c>
      <c r="C778" s="4" t="n">
        <v>269</v>
      </c>
      <c r="D778" s="9" t="inlineStr">
        <is>
          <t>Alien Dictionary</t>
        </is>
      </c>
      <c r="E778" s="4" t="inlineStr">
        <is>
          <t>Hard</t>
        </is>
      </c>
      <c r="F778" s="4" t="inlineStr">
        <is>
          <t>Graph: Topological Sort</t>
        </is>
      </c>
      <c r="G778" s="4" t="inlineStr">
        <is>
          <t>Accepted</t>
        </is>
      </c>
      <c r="H778" s="4" t="inlineStr">
        <is>
          <t>Python3</t>
        </is>
      </c>
      <c r="I778" s="4" t="inlineStr">
        <is>
          <t>41 ms</t>
        </is>
      </c>
      <c r="J778" s="4" t="inlineStr">
        <is>
          <t>16.5 MB</t>
        </is>
      </c>
      <c r="K778" s="4" t="n">
        <v>3.6</v>
      </c>
      <c r="L778" s="4" t="inlineStr">
        <is>
          <t>127/127</t>
        </is>
      </c>
      <c r="M778" s="9" t="inlineStr">
        <is>
          <t>Submission 1100930154</t>
        </is>
      </c>
      <c r="N778" s="4" t="inlineStr">
        <is>
          <t>Yes</t>
        </is>
      </c>
    </row>
    <row r="779">
      <c r="A779" s="11" t="n">
        <v>45247.96329861111</v>
      </c>
      <c r="B779" s="4" t="inlineStr">
        <is>
          <t>2023-11</t>
        </is>
      </c>
      <c r="C779" s="4" t="n">
        <v>269</v>
      </c>
      <c r="D779" s="9" t="inlineStr">
        <is>
          <t>Alien Dictionary</t>
        </is>
      </c>
      <c r="E779" s="4" t="inlineStr">
        <is>
          <t>Hard</t>
        </is>
      </c>
      <c r="F779" s="4" t="inlineStr">
        <is>
          <t>Graph: Topological Sort</t>
        </is>
      </c>
      <c r="G779" s="4" t="inlineStr">
        <is>
          <t>Wrong Answer</t>
        </is>
      </c>
      <c r="H779" s="4" t="inlineStr">
        <is>
          <t>Python3</t>
        </is>
      </c>
      <c r="I779" s="4" t="inlineStr">
        <is>
          <t>N/A</t>
        </is>
      </c>
      <c r="J779" s="4" t="inlineStr">
        <is>
          <t>N/A</t>
        </is>
      </c>
      <c r="K779" s="4" t="n"/>
      <c r="L779" s="4" t="inlineStr">
        <is>
          <t>124/127</t>
        </is>
      </c>
      <c r="M779" s="9" t="inlineStr">
        <is>
          <t>Submission 1100933431</t>
        </is>
      </c>
      <c r="N779" s="4" t="inlineStr">
        <is>
          <t>Yes</t>
        </is>
      </c>
    </row>
    <row r="780">
      <c r="A780" s="11" t="n">
        <v>45247.96510416667</v>
      </c>
      <c r="B780" s="4" t="inlineStr">
        <is>
          <t>2023-11</t>
        </is>
      </c>
      <c r="C780" s="4" t="n">
        <v>269</v>
      </c>
      <c r="D780" s="9" t="inlineStr">
        <is>
          <t>Alien Dictionary</t>
        </is>
      </c>
      <c r="E780" s="4" t="inlineStr">
        <is>
          <t>Hard</t>
        </is>
      </c>
      <c r="F780" s="4" t="inlineStr">
        <is>
          <t>Graph: Topological Sort</t>
        </is>
      </c>
      <c r="G780" s="4" t="inlineStr">
        <is>
          <t>Wrong Answer</t>
        </is>
      </c>
      <c r="H780" s="4" t="inlineStr">
        <is>
          <t>Python3</t>
        </is>
      </c>
      <c r="I780" s="4" t="inlineStr">
        <is>
          <t>N/A</t>
        </is>
      </c>
      <c r="J780" s="4" t="inlineStr">
        <is>
          <t>N/A</t>
        </is>
      </c>
      <c r="K780" s="4" t="n"/>
      <c r="L780" s="4" t="inlineStr">
        <is>
          <t>124/127</t>
        </is>
      </c>
      <c r="M780" s="9" t="inlineStr">
        <is>
          <t>Submission 1100934975</t>
        </is>
      </c>
      <c r="N780" s="4" t="inlineStr">
        <is>
          <t>Yes</t>
        </is>
      </c>
    </row>
    <row r="781">
      <c r="A781" s="11" t="n">
        <v>45247.96540509259</v>
      </c>
      <c r="B781" s="4" t="inlineStr">
        <is>
          <t>2023-11</t>
        </is>
      </c>
      <c r="C781" s="4" t="n">
        <v>269</v>
      </c>
      <c r="D781" s="9" t="inlineStr">
        <is>
          <t>Alien Dictionary</t>
        </is>
      </c>
      <c r="E781" s="4" t="inlineStr">
        <is>
          <t>Hard</t>
        </is>
      </c>
      <c r="F781" s="4" t="inlineStr">
        <is>
          <t>Graph: Topological Sort</t>
        </is>
      </c>
      <c r="G781" s="4" t="inlineStr">
        <is>
          <t>Wrong Answer</t>
        </is>
      </c>
      <c r="H781" s="4" t="inlineStr">
        <is>
          <t>Python3</t>
        </is>
      </c>
      <c r="I781" s="4" t="inlineStr">
        <is>
          <t>N/A</t>
        </is>
      </c>
      <c r="J781" s="4" t="inlineStr">
        <is>
          <t>N/A</t>
        </is>
      </c>
      <c r="K781" s="4" t="n"/>
      <c r="L781" s="4" t="inlineStr">
        <is>
          <t>124/127</t>
        </is>
      </c>
      <c r="M781" s="9" t="inlineStr">
        <is>
          <t>Submission 1100935228</t>
        </is>
      </c>
      <c r="N781" s="4" t="inlineStr">
        <is>
          <t>Yes</t>
        </is>
      </c>
    </row>
    <row r="782">
      <c r="A782" s="11" t="n">
        <v>45247.96596064815</v>
      </c>
      <c r="B782" s="4" t="inlineStr">
        <is>
          <t>2023-11</t>
        </is>
      </c>
      <c r="C782" s="4" t="n">
        <v>269</v>
      </c>
      <c r="D782" s="9" t="inlineStr">
        <is>
          <t>Alien Dictionary</t>
        </is>
      </c>
      <c r="E782" s="4" t="inlineStr">
        <is>
          <t>Hard</t>
        </is>
      </c>
      <c r="F782" s="4" t="inlineStr">
        <is>
          <t>Graph: Topological Sort</t>
        </is>
      </c>
      <c r="G782" s="4" t="inlineStr">
        <is>
          <t>Wrong Answer</t>
        </is>
      </c>
      <c r="H782" s="4" t="inlineStr">
        <is>
          <t>Python3</t>
        </is>
      </c>
      <c r="I782" s="4" t="inlineStr">
        <is>
          <t>N/A</t>
        </is>
      </c>
      <c r="J782" s="4" t="inlineStr">
        <is>
          <t>N/A</t>
        </is>
      </c>
      <c r="K782" s="4" t="n"/>
      <c r="L782" s="4" t="inlineStr">
        <is>
          <t>124/127</t>
        </is>
      </c>
      <c r="M782" s="9" t="inlineStr">
        <is>
          <t>Submission 1100935727</t>
        </is>
      </c>
      <c r="N782" s="4" t="inlineStr">
        <is>
          <t>Yes</t>
        </is>
      </c>
    </row>
    <row r="783">
      <c r="A783" s="11" t="n">
        <v>45247.96695601852</v>
      </c>
      <c r="B783" s="4" t="inlineStr">
        <is>
          <t>2023-11</t>
        </is>
      </c>
      <c r="C783" s="4" t="n">
        <v>269</v>
      </c>
      <c r="D783" s="9" t="inlineStr">
        <is>
          <t>Alien Dictionary</t>
        </is>
      </c>
      <c r="E783" s="4" t="inlineStr">
        <is>
          <t>Hard</t>
        </is>
      </c>
      <c r="F783" s="4" t="inlineStr">
        <is>
          <t>Graph: Topological Sort</t>
        </is>
      </c>
      <c r="G783" s="4" t="inlineStr">
        <is>
          <t>Wrong Answer</t>
        </is>
      </c>
      <c r="H783" s="4" t="inlineStr">
        <is>
          <t>Python3</t>
        </is>
      </c>
      <c r="I783" s="4" t="inlineStr">
        <is>
          <t>N/A</t>
        </is>
      </c>
      <c r="J783" s="4" t="inlineStr">
        <is>
          <t>N/A</t>
        </is>
      </c>
      <c r="K783" s="4" t="n"/>
      <c r="L783" s="4" t="inlineStr">
        <is>
          <t>124/127</t>
        </is>
      </c>
      <c r="M783" s="9" t="inlineStr">
        <is>
          <t>Submission 1100936608</t>
        </is>
      </c>
      <c r="N783" s="4" t="inlineStr">
        <is>
          <t>Yes</t>
        </is>
      </c>
    </row>
    <row r="784">
      <c r="A784" s="11" t="n">
        <v>45247.96799768518</v>
      </c>
      <c r="B784" s="4" t="inlineStr">
        <is>
          <t>2023-11</t>
        </is>
      </c>
      <c r="C784" s="4" t="n">
        <v>269</v>
      </c>
      <c r="D784" s="9" t="inlineStr">
        <is>
          <t>Alien Dictionary</t>
        </is>
      </c>
      <c r="E784" s="4" t="inlineStr">
        <is>
          <t>Hard</t>
        </is>
      </c>
      <c r="F784" s="4" t="inlineStr">
        <is>
          <t>Graph: Topological Sort</t>
        </is>
      </c>
      <c r="G784" s="4" t="inlineStr">
        <is>
          <t>Wrong Answer</t>
        </is>
      </c>
      <c r="H784" s="4" t="inlineStr">
        <is>
          <t>Python3</t>
        </is>
      </c>
      <c r="I784" s="4" t="inlineStr">
        <is>
          <t>N/A</t>
        </is>
      </c>
      <c r="J784" s="4" t="inlineStr">
        <is>
          <t>N/A</t>
        </is>
      </c>
      <c r="K784" s="4" t="n"/>
      <c r="L784" s="4" t="inlineStr">
        <is>
          <t>126/127</t>
        </is>
      </c>
      <c r="M784" s="9" t="inlineStr">
        <is>
          <t>Submission 1100937488</t>
        </is>
      </c>
      <c r="N784" s="4" t="inlineStr">
        <is>
          <t>Yes</t>
        </is>
      </c>
    </row>
    <row r="785">
      <c r="A785" s="11" t="n">
        <v>45247.96822916667</v>
      </c>
      <c r="B785" s="4" t="inlineStr">
        <is>
          <t>2023-11</t>
        </is>
      </c>
      <c r="C785" s="4" t="n">
        <v>269</v>
      </c>
      <c r="D785" s="9" t="inlineStr">
        <is>
          <t>Alien Dictionary</t>
        </is>
      </c>
      <c r="E785" s="4" t="inlineStr">
        <is>
          <t>Hard</t>
        </is>
      </c>
      <c r="F785" s="4" t="inlineStr">
        <is>
          <t>Graph: Topological Sort</t>
        </is>
      </c>
      <c r="G785" s="4" t="inlineStr">
        <is>
          <t>Accepted</t>
        </is>
      </c>
      <c r="H785" s="4" t="inlineStr">
        <is>
          <t>Python3</t>
        </is>
      </c>
      <c r="I785" s="4" t="inlineStr">
        <is>
          <t>45 ms</t>
        </is>
      </c>
      <c r="J785" s="4" t="inlineStr">
        <is>
          <t>16.5 MB</t>
        </is>
      </c>
      <c r="K785" s="4" t="n">
        <v>3.6</v>
      </c>
      <c r="L785" s="4" t="inlineStr">
        <is>
          <t>127/127</t>
        </is>
      </c>
      <c r="M785" s="9" t="inlineStr">
        <is>
          <t>Submission 1100937709</t>
        </is>
      </c>
      <c r="N785" s="4" t="inlineStr">
        <is>
          <t>Yes</t>
        </is>
      </c>
    </row>
    <row r="786">
      <c r="A786" s="11" t="n">
        <v>45248.0366087963</v>
      </c>
      <c r="B786" s="4" t="inlineStr">
        <is>
          <t>2023-11</t>
        </is>
      </c>
      <c r="C786" s="4" t="n">
        <v>480</v>
      </c>
      <c r="D786" s="9" t="inlineStr">
        <is>
          <t>Sliding Window Median</t>
        </is>
      </c>
      <c r="E786" s="4" t="inlineStr">
        <is>
          <t>Hard</t>
        </is>
      </c>
      <c r="F786" s="4" t="inlineStr">
        <is>
          <t>Heap / Top-K</t>
        </is>
      </c>
      <c r="G786" s="4" t="inlineStr">
        <is>
          <t>Wrong Answer</t>
        </is>
      </c>
      <c r="H786" s="4" t="inlineStr">
        <is>
          <t>Python3</t>
        </is>
      </c>
      <c r="I786" s="4" t="inlineStr">
        <is>
          <t>N/A</t>
        </is>
      </c>
      <c r="J786" s="4" t="inlineStr">
        <is>
          <t>N/A</t>
        </is>
      </c>
      <c r="K786" s="4" t="n"/>
      <c r="L786" s="4" t="inlineStr">
        <is>
          <t>21/43</t>
        </is>
      </c>
      <c r="M786" s="9" t="inlineStr">
        <is>
          <t>Submission 1100992387</t>
        </is>
      </c>
      <c r="N786" s="4" t="inlineStr">
        <is>
          <t>No</t>
        </is>
      </c>
    </row>
    <row r="787">
      <c r="A787" s="11" t="n">
        <v>45248.0375462963</v>
      </c>
      <c r="B787" s="4" t="inlineStr">
        <is>
          <t>2023-11</t>
        </is>
      </c>
      <c r="C787" s="4" t="n">
        <v>480</v>
      </c>
      <c r="D787" s="9" t="inlineStr">
        <is>
          <t>Sliding Window Median</t>
        </is>
      </c>
      <c r="E787" s="4" t="inlineStr">
        <is>
          <t>Hard</t>
        </is>
      </c>
      <c r="F787" s="4" t="inlineStr">
        <is>
          <t>Heap / Top-K</t>
        </is>
      </c>
      <c r="G787" s="4" t="inlineStr">
        <is>
          <t>Accepted</t>
        </is>
      </c>
      <c r="H787" s="4" t="inlineStr">
        <is>
          <t>Python3</t>
        </is>
      </c>
      <c r="I787" s="4" t="inlineStr">
        <is>
          <t>729 ms</t>
        </is>
      </c>
      <c r="J787" s="4" t="inlineStr">
        <is>
          <t>26.2 MB</t>
        </is>
      </c>
      <c r="K787" s="4" t="n">
        <v>6.1</v>
      </c>
      <c r="L787" s="4" t="inlineStr">
        <is>
          <t>43/43</t>
        </is>
      </c>
      <c r="M787" s="9" t="inlineStr">
        <is>
          <t>Submission 1100993055</t>
        </is>
      </c>
      <c r="N787" s="4" t="inlineStr">
        <is>
          <t>No</t>
        </is>
      </c>
    </row>
    <row r="788">
      <c r="A788" s="11" t="n">
        <v>45248.10965277778</v>
      </c>
      <c r="B788" s="4" t="inlineStr">
        <is>
          <t>2023-11</t>
        </is>
      </c>
      <c r="C788" s="4" t="n">
        <v>217</v>
      </c>
      <c r="D788" s="9" t="inlineStr">
        <is>
          <t>Contains Duplicate</t>
        </is>
      </c>
      <c r="E788" s="4" t="inlineStr">
        <is>
          <t>Easy</t>
        </is>
      </c>
      <c r="F788" s="4" t="inlineStr">
        <is>
          <t>Arrays, Hashing &amp; Sorting</t>
        </is>
      </c>
      <c r="G788" s="4" t="inlineStr">
        <is>
          <t>Time Limit Exceeded</t>
        </is>
      </c>
      <c r="H788" s="4" t="inlineStr">
        <is>
          <t>Python3</t>
        </is>
      </c>
      <c r="I788" s="4" t="inlineStr">
        <is>
          <t>N/A</t>
        </is>
      </c>
      <c r="J788" s="4" t="inlineStr">
        <is>
          <t>N/A</t>
        </is>
      </c>
      <c r="K788" s="4" t="n"/>
      <c r="L788" s="4" t="inlineStr">
        <is>
          <t>65/75</t>
        </is>
      </c>
      <c r="M788" s="9" t="inlineStr">
        <is>
          <t>Submission 1101037724</t>
        </is>
      </c>
      <c r="N788" s="4" t="inlineStr">
        <is>
          <t>No</t>
        </is>
      </c>
    </row>
    <row r="789">
      <c r="A789" s="11" t="n">
        <v>45248.11488425926</v>
      </c>
      <c r="B789" s="4" t="inlineStr">
        <is>
          <t>2023-11</t>
        </is>
      </c>
      <c r="C789" s="4" t="n">
        <v>219</v>
      </c>
      <c r="D789" s="9" t="inlineStr">
        <is>
          <t>Contains Duplicate II</t>
        </is>
      </c>
      <c r="E789" s="4" t="inlineStr">
        <is>
          <t>Easy</t>
        </is>
      </c>
      <c r="F789" s="4" t="inlineStr">
        <is>
          <t>Sliding Window</t>
        </is>
      </c>
      <c r="G789" s="4" t="inlineStr">
        <is>
          <t>Accepted</t>
        </is>
      </c>
      <c r="H789" s="4" t="inlineStr">
        <is>
          <t>Python3</t>
        </is>
      </c>
      <c r="I789" s="4" t="inlineStr">
        <is>
          <t>518 ms</t>
        </is>
      </c>
      <c r="J789" s="4" t="inlineStr">
        <is>
          <t>29.8 MB</t>
        </is>
      </c>
      <c r="K789" s="4" t="n">
        <v>5</v>
      </c>
      <c r="L789" s="4" t="inlineStr">
        <is>
          <t>58/58</t>
        </is>
      </c>
      <c r="M789" s="9" t="inlineStr">
        <is>
          <t>Submission 1101040393</t>
        </is>
      </c>
      <c r="N789" s="4" t="inlineStr">
        <is>
          <t>No</t>
        </is>
      </c>
    </row>
    <row r="790">
      <c r="A790" s="11" t="n">
        <v>45248.25388888889</v>
      </c>
      <c r="B790" s="4" t="inlineStr">
        <is>
          <t>2023-11</t>
        </is>
      </c>
      <c r="C790" s="4" t="n">
        <v>3</v>
      </c>
      <c r="D790" s="9" t="inlineStr">
        <is>
          <t>Longest Substring Without Repeating Characters</t>
        </is>
      </c>
      <c r="E790" s="4" t="inlineStr">
        <is>
          <t>Medium</t>
        </is>
      </c>
      <c r="F790" s="4" t="inlineStr">
        <is>
          <t>Sliding Window</t>
        </is>
      </c>
      <c r="G790" s="4" t="inlineStr">
        <is>
          <t>Accepted</t>
        </is>
      </c>
      <c r="H790" s="4" t="inlineStr">
        <is>
          <t>Python3</t>
        </is>
      </c>
      <c r="I790" s="4" t="inlineStr">
        <is>
          <t>91 ms</t>
        </is>
      </c>
      <c r="J790" s="4" t="inlineStr">
        <is>
          <t>16.5 MB</t>
        </is>
      </c>
      <c r="K790" s="4" t="n">
        <v>99.90000000000001</v>
      </c>
      <c r="L790" s="4" t="inlineStr">
        <is>
          <t>987/987</t>
        </is>
      </c>
      <c r="M790" s="9" t="inlineStr">
        <is>
          <t>Submission 1101104428</t>
        </is>
      </c>
      <c r="N790" s="4" t="inlineStr">
        <is>
          <t>Yes</t>
        </is>
      </c>
    </row>
    <row r="791">
      <c r="A791" s="11" t="n">
        <v>45248.27012731481</v>
      </c>
      <c r="B791" s="4" t="inlineStr">
        <is>
          <t>2023-11</t>
        </is>
      </c>
      <c r="C791" s="4" t="n">
        <v>643</v>
      </c>
      <c r="D791" s="9" t="inlineStr">
        <is>
          <t>Maximum Average Subarray I</t>
        </is>
      </c>
      <c r="E791" s="4" t="inlineStr">
        <is>
          <t>Easy</t>
        </is>
      </c>
      <c r="F791" s="4" t="inlineStr">
        <is>
          <t>Sliding Window</t>
        </is>
      </c>
      <c r="G791" s="4" t="inlineStr">
        <is>
          <t>Accepted</t>
        </is>
      </c>
      <c r="H791" s="4" t="inlineStr">
        <is>
          <t>Python3</t>
        </is>
      </c>
      <c r="I791" s="4" t="inlineStr">
        <is>
          <t>1105 ms</t>
        </is>
      </c>
      <c r="J791" s="4" t="inlineStr">
        <is>
          <t>27.9 MB</t>
        </is>
      </c>
      <c r="K791" s="4" t="n">
        <v>5.1</v>
      </c>
      <c r="L791" s="4" t="inlineStr">
        <is>
          <t>127/127</t>
        </is>
      </c>
      <c r="M791" s="9" t="inlineStr">
        <is>
          <t>Submission 1101111135</t>
        </is>
      </c>
      <c r="N791" s="4" t="inlineStr">
        <is>
          <t>No</t>
        </is>
      </c>
    </row>
    <row r="792">
      <c r="A792" s="11" t="n">
        <v>45248.8387037037</v>
      </c>
      <c r="B792" s="4" t="inlineStr">
        <is>
          <t>2023-11</t>
        </is>
      </c>
      <c r="C792" s="4" t="n">
        <v>76</v>
      </c>
      <c r="D792" s="9" t="inlineStr">
        <is>
          <t>Minimum Window Substring</t>
        </is>
      </c>
      <c r="E792" s="4" t="inlineStr">
        <is>
          <t>Hard</t>
        </is>
      </c>
      <c r="F792" s="4" t="inlineStr">
        <is>
          <t>Sliding Window</t>
        </is>
      </c>
      <c r="G792" s="4" t="inlineStr">
        <is>
          <t>Time Limit Exceeded</t>
        </is>
      </c>
      <c r="H792" s="4" t="inlineStr">
        <is>
          <t>Python3</t>
        </is>
      </c>
      <c r="I792" s="4" t="inlineStr">
        <is>
          <t>N/A</t>
        </is>
      </c>
      <c r="J792" s="4" t="inlineStr">
        <is>
          <t>N/A</t>
        </is>
      </c>
      <c r="K792" s="4" t="n"/>
      <c r="L792" s="4" t="inlineStr">
        <is>
          <t>265/267</t>
        </is>
      </c>
      <c r="M792" s="9" t="inlineStr">
        <is>
          <t>Submission 1101446851</t>
        </is>
      </c>
      <c r="N792" s="4" t="inlineStr">
        <is>
          <t>Yes</t>
        </is>
      </c>
    </row>
    <row r="793">
      <c r="A793" s="11" t="n">
        <v>45248.84513888889</v>
      </c>
      <c r="B793" s="4" t="inlineStr">
        <is>
          <t>2023-11</t>
        </is>
      </c>
      <c r="C793" s="4" t="n">
        <v>76</v>
      </c>
      <c r="D793" s="9" t="inlineStr">
        <is>
          <t>Minimum Window Substring</t>
        </is>
      </c>
      <c r="E793" s="4" t="inlineStr">
        <is>
          <t>Hard</t>
        </is>
      </c>
      <c r="F793" s="4" t="inlineStr">
        <is>
          <t>Sliding Window</t>
        </is>
      </c>
      <c r="G793" s="4" t="inlineStr">
        <is>
          <t>Accepted</t>
        </is>
      </c>
      <c r="H793" s="4" t="inlineStr">
        <is>
          <t>Python3</t>
        </is>
      </c>
      <c r="I793" s="4" t="inlineStr">
        <is>
          <t>155 ms</t>
        </is>
      </c>
      <c r="J793" s="4" t="inlineStr">
        <is>
          <t>17.2 MB</t>
        </is>
      </c>
      <c r="K793" s="4" t="n">
        <v>19.9</v>
      </c>
      <c r="L793" s="4" t="inlineStr">
        <is>
          <t>267/267</t>
        </is>
      </c>
      <c r="M793" s="9" t="inlineStr">
        <is>
          <t>Submission 1101451534</t>
        </is>
      </c>
      <c r="N793" s="4" t="inlineStr">
        <is>
          <t>Yes</t>
        </is>
      </c>
    </row>
    <row r="794">
      <c r="A794" s="11" t="n">
        <v>45248.85158564815</v>
      </c>
      <c r="B794" s="4" t="inlineStr">
        <is>
          <t>2023-11</t>
        </is>
      </c>
      <c r="C794" s="4" t="n">
        <v>1004</v>
      </c>
      <c r="D794" s="9" t="inlineStr">
        <is>
          <t>Max Consecutive Ones III</t>
        </is>
      </c>
      <c r="E794" s="4" t="inlineStr">
        <is>
          <t>Medium</t>
        </is>
      </c>
      <c r="F794" s="4" t="inlineStr">
        <is>
          <t>Sliding Window</t>
        </is>
      </c>
      <c r="G794" s="4" t="inlineStr">
        <is>
          <t>Accepted</t>
        </is>
      </c>
      <c r="H794" s="4" t="inlineStr">
        <is>
          <t>Python3</t>
        </is>
      </c>
      <c r="I794" s="4" t="inlineStr">
        <is>
          <t>518 ms</t>
        </is>
      </c>
      <c r="J794" s="4" t="inlineStr">
        <is>
          <t>17.2 MB</t>
        </is>
      </c>
      <c r="K794" s="4" t="n">
        <v>5.1</v>
      </c>
      <c r="L794" s="4" t="inlineStr">
        <is>
          <t>55/55</t>
        </is>
      </c>
      <c r="M794" s="9" t="inlineStr">
        <is>
          <t>Submission 1101456423</t>
        </is>
      </c>
      <c r="N794" s="4" t="inlineStr">
        <is>
          <t>No</t>
        </is>
      </c>
    </row>
    <row r="795">
      <c r="A795" s="11" t="n">
        <v>45248.90861111111</v>
      </c>
      <c r="B795" s="4" t="inlineStr">
        <is>
          <t>2023-11</t>
        </is>
      </c>
      <c r="C795" s="4" t="n">
        <v>140</v>
      </c>
      <c r="D795" s="9" t="inlineStr">
        <is>
          <t>Word Break II</t>
        </is>
      </c>
      <c r="E795" s="4" t="inlineStr">
        <is>
          <t>Hard</t>
        </is>
      </c>
      <c r="F795" s="4" t="inlineStr">
        <is>
          <t>Backtracking</t>
        </is>
      </c>
      <c r="G795" s="4" t="inlineStr">
        <is>
          <t>Accepted</t>
        </is>
      </c>
      <c r="H795" s="4" t="inlineStr">
        <is>
          <t>Python3</t>
        </is>
      </c>
      <c r="I795" s="4" t="inlineStr">
        <is>
          <t>41 ms</t>
        </is>
      </c>
      <c r="J795" s="4" t="inlineStr">
        <is>
          <t>16.4 MB</t>
        </is>
      </c>
      <c r="K795" s="4" t="n">
        <v>0.3</v>
      </c>
      <c r="L795" s="4" t="inlineStr">
        <is>
          <t>27/27</t>
        </is>
      </c>
      <c r="M795" s="9" t="inlineStr">
        <is>
          <t>Submission 1101500228</t>
        </is>
      </c>
      <c r="N795" s="4" t="inlineStr">
        <is>
          <t>Yes</t>
        </is>
      </c>
    </row>
    <row r="796">
      <c r="A796" s="11" t="n">
        <v>45249.03399305556</v>
      </c>
      <c r="B796" s="4" t="inlineStr">
        <is>
          <t>2023-11</t>
        </is>
      </c>
      <c r="C796" s="4" t="n">
        <v>239</v>
      </c>
      <c r="D796" s="9" t="inlineStr">
        <is>
          <t>Sliding Window Maximum</t>
        </is>
      </c>
      <c r="E796" s="4" t="inlineStr">
        <is>
          <t>Hard</t>
        </is>
      </c>
      <c r="F796" s="4" t="inlineStr">
        <is>
          <t>Monotonic Stack / Deque</t>
        </is>
      </c>
      <c r="G796" s="4" t="inlineStr">
        <is>
          <t>Runtime Error</t>
        </is>
      </c>
      <c r="H796" s="4" t="inlineStr">
        <is>
          <t>Python3</t>
        </is>
      </c>
      <c r="I796" s="4" t="inlineStr">
        <is>
          <t>N/A</t>
        </is>
      </c>
      <c r="J796" s="4" t="inlineStr">
        <is>
          <t>N/A</t>
        </is>
      </c>
      <c r="K796" s="4" t="n"/>
      <c r="L796" s="4" t="inlineStr">
        <is>
          <t>0/51</t>
        </is>
      </c>
      <c r="M796" s="9" t="inlineStr">
        <is>
          <t>Submission 1101605330</t>
        </is>
      </c>
      <c r="N796" s="4" t="inlineStr">
        <is>
          <t>Yes</t>
        </is>
      </c>
    </row>
    <row r="797">
      <c r="A797" s="11" t="n">
        <v>45249.03408564815</v>
      </c>
      <c r="B797" s="4" t="inlineStr">
        <is>
          <t>2023-11</t>
        </is>
      </c>
      <c r="C797" s="4" t="n">
        <v>239</v>
      </c>
      <c r="D797" s="9" t="inlineStr">
        <is>
          <t>Sliding Window Maximum</t>
        </is>
      </c>
      <c r="E797" s="4" t="inlineStr">
        <is>
          <t>Hard</t>
        </is>
      </c>
      <c r="F797" s="4" t="inlineStr">
        <is>
          <t>Monotonic Stack / Deque</t>
        </is>
      </c>
      <c r="G797" s="4" t="inlineStr">
        <is>
          <t>Runtime Error</t>
        </is>
      </c>
      <c r="H797" s="4" t="inlineStr">
        <is>
          <t>Python3</t>
        </is>
      </c>
      <c r="I797" s="4" t="inlineStr">
        <is>
          <t>N/A</t>
        </is>
      </c>
      <c r="J797" s="4" t="inlineStr">
        <is>
          <t>N/A</t>
        </is>
      </c>
      <c r="K797" s="4" t="n"/>
      <c r="L797" s="4" t="inlineStr">
        <is>
          <t>0/51</t>
        </is>
      </c>
      <c r="M797" s="9" t="inlineStr">
        <is>
          <t>Submission 1101605417</t>
        </is>
      </c>
      <c r="N797" s="4" t="inlineStr">
        <is>
          <t>Yes</t>
        </is>
      </c>
    </row>
    <row r="798">
      <c r="A798" s="11" t="n">
        <v>45249.03414351852</v>
      </c>
      <c r="B798" s="4" t="inlineStr">
        <is>
          <t>2023-11</t>
        </is>
      </c>
      <c r="C798" s="4" t="n">
        <v>239</v>
      </c>
      <c r="D798" s="9" t="inlineStr">
        <is>
          <t>Sliding Window Maximum</t>
        </is>
      </c>
      <c r="E798" s="4" t="inlineStr">
        <is>
          <t>Hard</t>
        </is>
      </c>
      <c r="F798" s="4" t="inlineStr">
        <is>
          <t>Monotonic Stack / Deque</t>
        </is>
      </c>
      <c r="G798" s="4" t="inlineStr">
        <is>
          <t>Accepted</t>
        </is>
      </c>
      <c r="H798" s="4" t="inlineStr">
        <is>
          <t>Python3</t>
        </is>
      </c>
      <c r="I798" s="4" t="inlineStr">
        <is>
          <t>1301 ms</t>
        </is>
      </c>
      <c r="J798" s="4" t="inlineStr">
        <is>
          <t>33.2 MB</t>
        </is>
      </c>
      <c r="K798" s="4" t="n">
        <v>5</v>
      </c>
      <c r="L798" s="4" t="inlineStr">
        <is>
          <t>51/51</t>
        </is>
      </c>
      <c r="M798" s="9" t="inlineStr">
        <is>
          <t>Submission 1101605458</t>
        </is>
      </c>
      <c r="N798" s="4" t="inlineStr">
        <is>
          <t>Yes</t>
        </is>
      </c>
    </row>
    <row r="799">
      <c r="A799" s="11" t="n">
        <v>45249.22625</v>
      </c>
      <c r="B799" s="4" t="inlineStr">
        <is>
          <t>2023-11</t>
        </is>
      </c>
      <c r="C799" s="4" t="n">
        <v>34</v>
      </c>
      <c r="D799" s="9" t="inlineStr">
        <is>
          <t>Find First and Last Position of Element in Sorted Array</t>
        </is>
      </c>
      <c r="E799" s="4" t="inlineStr">
        <is>
          <t>Medium</t>
        </is>
      </c>
      <c r="F799" s="4" t="inlineStr">
        <is>
          <t>Binary Search</t>
        </is>
      </c>
      <c r="G799" s="4" t="inlineStr">
        <is>
          <t>Accepted</t>
        </is>
      </c>
      <c r="H799" s="4" t="inlineStr">
        <is>
          <t>Python3</t>
        </is>
      </c>
      <c r="I799" s="4" t="inlineStr">
        <is>
          <t>83 ms</t>
        </is>
      </c>
      <c r="J799" s="4" t="inlineStr">
        <is>
          <t>17.9 MB</t>
        </is>
      </c>
      <c r="K799" s="4" t="n">
        <v>0</v>
      </c>
      <c r="L799" s="4" t="inlineStr">
        <is>
          <t>88/88</t>
        </is>
      </c>
      <c r="M799" s="9" t="inlineStr">
        <is>
          <t>Submission 1101715842</t>
        </is>
      </c>
      <c r="N799" s="4" t="inlineStr">
        <is>
          <t>Yes</t>
        </is>
      </c>
    </row>
    <row r="800">
      <c r="A800" s="11" t="n">
        <v>45249.33863425926</v>
      </c>
      <c r="B800" s="4" t="inlineStr">
        <is>
          <t>2023-11</t>
        </is>
      </c>
      <c r="C800" s="4" t="n">
        <v>207</v>
      </c>
      <c r="D800" s="9" t="inlineStr">
        <is>
          <t>Course Schedule</t>
        </is>
      </c>
      <c r="E800" s="4" t="inlineStr">
        <is>
          <t>Medium</t>
        </is>
      </c>
      <c r="F800" s="4" t="inlineStr">
        <is>
          <t>Graph: Topological Sort</t>
        </is>
      </c>
      <c r="G800" s="4" t="inlineStr">
        <is>
          <t>Wrong Answer</t>
        </is>
      </c>
      <c r="H800" s="4" t="inlineStr">
        <is>
          <t>Python3</t>
        </is>
      </c>
      <c r="I800" s="4" t="inlineStr">
        <is>
          <t>N/A</t>
        </is>
      </c>
      <c r="J800" s="4" t="inlineStr">
        <is>
          <t>N/A</t>
        </is>
      </c>
      <c r="K800" s="4" t="n"/>
      <c r="L800" s="4" t="inlineStr">
        <is>
          <t>23/52</t>
        </is>
      </c>
      <c r="M800" s="9" t="inlineStr">
        <is>
          <t>Submission 1101773559</t>
        </is>
      </c>
      <c r="N800" s="4" t="inlineStr">
        <is>
          <t>Yes</t>
        </is>
      </c>
    </row>
    <row r="801">
      <c r="A801" s="11" t="n">
        <v>45249.34341435185</v>
      </c>
      <c r="B801" s="4" t="inlineStr">
        <is>
          <t>2023-11</t>
        </is>
      </c>
      <c r="C801" s="4" t="n">
        <v>207</v>
      </c>
      <c r="D801" s="9" t="inlineStr">
        <is>
          <t>Course Schedule</t>
        </is>
      </c>
      <c r="E801" s="4" t="inlineStr">
        <is>
          <t>Medium</t>
        </is>
      </c>
      <c r="F801" s="4" t="inlineStr">
        <is>
          <t>Graph: Topological Sort</t>
        </is>
      </c>
      <c r="G801" s="4" t="inlineStr">
        <is>
          <t>Output Limit Exceeded</t>
        </is>
      </c>
      <c r="H801" s="4" t="inlineStr">
        <is>
          <t>Python3</t>
        </is>
      </c>
      <c r="I801" s="4" t="inlineStr">
        <is>
          <t>N/A</t>
        </is>
      </c>
      <c r="J801" s="4" t="inlineStr">
        <is>
          <t>N/A</t>
        </is>
      </c>
      <c r="K801" s="4" t="n"/>
      <c r="L801" s="4" t="inlineStr">
        <is>
          <t>44/52</t>
        </is>
      </c>
      <c r="M801" s="9" t="inlineStr">
        <is>
          <t>Submission 1101782525</t>
        </is>
      </c>
      <c r="N801" s="4" t="inlineStr">
        <is>
          <t>Yes</t>
        </is>
      </c>
    </row>
    <row r="802">
      <c r="A802" s="11" t="n">
        <v>45249.34358796296</v>
      </c>
      <c r="B802" s="4" t="inlineStr">
        <is>
          <t>2023-11</t>
        </is>
      </c>
      <c r="C802" s="4" t="n">
        <v>207</v>
      </c>
      <c r="D802" s="9" t="inlineStr">
        <is>
          <t>Course Schedule</t>
        </is>
      </c>
      <c r="E802" s="4" t="inlineStr">
        <is>
          <t>Medium</t>
        </is>
      </c>
      <c r="F802" s="4" t="inlineStr">
        <is>
          <t>Graph: Topological Sort</t>
        </is>
      </c>
      <c r="G802" s="4" t="inlineStr">
        <is>
          <t>Accepted</t>
        </is>
      </c>
      <c r="H802" s="4" t="inlineStr">
        <is>
          <t>Python3</t>
        </is>
      </c>
      <c r="I802" s="4" t="inlineStr">
        <is>
          <t>98 ms</t>
        </is>
      </c>
      <c r="J802" s="4" t="inlineStr">
        <is>
          <t>19.3 MB</t>
        </is>
      </c>
      <c r="K802" s="4" t="n">
        <v>5.1</v>
      </c>
      <c r="L802" s="4" t="inlineStr">
        <is>
          <t>52/52</t>
        </is>
      </c>
      <c r="M802" s="9" t="inlineStr">
        <is>
          <t>Submission 1101782848</t>
        </is>
      </c>
      <c r="N802" s="4" t="inlineStr">
        <is>
          <t>Yes</t>
        </is>
      </c>
    </row>
    <row r="803">
      <c r="A803" s="11" t="n">
        <v>45249.37668981482</v>
      </c>
      <c r="B803" s="4" t="inlineStr">
        <is>
          <t>2023-11</t>
        </is>
      </c>
      <c r="C803" s="4" t="n">
        <v>347</v>
      </c>
      <c r="D803" s="9" t="inlineStr">
        <is>
          <t>Top K Frequent Elements</t>
        </is>
      </c>
      <c r="E803" s="4" t="inlineStr">
        <is>
          <t>Medium</t>
        </is>
      </c>
      <c r="F803" s="4" t="inlineStr">
        <is>
          <t>Heap / Top-K</t>
        </is>
      </c>
      <c r="G803" s="4" t="inlineStr">
        <is>
          <t>Wrong Answer</t>
        </is>
      </c>
      <c r="H803" s="4" t="inlineStr">
        <is>
          <t>Python3</t>
        </is>
      </c>
      <c r="I803" s="4" t="inlineStr">
        <is>
          <t>N/A</t>
        </is>
      </c>
      <c r="J803" s="4" t="inlineStr">
        <is>
          <t>N/A</t>
        </is>
      </c>
      <c r="K803" s="4" t="n"/>
      <c r="L803" s="4" t="inlineStr">
        <is>
          <t>8/21</t>
        </is>
      </c>
      <c r="M803" s="9" t="inlineStr">
        <is>
          <t>Submission 1101830813</t>
        </is>
      </c>
      <c r="N803" s="4" t="inlineStr">
        <is>
          <t>No</t>
        </is>
      </c>
    </row>
    <row r="804">
      <c r="A804" s="11" t="n">
        <v>45249.37724537037</v>
      </c>
      <c r="B804" s="4" t="inlineStr">
        <is>
          <t>2023-11</t>
        </is>
      </c>
      <c r="C804" s="4" t="n">
        <v>347</v>
      </c>
      <c r="D804" s="9" t="inlineStr">
        <is>
          <t>Top K Frequent Elements</t>
        </is>
      </c>
      <c r="E804" s="4" t="inlineStr">
        <is>
          <t>Medium</t>
        </is>
      </c>
      <c r="F804" s="4" t="inlineStr">
        <is>
          <t>Heap / Top-K</t>
        </is>
      </c>
      <c r="G804" s="4" t="inlineStr">
        <is>
          <t>Wrong Answer</t>
        </is>
      </c>
      <c r="H804" s="4" t="inlineStr">
        <is>
          <t>Python3</t>
        </is>
      </c>
      <c r="I804" s="4" t="inlineStr">
        <is>
          <t>N/A</t>
        </is>
      </c>
      <c r="J804" s="4" t="inlineStr">
        <is>
          <t>N/A</t>
        </is>
      </c>
      <c r="K804" s="4" t="n"/>
      <c r="L804" s="4" t="inlineStr">
        <is>
          <t>8/21</t>
        </is>
      </c>
      <c r="M804" s="9" t="inlineStr">
        <is>
          <t>Submission 1101831528</t>
        </is>
      </c>
      <c r="N804" s="4" t="inlineStr">
        <is>
          <t>No</t>
        </is>
      </c>
    </row>
    <row r="805">
      <c r="A805" s="11" t="n">
        <v>45249.37753472223</v>
      </c>
      <c r="B805" s="4" t="inlineStr">
        <is>
          <t>2023-11</t>
        </is>
      </c>
      <c r="C805" s="4" t="n">
        <v>347</v>
      </c>
      <c r="D805" s="9" t="inlineStr">
        <is>
          <t>Top K Frequent Elements</t>
        </is>
      </c>
      <c r="E805" s="4" t="inlineStr">
        <is>
          <t>Medium</t>
        </is>
      </c>
      <c r="F805" s="4" t="inlineStr">
        <is>
          <t>Heap / Top-K</t>
        </is>
      </c>
      <c r="G805" s="4" t="inlineStr">
        <is>
          <t>Wrong Answer</t>
        </is>
      </c>
      <c r="H805" s="4" t="inlineStr">
        <is>
          <t>Python3</t>
        </is>
      </c>
      <c r="I805" s="4" t="inlineStr">
        <is>
          <t>N/A</t>
        </is>
      </c>
      <c r="J805" s="4" t="inlineStr">
        <is>
          <t>N/A</t>
        </is>
      </c>
      <c r="K805" s="4" t="n"/>
      <c r="L805" s="4" t="inlineStr">
        <is>
          <t>8/21</t>
        </is>
      </c>
      <c r="M805" s="9" t="inlineStr">
        <is>
          <t>Submission 1101831932</t>
        </is>
      </c>
      <c r="N805" s="4" t="inlineStr">
        <is>
          <t>No</t>
        </is>
      </c>
    </row>
    <row r="806">
      <c r="A806" s="11" t="n">
        <v>45249.38143518518</v>
      </c>
      <c r="B806" s="4" t="inlineStr">
        <is>
          <t>2023-11</t>
        </is>
      </c>
      <c r="C806" s="4" t="n">
        <v>347</v>
      </c>
      <c r="D806" s="9" t="inlineStr">
        <is>
          <t>Top K Frequent Elements</t>
        </is>
      </c>
      <c r="E806" s="4" t="inlineStr">
        <is>
          <t>Medium</t>
        </is>
      </c>
      <c r="F806" s="4" t="inlineStr">
        <is>
          <t>Heap / Top-K</t>
        </is>
      </c>
      <c r="G806" s="4" t="inlineStr">
        <is>
          <t>Wrong Answer</t>
        </is>
      </c>
      <c r="H806" s="4" t="inlineStr">
        <is>
          <t>Python3</t>
        </is>
      </c>
      <c r="I806" s="4" t="inlineStr">
        <is>
          <t>N/A</t>
        </is>
      </c>
      <c r="J806" s="4" t="inlineStr">
        <is>
          <t>N/A</t>
        </is>
      </c>
      <c r="K806" s="4" t="n"/>
      <c r="L806" s="4" t="inlineStr">
        <is>
          <t>5/21</t>
        </is>
      </c>
      <c r="M806" s="9" t="inlineStr">
        <is>
          <t>Submission 1101836944</t>
        </is>
      </c>
      <c r="N806" s="4" t="inlineStr">
        <is>
          <t>No</t>
        </is>
      </c>
    </row>
    <row r="807">
      <c r="A807" s="11" t="n">
        <v>45249.38162037037</v>
      </c>
      <c r="B807" s="4" t="inlineStr">
        <is>
          <t>2023-11</t>
        </is>
      </c>
      <c r="C807" s="4" t="n">
        <v>347</v>
      </c>
      <c r="D807" s="9" t="inlineStr">
        <is>
          <t>Top K Frequent Elements</t>
        </is>
      </c>
      <c r="E807" s="4" t="inlineStr">
        <is>
          <t>Medium</t>
        </is>
      </c>
      <c r="F807" s="4" t="inlineStr">
        <is>
          <t>Heap / Top-K</t>
        </is>
      </c>
      <c r="G807" s="4" t="inlineStr">
        <is>
          <t>Accepted</t>
        </is>
      </c>
      <c r="H807" s="4" t="inlineStr">
        <is>
          <t>Python3</t>
        </is>
      </c>
      <c r="I807" s="4" t="inlineStr">
        <is>
          <t>103 ms</t>
        </is>
      </c>
      <c r="J807" s="4" t="inlineStr">
        <is>
          <t>21.2 MB</t>
        </is>
      </c>
      <c r="K807" s="4" t="n">
        <v>5</v>
      </c>
      <c r="L807" s="4" t="inlineStr">
        <is>
          <t>21/21</t>
        </is>
      </c>
      <c r="M807" s="9" t="inlineStr">
        <is>
          <t>Submission 1101837215</t>
        </is>
      </c>
      <c r="N807" s="4" t="inlineStr">
        <is>
          <t>No</t>
        </is>
      </c>
    </row>
    <row r="808">
      <c r="A808" s="11" t="n">
        <v>45249.82423611111</v>
      </c>
      <c r="B808" s="4" t="inlineStr">
        <is>
          <t>2023-11</t>
        </is>
      </c>
      <c r="C808" s="4" t="n">
        <v>347</v>
      </c>
      <c r="D808" s="9" t="inlineStr">
        <is>
          <t>Top K Frequent Elements</t>
        </is>
      </c>
      <c r="E808" s="4" t="inlineStr">
        <is>
          <t>Medium</t>
        </is>
      </c>
      <c r="F808" s="4" t="inlineStr">
        <is>
          <t>Heap / Top-K</t>
        </is>
      </c>
      <c r="G808" s="4" t="inlineStr">
        <is>
          <t>Accepted</t>
        </is>
      </c>
      <c r="H808" s="4" t="inlineStr">
        <is>
          <t>Python3</t>
        </is>
      </c>
      <c r="I808" s="4" t="inlineStr">
        <is>
          <t>96 ms</t>
        </is>
      </c>
      <c r="J808" s="4" t="inlineStr">
        <is>
          <t>21.1 MB</t>
        </is>
      </c>
      <c r="K808" s="4" t="n">
        <v>5</v>
      </c>
      <c r="L808" s="4" t="inlineStr">
        <is>
          <t>21/21</t>
        </is>
      </c>
      <c r="M808" s="9" t="inlineStr">
        <is>
          <t>Submission 1102113628</t>
        </is>
      </c>
      <c r="N808" s="4" t="inlineStr">
        <is>
          <t>No</t>
        </is>
      </c>
    </row>
    <row r="809">
      <c r="A809" s="11" t="n">
        <v>45249.86143518519</v>
      </c>
      <c r="B809" s="4" t="inlineStr">
        <is>
          <t>2023-11</t>
        </is>
      </c>
      <c r="C809" s="4" t="n">
        <v>490</v>
      </c>
      <c r="D809" s="9" t="inlineStr">
        <is>
          <t>The Maze</t>
        </is>
      </c>
      <c r="E809" s="4" t="inlineStr">
        <is>
          <t>Medium</t>
        </is>
      </c>
      <c r="F809" s="4" t="inlineStr">
        <is>
          <t>Graph: Grid BFS/DFS</t>
        </is>
      </c>
      <c r="G809" s="4" t="inlineStr">
        <is>
          <t>Wrong Answer</t>
        </is>
      </c>
      <c r="H809" s="4" t="inlineStr">
        <is>
          <t>Python3</t>
        </is>
      </c>
      <c r="I809" s="4" t="inlineStr">
        <is>
          <t>N/A</t>
        </is>
      </c>
      <c r="J809" s="4" t="inlineStr">
        <is>
          <t>N/A</t>
        </is>
      </c>
      <c r="K809" s="4" t="n"/>
      <c r="L809" s="4" t="inlineStr">
        <is>
          <t>39/78</t>
        </is>
      </c>
      <c r="M809" s="9" t="inlineStr">
        <is>
          <t>Submission 1102135899</t>
        </is>
      </c>
      <c r="N809" s="4" t="inlineStr">
        <is>
          <t>No</t>
        </is>
      </c>
    </row>
    <row r="810">
      <c r="A810" s="11" t="n">
        <v>45249.86594907408</v>
      </c>
      <c r="B810" s="4" t="inlineStr">
        <is>
          <t>2023-11</t>
        </is>
      </c>
      <c r="C810" s="4" t="n">
        <v>490</v>
      </c>
      <c r="D810" s="9" t="inlineStr">
        <is>
          <t>The Maze</t>
        </is>
      </c>
      <c r="E810" s="4" t="inlineStr">
        <is>
          <t>Medium</t>
        </is>
      </c>
      <c r="F810" s="4" t="inlineStr">
        <is>
          <t>Graph: Grid BFS/DFS</t>
        </is>
      </c>
      <c r="G810" s="4" t="inlineStr">
        <is>
          <t>Accepted</t>
        </is>
      </c>
      <c r="H810" s="4" t="inlineStr">
        <is>
          <t>Python3</t>
        </is>
      </c>
      <c r="I810" s="4" t="inlineStr">
        <is>
          <t>239 ms</t>
        </is>
      </c>
      <c r="J810" s="4" t="inlineStr">
        <is>
          <t>18.7 MB</t>
        </is>
      </c>
      <c r="K810" s="4" t="n">
        <v>5.2</v>
      </c>
      <c r="L810" s="4" t="inlineStr">
        <is>
          <t>78/78</t>
        </is>
      </c>
      <c r="M810" s="9" t="inlineStr">
        <is>
          <t>Submission 1102138705</t>
        </is>
      </c>
      <c r="N810" s="4" t="inlineStr">
        <is>
          <t>No</t>
        </is>
      </c>
    </row>
    <row r="811">
      <c r="A811" s="11" t="n">
        <v>45250.0577662037</v>
      </c>
      <c r="B811" s="4" t="inlineStr">
        <is>
          <t>2023-11</t>
        </is>
      </c>
      <c r="C811" s="4" t="n">
        <v>1011</v>
      </c>
      <c r="D811" s="9" t="inlineStr">
        <is>
          <t>Capacity To Ship Packages Within D Days</t>
        </is>
      </c>
      <c r="E811" s="4" t="inlineStr">
        <is>
          <t>Medium</t>
        </is>
      </c>
      <c r="F811" s="4" t="inlineStr">
        <is>
          <t>Binary Search on Answer</t>
        </is>
      </c>
      <c r="G811" s="4" t="inlineStr">
        <is>
          <t>Accepted</t>
        </is>
      </c>
      <c r="H811" s="4" t="inlineStr">
        <is>
          <t>Python3</t>
        </is>
      </c>
      <c r="I811" s="4" t="inlineStr">
        <is>
          <t>450 ms</t>
        </is>
      </c>
      <c r="J811" s="4" t="inlineStr">
        <is>
          <t>22.1 MB</t>
        </is>
      </c>
      <c r="K811" s="4" t="n">
        <v>5.7</v>
      </c>
      <c r="L811" s="4" t="inlineStr">
        <is>
          <t>87/87</t>
        </is>
      </c>
      <c r="M811" s="9" t="inlineStr">
        <is>
          <t>Submission 1102276611</t>
        </is>
      </c>
      <c r="N811" s="4" t="inlineStr">
        <is>
          <t>No</t>
        </is>
      </c>
    </row>
    <row r="812">
      <c r="A812" s="11" t="n">
        <v>45250.8415625</v>
      </c>
      <c r="B812" s="4" t="inlineStr">
        <is>
          <t>2023-11</t>
        </is>
      </c>
      <c r="C812" s="4" t="n">
        <v>215</v>
      </c>
      <c r="D812" s="9" t="inlineStr">
        <is>
          <t>Kth Largest Element in an Array</t>
        </is>
      </c>
      <c r="E812" s="4" t="inlineStr">
        <is>
          <t>Medium</t>
        </is>
      </c>
      <c r="F812" s="4" t="inlineStr">
        <is>
          <t>Heap / Top-K</t>
        </is>
      </c>
      <c r="G812" s="4" t="inlineStr">
        <is>
          <t>Time Limit Exceeded</t>
        </is>
      </c>
      <c r="H812" s="4" t="inlineStr">
        <is>
          <t>Python3</t>
        </is>
      </c>
      <c r="I812" s="4" t="inlineStr">
        <is>
          <t>N/A</t>
        </is>
      </c>
      <c r="J812" s="4" t="inlineStr">
        <is>
          <t>N/A</t>
        </is>
      </c>
      <c r="K812" s="4" t="n"/>
      <c r="L812" s="4" t="inlineStr">
        <is>
          <t>0/41</t>
        </is>
      </c>
      <c r="M812" s="9" t="inlineStr">
        <is>
          <t>Submission 1102762670</t>
        </is>
      </c>
      <c r="N812" s="4" t="inlineStr">
        <is>
          <t>No</t>
        </is>
      </c>
    </row>
    <row r="813">
      <c r="A813" s="11" t="n">
        <v>45250.84212962963</v>
      </c>
      <c r="B813" s="4" t="inlineStr">
        <is>
          <t>2023-11</t>
        </is>
      </c>
      <c r="C813" s="4" t="n">
        <v>215</v>
      </c>
      <c r="D813" s="9" t="inlineStr">
        <is>
          <t>Kth Largest Element in an Array</t>
        </is>
      </c>
      <c r="E813" s="4" t="inlineStr">
        <is>
          <t>Medium</t>
        </is>
      </c>
      <c r="F813" s="4" t="inlineStr">
        <is>
          <t>Heap / Top-K</t>
        </is>
      </c>
      <c r="G813" s="4" t="inlineStr">
        <is>
          <t>Accepted</t>
        </is>
      </c>
      <c r="H813" s="4" t="inlineStr">
        <is>
          <t>Python3</t>
        </is>
      </c>
      <c r="I813" s="4" t="inlineStr">
        <is>
          <t>571 ms</t>
        </is>
      </c>
      <c r="J813" s="4" t="inlineStr">
        <is>
          <t>29.4 MB</t>
        </is>
      </c>
      <c r="K813" s="4" t="n">
        <v>5</v>
      </c>
      <c r="L813" s="4" t="inlineStr">
        <is>
          <t>41/41</t>
        </is>
      </c>
      <c r="M813" s="9" t="inlineStr">
        <is>
          <t>Submission 1102763129</t>
        </is>
      </c>
      <c r="N813" s="4" t="inlineStr">
        <is>
          <t>No</t>
        </is>
      </c>
    </row>
    <row r="814">
      <c r="A814" s="11" t="n">
        <v>45251.02790509259</v>
      </c>
      <c r="B814" s="4" t="inlineStr">
        <is>
          <t>2023-11</t>
        </is>
      </c>
      <c r="C814" s="4" t="n">
        <v>528</v>
      </c>
      <c r="D814" s="9" t="inlineStr">
        <is>
          <t>Random Pick with Weight</t>
        </is>
      </c>
      <c r="E814" s="4" t="inlineStr">
        <is>
          <t>Medium</t>
        </is>
      </c>
      <c r="F814" s="4" t="inlineStr">
        <is>
          <t>Prefix Sum &amp; Difference Array</t>
        </is>
      </c>
      <c r="G814" s="4" t="inlineStr">
        <is>
          <t>Accepted</t>
        </is>
      </c>
      <c r="H814" s="4" t="inlineStr">
        <is>
          <t>Python3</t>
        </is>
      </c>
      <c r="I814" s="4" t="inlineStr">
        <is>
          <t>164 ms</t>
        </is>
      </c>
      <c r="J814" s="4" t="inlineStr">
        <is>
          <t>21.7 MB</t>
        </is>
      </c>
      <c r="K814" s="4" t="n">
        <v>19.9</v>
      </c>
      <c r="L814" s="4" t="inlineStr">
        <is>
          <t>57/57</t>
        </is>
      </c>
      <c r="M814" s="9" t="inlineStr">
        <is>
          <t>Submission 1102932083</t>
        </is>
      </c>
      <c r="N814" s="4" t="inlineStr">
        <is>
          <t>Yes</t>
        </is>
      </c>
    </row>
    <row r="815">
      <c r="A815" s="11" t="n">
        <v>45251.2103587963</v>
      </c>
      <c r="B815" s="4" t="inlineStr">
        <is>
          <t>2023-11</t>
        </is>
      </c>
      <c r="C815" s="4" t="n">
        <v>1249</v>
      </c>
      <c r="D815" s="9" t="inlineStr">
        <is>
          <t>Minimum Remove to Make Valid Parentheses</t>
        </is>
      </c>
      <c r="E815" s="4" t="inlineStr">
        <is>
          <t>Medium</t>
        </is>
      </c>
      <c r="F815" s="4" t="inlineStr">
        <is>
          <t>Stack</t>
        </is>
      </c>
      <c r="G815" s="4" t="inlineStr">
        <is>
          <t>Accepted</t>
        </is>
      </c>
      <c r="H815" s="4" t="inlineStr">
        <is>
          <t>Python3</t>
        </is>
      </c>
      <c r="I815" s="4" t="inlineStr">
        <is>
          <t>89 ms</t>
        </is>
      </c>
      <c r="J815" s="4" t="inlineStr">
        <is>
          <t>18.1 MB</t>
        </is>
      </c>
      <c r="K815" s="4" t="n">
        <v>10</v>
      </c>
      <c r="L815" s="4" t="inlineStr">
        <is>
          <t>62/62</t>
        </is>
      </c>
      <c r="M815" s="9" t="inlineStr">
        <is>
          <t>Submission 1103050513</t>
        </is>
      </c>
      <c r="N815" s="4" t="inlineStr">
        <is>
          <t>No</t>
        </is>
      </c>
    </row>
    <row r="816">
      <c r="A816" s="11" t="n">
        <v>45251.89365740741</v>
      </c>
      <c r="B816" s="4" t="inlineStr">
        <is>
          <t>2023-11</t>
        </is>
      </c>
      <c r="C816" s="4" t="n">
        <v>1650</v>
      </c>
      <c r="D816" s="9" t="inlineStr">
        <is>
          <t>Lowest Common Ancestor of a Binary Tree III</t>
        </is>
      </c>
      <c r="E816" s="4" t="inlineStr">
        <is>
          <t>Medium</t>
        </is>
      </c>
      <c r="F816" s="4" t="inlineStr">
        <is>
          <t>Binary Tree (DFS &amp; Recursion)</t>
        </is>
      </c>
      <c r="G816" s="4" t="inlineStr">
        <is>
          <t>Accepted</t>
        </is>
      </c>
      <c r="H816" s="4" t="inlineStr">
        <is>
          <t>Python3</t>
        </is>
      </c>
      <c r="I816" s="4" t="inlineStr">
        <is>
          <t>62 ms</t>
        </is>
      </c>
      <c r="J816" s="4" t="inlineStr">
        <is>
          <t>20.8 MB</t>
        </is>
      </c>
      <c r="K816" s="4" t="n">
        <v>47.8</v>
      </c>
      <c r="L816" s="4" t="inlineStr">
        <is>
          <t>31/31</t>
        </is>
      </c>
      <c r="M816" s="9" t="inlineStr">
        <is>
          <t>Submission 1103550089</t>
        </is>
      </c>
      <c r="N816" s="4" t="inlineStr">
        <is>
          <t>No</t>
        </is>
      </c>
    </row>
    <row r="817">
      <c r="A817" s="11" t="n">
        <v>45251.91420138889</v>
      </c>
      <c r="B817" s="4" t="inlineStr">
        <is>
          <t>2023-11</t>
        </is>
      </c>
      <c r="C817" s="4" t="n">
        <v>283</v>
      </c>
      <c r="D817" s="9" t="inlineStr">
        <is>
          <t>Move Zeroes</t>
        </is>
      </c>
      <c r="E817" s="4" t="inlineStr">
        <is>
          <t>Easy</t>
        </is>
      </c>
      <c r="F817" s="4" t="inlineStr">
        <is>
          <t>Two Pointers</t>
        </is>
      </c>
      <c r="G817" s="4" t="inlineStr">
        <is>
          <t>Accepted</t>
        </is>
      </c>
      <c r="H817" s="4" t="inlineStr">
        <is>
          <t>Python3</t>
        </is>
      </c>
      <c r="I817" s="4" t="inlineStr">
        <is>
          <t>139 ms</t>
        </is>
      </c>
      <c r="J817" s="4" t="inlineStr">
        <is>
          <t>17.9 MB</t>
        </is>
      </c>
      <c r="K817" s="4" t="n">
        <v>9.199999999999999</v>
      </c>
      <c r="L817" s="4" t="inlineStr">
        <is>
          <t>74/74</t>
        </is>
      </c>
      <c r="M817" s="9" t="inlineStr">
        <is>
          <t>Submission 1103569067</t>
        </is>
      </c>
      <c r="N817" s="4" t="inlineStr">
        <is>
          <t>No</t>
        </is>
      </c>
    </row>
    <row r="818">
      <c r="A818" s="11" t="n">
        <v>45251.91472222222</v>
      </c>
      <c r="B818" s="4" t="inlineStr">
        <is>
          <t>2023-11</t>
        </is>
      </c>
      <c r="C818" s="4" t="n">
        <v>283</v>
      </c>
      <c r="D818" s="9" t="inlineStr">
        <is>
          <t>Move Zeroes</t>
        </is>
      </c>
      <c r="E818" s="4" t="inlineStr">
        <is>
          <t>Easy</t>
        </is>
      </c>
      <c r="F818" s="4" t="inlineStr">
        <is>
          <t>Two Pointers</t>
        </is>
      </c>
      <c r="G818" s="4" t="inlineStr">
        <is>
          <t>Wrong Answer</t>
        </is>
      </c>
      <c r="H818" s="4" t="inlineStr">
        <is>
          <t>Python3</t>
        </is>
      </c>
      <c r="I818" s="4" t="inlineStr">
        <is>
          <t>N/A</t>
        </is>
      </c>
      <c r="J818" s="4" t="inlineStr">
        <is>
          <t>N/A</t>
        </is>
      </c>
      <c r="K818" s="4" t="n"/>
      <c r="L818" s="4" t="inlineStr">
        <is>
          <t>24/74</t>
        </is>
      </c>
      <c r="M818" s="9" t="inlineStr">
        <is>
          <t>Submission 1103569587</t>
        </is>
      </c>
      <c r="N818" s="4" t="inlineStr">
        <is>
          <t>No</t>
        </is>
      </c>
    </row>
    <row r="819">
      <c r="A819" s="11" t="n">
        <v>45251.92550925926</v>
      </c>
      <c r="B819" s="4" t="inlineStr">
        <is>
          <t>2023-11</t>
        </is>
      </c>
      <c r="C819" s="4" t="n">
        <v>162</v>
      </c>
      <c r="D819" s="9" t="inlineStr">
        <is>
          <t>Find Peak Element</t>
        </is>
      </c>
      <c r="E819" s="4" t="inlineStr">
        <is>
          <t>Medium</t>
        </is>
      </c>
      <c r="F819" s="4" t="inlineStr">
        <is>
          <t>Binary Search</t>
        </is>
      </c>
      <c r="G819" s="4" t="inlineStr">
        <is>
          <t>Runtime Error</t>
        </is>
      </c>
      <c r="H819" s="4" t="inlineStr">
        <is>
          <t>Python3</t>
        </is>
      </c>
      <c r="I819" s="4" t="inlineStr">
        <is>
          <t>N/A</t>
        </is>
      </c>
      <c r="J819" s="4" t="inlineStr">
        <is>
          <t>N/A</t>
        </is>
      </c>
      <c r="K819" s="4" t="n"/>
      <c r="L819" s="4" t="inlineStr">
        <is>
          <t>2/66</t>
        </is>
      </c>
      <c r="M819" s="9" t="inlineStr">
        <is>
          <t>Submission 1103579764</t>
        </is>
      </c>
      <c r="N819" s="4" t="inlineStr">
        <is>
          <t>Yes</t>
        </is>
      </c>
    </row>
    <row r="820">
      <c r="A820" s="11" t="n">
        <v>45251.92582175926</v>
      </c>
      <c r="B820" s="4" t="inlineStr">
        <is>
          <t>2023-11</t>
        </is>
      </c>
      <c r="C820" s="4" t="n">
        <v>162</v>
      </c>
      <c r="D820" s="9" t="inlineStr">
        <is>
          <t>Find Peak Element</t>
        </is>
      </c>
      <c r="E820" s="4" t="inlineStr">
        <is>
          <t>Medium</t>
        </is>
      </c>
      <c r="F820" s="4" t="inlineStr">
        <is>
          <t>Binary Search</t>
        </is>
      </c>
      <c r="G820" s="4" t="inlineStr">
        <is>
          <t>Accepted</t>
        </is>
      </c>
      <c r="H820" s="4" t="inlineStr">
        <is>
          <t>Python3</t>
        </is>
      </c>
      <c r="I820" s="4" t="inlineStr">
        <is>
          <t>57 ms</t>
        </is>
      </c>
      <c r="J820" s="4" t="inlineStr">
        <is>
          <t>16.5 MB</t>
        </is>
      </c>
      <c r="K820" s="4" t="n">
        <v>0.3</v>
      </c>
      <c r="L820" s="4" t="inlineStr">
        <is>
          <t>66/66</t>
        </is>
      </c>
      <c r="M820" s="9" t="inlineStr">
        <is>
          <t>Submission 1103580103</t>
        </is>
      </c>
      <c r="N820" s="4" t="inlineStr">
        <is>
          <t>Yes</t>
        </is>
      </c>
    </row>
    <row r="821">
      <c r="A821" s="11" t="n">
        <v>45251.93266203703</v>
      </c>
      <c r="B821" s="4" t="inlineStr">
        <is>
          <t>2023-11</t>
        </is>
      </c>
      <c r="C821" s="4" t="n">
        <v>162</v>
      </c>
      <c r="D821" s="9" t="inlineStr">
        <is>
          <t>Find Peak Element</t>
        </is>
      </c>
      <c r="E821" s="4" t="inlineStr">
        <is>
          <t>Medium</t>
        </is>
      </c>
      <c r="F821" s="4" t="inlineStr">
        <is>
          <t>Binary Search</t>
        </is>
      </c>
      <c r="G821" s="4" t="inlineStr">
        <is>
          <t>Accepted</t>
        </is>
      </c>
      <c r="H821" s="4" t="inlineStr">
        <is>
          <t>Python3</t>
        </is>
      </c>
      <c r="I821" s="4" t="inlineStr">
        <is>
          <t>45 ms</t>
        </is>
      </c>
      <c r="J821" s="4" t="inlineStr">
        <is>
          <t>16.5 MB</t>
        </is>
      </c>
      <c r="K821" s="4" t="n">
        <v>0.3</v>
      </c>
      <c r="L821" s="4" t="inlineStr">
        <is>
          <t>66/66</t>
        </is>
      </c>
      <c r="M821" s="9" t="inlineStr">
        <is>
          <t>Submission 1103587049</t>
        </is>
      </c>
      <c r="N821" s="4" t="inlineStr">
        <is>
          <t>Yes</t>
        </is>
      </c>
    </row>
    <row r="822">
      <c r="A822" s="11" t="n">
        <v>45251.99246527778</v>
      </c>
      <c r="B822" s="4" t="inlineStr">
        <is>
          <t>2023-11</t>
        </is>
      </c>
      <c r="C822" s="4" t="n">
        <v>987</v>
      </c>
      <c r="D822" s="9" t="inlineStr">
        <is>
          <t>Vertical Order Traversal of a Binary Tree</t>
        </is>
      </c>
      <c r="E822" s="4" t="inlineStr">
        <is>
          <t>Hard</t>
        </is>
      </c>
      <c r="F822" s="4" t="inlineStr">
        <is>
          <t>Binary Tree (BFS / Level Order)</t>
        </is>
      </c>
      <c r="G822" s="4" t="inlineStr">
        <is>
          <t>Wrong Answer</t>
        </is>
      </c>
      <c r="H822" s="4" t="inlineStr">
        <is>
          <t>Python3</t>
        </is>
      </c>
      <c r="I822" s="4" t="inlineStr">
        <is>
          <t>N/A</t>
        </is>
      </c>
      <c r="J822" s="4" t="inlineStr">
        <is>
          <t>N/A</t>
        </is>
      </c>
      <c r="K822" s="4" t="n"/>
      <c r="L822" s="4" t="inlineStr">
        <is>
          <t>14/34</t>
        </is>
      </c>
      <c r="M822" s="9" t="inlineStr">
        <is>
          <t>Submission 1103647758</t>
        </is>
      </c>
      <c r="N822" s="4" t="inlineStr">
        <is>
          <t>Yes</t>
        </is>
      </c>
    </row>
    <row r="823">
      <c r="A823" s="11" t="n">
        <v>45252.06335648148</v>
      </c>
      <c r="B823" s="4" t="inlineStr">
        <is>
          <t>2023-11</t>
        </is>
      </c>
      <c r="C823" s="4" t="n">
        <v>415</v>
      </c>
      <c r="D823" s="9" t="inlineStr">
        <is>
          <t>Add Strings</t>
        </is>
      </c>
      <c r="E823" s="4" t="inlineStr">
        <is>
          <t>Easy</t>
        </is>
      </c>
      <c r="F823" s="4" t="inlineStr">
        <is>
          <t>Strings &amp; Simulation</t>
        </is>
      </c>
      <c r="G823" s="4" t="inlineStr">
        <is>
          <t>Accepted</t>
        </is>
      </c>
      <c r="H823" s="4" t="inlineStr">
        <is>
          <t>Python3</t>
        </is>
      </c>
      <c r="I823" s="4" t="inlineStr">
        <is>
          <t>51 ms</t>
        </is>
      </c>
      <c r="J823" s="4" t="inlineStr">
        <is>
          <t>16.7 MB</t>
        </is>
      </c>
      <c r="K823" s="4" t="n">
        <v>8.300000000000001</v>
      </c>
      <c r="L823" s="4" t="inlineStr">
        <is>
          <t>317/317</t>
        </is>
      </c>
      <c r="M823" s="9" t="inlineStr">
        <is>
          <t>Submission 1103708182</t>
        </is>
      </c>
      <c r="N823" s="4" t="inlineStr">
        <is>
          <t>No</t>
        </is>
      </c>
    </row>
    <row r="824">
      <c r="A824" s="11" t="n">
        <v>45252.08180555556</v>
      </c>
      <c r="B824" s="4" t="inlineStr">
        <is>
          <t>2023-11</t>
        </is>
      </c>
      <c r="C824" s="4" t="n">
        <v>67</v>
      </c>
      <c r="D824" s="9" t="inlineStr">
        <is>
          <t>Add Binary</t>
        </is>
      </c>
      <c r="E824" s="4" t="inlineStr">
        <is>
          <t>Easy</t>
        </is>
      </c>
      <c r="F824" s="4" t="inlineStr">
        <is>
          <t>Strings &amp; Simulation</t>
        </is>
      </c>
      <c r="G824" s="4" t="inlineStr">
        <is>
          <t>Accepted</t>
        </is>
      </c>
      <c r="H824" s="4" t="inlineStr">
        <is>
          <t>Python3</t>
        </is>
      </c>
      <c r="I824" s="4" t="inlineStr">
        <is>
          <t>47 ms</t>
        </is>
      </c>
      <c r="J824" s="4" t="inlineStr">
        <is>
          <t>16.4 MB</t>
        </is>
      </c>
      <c r="K824" s="4" t="n">
        <v>4.7</v>
      </c>
      <c r="L824" s="4" t="inlineStr">
        <is>
          <t>296/296</t>
        </is>
      </c>
      <c r="M824" s="9" t="inlineStr">
        <is>
          <t>Submission 1103721725</t>
        </is>
      </c>
      <c r="N824" s="4" t="inlineStr">
        <is>
          <t>No</t>
        </is>
      </c>
    </row>
    <row r="825">
      <c r="A825" s="11" t="n">
        <v>45252.08188657407</v>
      </c>
      <c r="B825" s="4" t="inlineStr">
        <is>
          <t>2023-11</t>
        </is>
      </c>
      <c r="C825" s="4" t="n">
        <v>67</v>
      </c>
      <c r="D825" s="9" t="inlineStr">
        <is>
          <t>Add Binary</t>
        </is>
      </c>
      <c r="E825" s="4" t="inlineStr">
        <is>
          <t>Easy</t>
        </is>
      </c>
      <c r="F825" s="4" t="inlineStr">
        <is>
          <t>Strings &amp; Simulation</t>
        </is>
      </c>
      <c r="G825" s="4" t="inlineStr">
        <is>
          <t>Accepted</t>
        </is>
      </c>
      <c r="H825" s="4" t="inlineStr">
        <is>
          <t>Python3</t>
        </is>
      </c>
      <c r="I825" s="4" t="inlineStr">
        <is>
          <t>40 ms</t>
        </is>
      </c>
      <c r="J825" s="4" t="inlineStr">
        <is>
          <t>16.5 MB</t>
        </is>
      </c>
      <c r="K825" s="4" t="n">
        <v>4.7</v>
      </c>
      <c r="L825" s="4" t="inlineStr">
        <is>
          <t>296/296</t>
        </is>
      </c>
      <c r="M825" s="9" t="inlineStr">
        <is>
          <t>Submission 1103721779</t>
        </is>
      </c>
      <c r="N825" s="4" t="inlineStr">
        <is>
          <t>No</t>
        </is>
      </c>
    </row>
    <row r="826">
      <c r="A826" s="11" t="n">
        <v>45252.12422453704</v>
      </c>
      <c r="B826" s="4" t="inlineStr">
        <is>
          <t>2023-11</t>
        </is>
      </c>
      <c r="C826" s="4" t="n">
        <v>129</v>
      </c>
      <c r="D826" s="9" t="inlineStr">
        <is>
          <t>Sum Root to Leaf Numbers</t>
        </is>
      </c>
      <c r="E826" s="4" t="inlineStr">
        <is>
          <t>Medium</t>
        </is>
      </c>
      <c r="F826" s="4" t="inlineStr">
        <is>
          <t>Binary Tree (DFS &amp; Recursion)</t>
        </is>
      </c>
      <c r="G826" s="4" t="inlineStr">
        <is>
          <t>Runtime Error</t>
        </is>
      </c>
      <c r="H826" s="4" t="inlineStr">
        <is>
          <t>Python3</t>
        </is>
      </c>
      <c r="I826" s="4" t="inlineStr">
        <is>
          <t>N/A</t>
        </is>
      </c>
      <c r="J826" s="4" t="inlineStr">
        <is>
          <t>N/A</t>
        </is>
      </c>
      <c r="K826" s="4" t="n"/>
      <c r="L826" s="4" t="inlineStr">
        <is>
          <t>0/108</t>
        </is>
      </c>
      <c r="M826" s="9" t="inlineStr">
        <is>
          <t>Submission 1103750814</t>
        </is>
      </c>
      <c r="N826" s="4" t="inlineStr">
        <is>
          <t>Yes</t>
        </is>
      </c>
    </row>
    <row r="827">
      <c r="A827" s="11" t="n">
        <v>45252.18738425926</v>
      </c>
      <c r="B827" s="4" t="inlineStr">
        <is>
          <t>2023-11</t>
        </is>
      </c>
      <c r="C827" s="4" t="n">
        <v>138</v>
      </c>
      <c r="D827" s="9" t="inlineStr">
        <is>
          <t>Copy List with Random Pointer</t>
        </is>
      </c>
      <c r="E827" s="4" t="inlineStr">
        <is>
          <t>Medium</t>
        </is>
      </c>
      <c r="F827" s="4" t="inlineStr">
        <is>
          <t>Linked List</t>
        </is>
      </c>
      <c r="G827" s="4" t="inlineStr">
        <is>
          <t>Accepted</t>
        </is>
      </c>
      <c r="H827" s="4" t="inlineStr">
        <is>
          <t>Python3</t>
        </is>
      </c>
      <c r="I827" s="4" t="inlineStr">
        <is>
          <t>47 ms</t>
        </is>
      </c>
      <c r="J827" s="4" t="inlineStr">
        <is>
          <t>18 MB</t>
        </is>
      </c>
      <c r="K827" s="4" t="n">
        <v>64</v>
      </c>
      <c r="L827" s="4" t="inlineStr">
        <is>
          <t>19/19</t>
        </is>
      </c>
      <c r="M827" s="9" t="inlineStr">
        <is>
          <t>Submission 1103788126</t>
        </is>
      </c>
      <c r="N827" s="4" t="inlineStr">
        <is>
          <t>Yes</t>
        </is>
      </c>
    </row>
    <row r="828">
      <c r="A828" s="11" t="n">
        <v>45252.18751157408</v>
      </c>
      <c r="B828" s="4" t="inlineStr">
        <is>
          <t>2023-11</t>
        </is>
      </c>
      <c r="C828" s="4" t="n">
        <v>138</v>
      </c>
      <c r="D828" s="9" t="inlineStr">
        <is>
          <t>Copy List with Random Pointer</t>
        </is>
      </c>
      <c r="E828" s="4" t="inlineStr">
        <is>
          <t>Medium</t>
        </is>
      </c>
      <c r="F828" s="4" t="inlineStr">
        <is>
          <t>Linked List</t>
        </is>
      </c>
      <c r="G828" s="4" t="inlineStr">
        <is>
          <t>Accepted</t>
        </is>
      </c>
      <c r="H828" s="4" t="inlineStr">
        <is>
          <t>Python3</t>
        </is>
      </c>
      <c r="I828" s="4" t="inlineStr">
        <is>
          <t>44 ms</t>
        </is>
      </c>
      <c r="J828" s="4" t="inlineStr">
        <is>
          <t>17.7 MB</t>
        </is>
      </c>
      <c r="K828" s="4" t="n">
        <v>79.3</v>
      </c>
      <c r="L828" s="4" t="inlineStr">
        <is>
          <t>19/19</t>
        </is>
      </c>
      <c r="M828" s="9" t="inlineStr">
        <is>
          <t>Submission 1103788203</t>
        </is>
      </c>
      <c r="N828" s="4" t="inlineStr">
        <is>
          <t>Yes</t>
        </is>
      </c>
    </row>
    <row r="829">
      <c r="A829" s="11" t="n">
        <v>45252.36130787037</v>
      </c>
      <c r="B829" s="4" t="inlineStr">
        <is>
          <t>2023-11</t>
        </is>
      </c>
      <c r="C829" s="4" t="n">
        <v>56</v>
      </c>
      <c r="D829" s="9" t="inlineStr">
        <is>
          <t>Merge Intervals</t>
        </is>
      </c>
      <c r="E829" s="4" t="inlineStr">
        <is>
          <t>Medium</t>
        </is>
      </c>
      <c r="F829" s="4" t="inlineStr">
        <is>
          <t>Intervals &amp; Sweep Line</t>
        </is>
      </c>
      <c r="G829" s="4" t="inlineStr">
        <is>
          <t>Wrong Answer</t>
        </is>
      </c>
      <c r="H829" s="4" t="inlineStr">
        <is>
          <t>Python3</t>
        </is>
      </c>
      <c r="I829" s="4" t="inlineStr">
        <is>
          <t>N/A</t>
        </is>
      </c>
      <c r="J829" s="4" t="inlineStr">
        <is>
          <t>N/A</t>
        </is>
      </c>
      <c r="K829" s="4" t="n"/>
      <c r="L829" s="4" t="inlineStr">
        <is>
          <t>10/170</t>
        </is>
      </c>
      <c r="M829" s="9" t="inlineStr">
        <is>
          <t>Submission 1103883604</t>
        </is>
      </c>
      <c r="N829" s="4" t="inlineStr">
        <is>
          <t>Yes</t>
        </is>
      </c>
    </row>
    <row r="830">
      <c r="A830" s="11" t="n">
        <v>45252.36199074074</v>
      </c>
      <c r="B830" s="4" t="inlineStr">
        <is>
          <t>2023-11</t>
        </is>
      </c>
      <c r="C830" s="4" t="n">
        <v>56</v>
      </c>
      <c r="D830" s="9" t="inlineStr">
        <is>
          <t>Merge Intervals</t>
        </is>
      </c>
      <c r="E830" s="4" t="inlineStr">
        <is>
          <t>Medium</t>
        </is>
      </c>
      <c r="F830" s="4" t="inlineStr">
        <is>
          <t>Intervals &amp; Sweep Line</t>
        </is>
      </c>
      <c r="G830" s="4" t="inlineStr">
        <is>
          <t>Runtime Error</t>
        </is>
      </c>
      <c r="H830" s="4" t="inlineStr">
        <is>
          <t>Python3</t>
        </is>
      </c>
      <c r="I830" s="4" t="inlineStr">
        <is>
          <t>N/A</t>
        </is>
      </c>
      <c r="J830" s="4" t="inlineStr">
        <is>
          <t>N/A</t>
        </is>
      </c>
      <c r="K830" s="4" t="n"/>
      <c r="L830" s="4" t="inlineStr">
        <is>
          <t>0/170</t>
        </is>
      </c>
      <c r="M830" s="9" t="inlineStr">
        <is>
          <t>Submission 1103884052</t>
        </is>
      </c>
      <c r="N830" s="4" t="inlineStr">
        <is>
          <t>Yes</t>
        </is>
      </c>
    </row>
    <row r="831">
      <c r="A831" s="11" t="n">
        <v>45252.36221064815</v>
      </c>
      <c r="B831" s="4" t="inlineStr">
        <is>
          <t>2023-11</t>
        </is>
      </c>
      <c r="C831" s="4" t="n">
        <v>56</v>
      </c>
      <c r="D831" s="9" t="inlineStr">
        <is>
          <t>Merge Intervals</t>
        </is>
      </c>
      <c r="E831" s="4" t="inlineStr">
        <is>
          <t>Medium</t>
        </is>
      </c>
      <c r="F831" s="4" t="inlineStr">
        <is>
          <t>Intervals &amp; Sweep Line</t>
        </is>
      </c>
      <c r="G831" s="4" t="inlineStr">
        <is>
          <t>Wrong Answer</t>
        </is>
      </c>
      <c r="H831" s="4" t="inlineStr">
        <is>
          <t>Python3</t>
        </is>
      </c>
      <c r="I831" s="4" t="inlineStr">
        <is>
          <t>N/A</t>
        </is>
      </c>
      <c r="J831" s="4" t="inlineStr">
        <is>
          <t>N/A</t>
        </is>
      </c>
      <c r="K831" s="4" t="n"/>
      <c r="L831" s="4" t="inlineStr">
        <is>
          <t>63/170</t>
        </is>
      </c>
      <c r="M831" s="9" t="inlineStr">
        <is>
          <t>Submission 1103884172</t>
        </is>
      </c>
      <c r="N831" s="4" t="inlineStr">
        <is>
          <t>Yes</t>
        </is>
      </c>
    </row>
    <row r="832">
      <c r="A832" s="11" t="n">
        <v>45252.36263888889</v>
      </c>
      <c r="B832" s="4" t="inlineStr">
        <is>
          <t>2023-11</t>
        </is>
      </c>
      <c r="C832" s="4" t="n">
        <v>56</v>
      </c>
      <c r="D832" s="9" t="inlineStr">
        <is>
          <t>Merge Intervals</t>
        </is>
      </c>
      <c r="E832" s="4" t="inlineStr">
        <is>
          <t>Medium</t>
        </is>
      </c>
      <c r="F832" s="4" t="inlineStr">
        <is>
          <t>Intervals &amp; Sweep Line</t>
        </is>
      </c>
      <c r="G832" s="4" t="inlineStr">
        <is>
          <t>Accepted</t>
        </is>
      </c>
      <c r="H832" s="4" t="inlineStr">
        <is>
          <t>Python3</t>
        </is>
      </c>
      <c r="I832" s="4" t="inlineStr">
        <is>
          <t>133 ms</t>
        </is>
      </c>
      <c r="J832" s="4" t="inlineStr">
        <is>
          <t>21.2 MB</t>
        </is>
      </c>
      <c r="K832" s="4" t="n">
        <v>5</v>
      </c>
      <c r="L832" s="4" t="inlineStr">
        <is>
          <t>170/170</t>
        </is>
      </c>
      <c r="M832" s="9" t="inlineStr">
        <is>
          <t>Submission 1103884432</t>
        </is>
      </c>
      <c r="N832" s="4" t="inlineStr">
        <is>
          <t>Yes</t>
        </is>
      </c>
    </row>
    <row r="833">
      <c r="A833" s="11" t="n">
        <v>45252.38599537037</v>
      </c>
      <c r="B833" s="4" t="inlineStr">
        <is>
          <t>2023-11</t>
        </is>
      </c>
      <c r="C833" s="4" t="n">
        <v>973</v>
      </c>
      <c r="D833" s="9" t="inlineStr">
        <is>
          <t>K Closest Points to Origin</t>
        </is>
      </c>
      <c r="E833" s="4" t="inlineStr">
        <is>
          <t>Medium</t>
        </is>
      </c>
      <c r="F833" s="4" t="inlineStr">
        <is>
          <t>Heap / Top-K</t>
        </is>
      </c>
      <c r="G833" s="4" t="inlineStr">
        <is>
          <t>Accepted</t>
        </is>
      </c>
      <c r="H833" s="4" t="inlineStr">
        <is>
          <t>Python3</t>
        </is>
      </c>
      <c r="I833" s="4" t="inlineStr">
        <is>
          <t>714 ms</t>
        </is>
      </c>
      <c r="J833" s="4" t="inlineStr">
        <is>
          <t>22.4 MB</t>
        </is>
      </c>
      <c r="K833" s="4" t="n">
        <v>5</v>
      </c>
      <c r="L833" s="4" t="inlineStr">
        <is>
          <t>87/87</t>
        </is>
      </c>
      <c r="M833" s="9" t="inlineStr">
        <is>
          <t>Submission 1103898500</t>
        </is>
      </c>
      <c r="N833" s="4" t="inlineStr">
        <is>
          <t>Yes</t>
        </is>
      </c>
    </row>
    <row r="834">
      <c r="A834" s="11" t="n">
        <v>45252.40952546296</v>
      </c>
      <c r="B834" s="4" t="inlineStr">
        <is>
          <t>2023-11</t>
        </is>
      </c>
      <c r="C834" s="4" t="n">
        <v>973</v>
      </c>
      <c r="D834" s="9" t="inlineStr">
        <is>
          <t>K Closest Points to Origin</t>
        </is>
      </c>
      <c r="E834" s="4" t="inlineStr">
        <is>
          <t>Medium</t>
        </is>
      </c>
      <c r="F834" s="4" t="inlineStr">
        <is>
          <t>Heap / Top-K</t>
        </is>
      </c>
      <c r="G834" s="4" t="inlineStr">
        <is>
          <t>Wrong Answer</t>
        </is>
      </c>
      <c r="H834" s="4" t="inlineStr">
        <is>
          <t>Python3</t>
        </is>
      </c>
      <c r="I834" s="4" t="inlineStr">
        <is>
          <t>N/A</t>
        </is>
      </c>
      <c r="J834" s="4" t="inlineStr">
        <is>
          <t>N/A</t>
        </is>
      </c>
      <c r="K834" s="4" t="n"/>
      <c r="L834" s="4" t="inlineStr">
        <is>
          <t>33/87</t>
        </is>
      </c>
      <c r="M834" s="9" t="inlineStr">
        <is>
          <t>Submission 1103914155</t>
        </is>
      </c>
      <c r="N834" s="4" t="inlineStr">
        <is>
          <t>Yes</t>
        </is>
      </c>
    </row>
    <row r="835">
      <c r="A835" s="11" t="n">
        <v>45252.41194444444</v>
      </c>
      <c r="B835" s="4" t="inlineStr">
        <is>
          <t>2023-11</t>
        </is>
      </c>
      <c r="C835" s="4" t="n">
        <v>973</v>
      </c>
      <c r="D835" s="9" t="inlineStr">
        <is>
          <t>K Closest Points to Origin</t>
        </is>
      </c>
      <c r="E835" s="4" t="inlineStr">
        <is>
          <t>Medium</t>
        </is>
      </c>
      <c r="F835" s="4" t="inlineStr">
        <is>
          <t>Heap / Top-K</t>
        </is>
      </c>
      <c r="G835" s="4" t="inlineStr">
        <is>
          <t>Wrong Answer</t>
        </is>
      </c>
      <c r="H835" s="4" t="inlineStr">
        <is>
          <t>Python3</t>
        </is>
      </c>
      <c r="I835" s="4" t="inlineStr">
        <is>
          <t>N/A</t>
        </is>
      </c>
      <c r="J835" s="4" t="inlineStr">
        <is>
          <t>N/A</t>
        </is>
      </c>
      <c r="K835" s="4" t="n"/>
      <c r="L835" s="4" t="inlineStr">
        <is>
          <t>28/87</t>
        </is>
      </c>
      <c r="M835" s="9" t="inlineStr">
        <is>
          <t>Submission 1103915863</t>
        </is>
      </c>
      <c r="N835" s="4" t="inlineStr">
        <is>
          <t>Yes</t>
        </is>
      </c>
    </row>
    <row r="836">
      <c r="A836" s="11" t="n">
        <v>45252.41236111111</v>
      </c>
      <c r="B836" s="4" t="inlineStr">
        <is>
          <t>2023-11</t>
        </is>
      </c>
      <c r="C836" s="4" t="n">
        <v>973</v>
      </c>
      <c r="D836" s="9" t="inlineStr">
        <is>
          <t>K Closest Points to Origin</t>
        </is>
      </c>
      <c r="E836" s="4" t="inlineStr">
        <is>
          <t>Medium</t>
        </is>
      </c>
      <c r="F836" s="4" t="inlineStr">
        <is>
          <t>Heap / Top-K</t>
        </is>
      </c>
      <c r="G836" s="4" t="inlineStr">
        <is>
          <t>Wrong Answer</t>
        </is>
      </c>
      <c r="H836" s="4" t="inlineStr">
        <is>
          <t>Python3</t>
        </is>
      </c>
      <c r="I836" s="4" t="inlineStr">
        <is>
          <t>N/A</t>
        </is>
      </c>
      <c r="J836" s="4" t="inlineStr">
        <is>
          <t>N/A</t>
        </is>
      </c>
      <c r="K836" s="4" t="n"/>
      <c r="L836" s="4" t="inlineStr">
        <is>
          <t>31/87</t>
        </is>
      </c>
      <c r="M836" s="9" t="inlineStr">
        <is>
          <t>Submission 1103916168</t>
        </is>
      </c>
      <c r="N836" s="4" t="inlineStr">
        <is>
          <t>Yes</t>
        </is>
      </c>
    </row>
    <row r="837">
      <c r="A837" s="11" t="n">
        <v>45252.41670138889</v>
      </c>
      <c r="B837" s="4" t="inlineStr">
        <is>
          <t>2023-11</t>
        </is>
      </c>
      <c r="C837" s="4" t="n">
        <v>973</v>
      </c>
      <c r="D837" s="9" t="inlineStr">
        <is>
          <t>K Closest Points to Origin</t>
        </is>
      </c>
      <c r="E837" s="4" t="inlineStr">
        <is>
          <t>Medium</t>
        </is>
      </c>
      <c r="F837" s="4" t="inlineStr">
        <is>
          <t>Heap / Top-K</t>
        </is>
      </c>
      <c r="G837" s="4" t="inlineStr">
        <is>
          <t>Output Limit Exceeded</t>
        </is>
      </c>
      <c r="H837" s="4" t="inlineStr">
        <is>
          <t>Python3</t>
        </is>
      </c>
      <c r="I837" s="4" t="inlineStr">
        <is>
          <t>N/A</t>
        </is>
      </c>
      <c r="J837" s="4" t="inlineStr">
        <is>
          <t>N/A</t>
        </is>
      </c>
      <c r="K837" s="4" t="n"/>
      <c r="L837" s="4" t="inlineStr">
        <is>
          <t>81/87</t>
        </is>
      </c>
      <c r="M837" s="9" t="inlineStr">
        <is>
          <t>Submission 1103919192</t>
        </is>
      </c>
      <c r="N837" s="4" t="inlineStr">
        <is>
          <t>Yes</t>
        </is>
      </c>
    </row>
    <row r="838">
      <c r="A838" s="11" t="n">
        <v>45252.42057870371</v>
      </c>
      <c r="B838" s="4" t="inlineStr">
        <is>
          <t>2023-11</t>
        </is>
      </c>
      <c r="C838" s="4" t="n">
        <v>973</v>
      </c>
      <c r="D838" s="9" t="inlineStr">
        <is>
          <t>K Closest Points to Origin</t>
        </is>
      </c>
      <c r="E838" s="4" t="inlineStr">
        <is>
          <t>Medium</t>
        </is>
      </c>
      <c r="F838" s="4" t="inlineStr">
        <is>
          <t>Heap / Top-K</t>
        </is>
      </c>
      <c r="G838" s="4" t="inlineStr">
        <is>
          <t>Runtime Error</t>
        </is>
      </c>
      <c r="H838" s="4" t="inlineStr">
        <is>
          <t>Python3</t>
        </is>
      </c>
      <c r="I838" s="4" t="inlineStr">
        <is>
          <t>N/A</t>
        </is>
      </c>
      <c r="J838" s="4" t="inlineStr">
        <is>
          <t>N/A</t>
        </is>
      </c>
      <c r="K838" s="4" t="n"/>
      <c r="L838" s="4" t="inlineStr">
        <is>
          <t>0/87</t>
        </is>
      </c>
      <c r="M838" s="9" t="inlineStr">
        <is>
          <t>Submission 1103921868</t>
        </is>
      </c>
      <c r="N838" s="4" t="inlineStr">
        <is>
          <t>Yes</t>
        </is>
      </c>
    </row>
    <row r="839">
      <c r="A839" s="11" t="n">
        <v>45252.42082175926</v>
      </c>
      <c r="B839" s="4" t="inlineStr">
        <is>
          <t>2023-11</t>
        </is>
      </c>
      <c r="C839" s="4" t="n">
        <v>973</v>
      </c>
      <c r="D839" s="9" t="inlineStr">
        <is>
          <t>K Closest Points to Origin</t>
        </is>
      </c>
      <c r="E839" s="4" t="inlineStr">
        <is>
          <t>Medium</t>
        </is>
      </c>
      <c r="F839" s="4" t="inlineStr">
        <is>
          <t>Heap / Top-K</t>
        </is>
      </c>
      <c r="G839" s="4" t="inlineStr">
        <is>
          <t>Time Limit Exceeded</t>
        </is>
      </c>
      <c r="H839" s="4" t="inlineStr">
        <is>
          <t>Python3</t>
        </is>
      </c>
      <c r="I839" s="4" t="inlineStr">
        <is>
          <t>N/A</t>
        </is>
      </c>
      <c r="J839" s="4" t="inlineStr">
        <is>
          <t>N/A</t>
        </is>
      </c>
      <c r="K839" s="4" t="n"/>
      <c r="L839" s="4" t="inlineStr">
        <is>
          <t>85/87</t>
        </is>
      </c>
      <c r="M839" s="9" t="inlineStr">
        <is>
          <t>Submission 1103922048</t>
        </is>
      </c>
      <c r="N839" s="4" t="inlineStr">
        <is>
          <t>Yes</t>
        </is>
      </c>
    </row>
    <row r="840">
      <c r="A840" s="11" t="n">
        <v>45252.42231481482</v>
      </c>
      <c r="B840" s="4" t="inlineStr">
        <is>
          <t>2023-11</t>
        </is>
      </c>
      <c r="C840" s="4" t="n">
        <v>973</v>
      </c>
      <c r="D840" s="9" t="inlineStr">
        <is>
          <t>K Closest Points to Origin</t>
        </is>
      </c>
      <c r="E840" s="4" t="inlineStr">
        <is>
          <t>Medium</t>
        </is>
      </c>
      <c r="F840" s="4" t="inlineStr">
        <is>
          <t>Heap / Top-K</t>
        </is>
      </c>
      <c r="G840" s="4" t="inlineStr">
        <is>
          <t>Output Limit Exceeded</t>
        </is>
      </c>
      <c r="H840" s="4" t="inlineStr">
        <is>
          <t>Python3</t>
        </is>
      </c>
      <c r="I840" s="4" t="inlineStr">
        <is>
          <t>N/A</t>
        </is>
      </c>
      <c r="J840" s="4" t="inlineStr">
        <is>
          <t>N/A</t>
        </is>
      </c>
      <c r="K840" s="4" t="n"/>
      <c r="L840" s="4" t="inlineStr">
        <is>
          <t>82/87</t>
        </is>
      </c>
      <c r="M840" s="9" t="inlineStr">
        <is>
          <t>Submission 1103923083</t>
        </is>
      </c>
      <c r="N840" s="4" t="inlineStr">
        <is>
          <t>Yes</t>
        </is>
      </c>
    </row>
    <row r="841">
      <c r="A841" s="11" t="n">
        <v>45252.42251157408</v>
      </c>
      <c r="B841" s="4" t="inlineStr">
        <is>
          <t>2023-11</t>
        </is>
      </c>
      <c r="C841" s="4" t="n">
        <v>973</v>
      </c>
      <c r="D841" s="9" t="inlineStr">
        <is>
          <t>K Closest Points to Origin</t>
        </is>
      </c>
      <c r="E841" s="4" t="inlineStr">
        <is>
          <t>Medium</t>
        </is>
      </c>
      <c r="F841" s="4" t="inlineStr">
        <is>
          <t>Heap / Top-K</t>
        </is>
      </c>
      <c r="G841" s="4" t="inlineStr">
        <is>
          <t>Time Limit Exceeded</t>
        </is>
      </c>
      <c r="H841" s="4" t="inlineStr">
        <is>
          <t>Python3</t>
        </is>
      </c>
      <c r="I841" s="4" t="inlineStr">
        <is>
          <t>N/A</t>
        </is>
      </c>
      <c r="J841" s="4" t="inlineStr">
        <is>
          <t>N/A</t>
        </is>
      </c>
      <c r="K841" s="4" t="n"/>
      <c r="L841" s="4" t="inlineStr">
        <is>
          <t>85/87</t>
        </is>
      </c>
      <c r="M841" s="9" t="inlineStr">
        <is>
          <t>Submission 1103923243</t>
        </is>
      </c>
      <c r="N841" s="4" t="inlineStr">
        <is>
          <t>Yes</t>
        </is>
      </c>
    </row>
    <row r="842">
      <c r="A842" s="11" t="n">
        <v>45252.42671296297</v>
      </c>
      <c r="B842" s="4" t="inlineStr">
        <is>
          <t>2023-11</t>
        </is>
      </c>
      <c r="C842" s="4" t="n">
        <v>973</v>
      </c>
      <c r="D842" s="9" t="inlineStr">
        <is>
          <t>K Closest Points to Origin</t>
        </is>
      </c>
      <c r="E842" s="4" t="inlineStr">
        <is>
          <t>Medium</t>
        </is>
      </c>
      <c r="F842" s="4" t="inlineStr">
        <is>
          <t>Heap / Top-K</t>
        </is>
      </c>
      <c r="G842" s="4" t="inlineStr">
        <is>
          <t>Time Limit Exceeded</t>
        </is>
      </c>
      <c r="H842" s="4" t="inlineStr">
        <is>
          <t>Python3</t>
        </is>
      </c>
      <c r="I842" s="4" t="inlineStr">
        <is>
          <t>N/A</t>
        </is>
      </c>
      <c r="J842" s="4" t="inlineStr">
        <is>
          <t>N/A</t>
        </is>
      </c>
      <c r="K842" s="4" t="n"/>
      <c r="L842" s="4" t="inlineStr">
        <is>
          <t>85/87</t>
        </is>
      </c>
      <c r="M842" s="9" t="inlineStr">
        <is>
          <t>Submission 1103926441</t>
        </is>
      </c>
      <c r="N842" s="4" t="inlineStr">
        <is>
          <t>Yes</t>
        </is>
      </c>
    </row>
    <row r="843">
      <c r="A843" s="11" t="n">
        <v>45252.86766203704</v>
      </c>
      <c r="B843" s="4" t="inlineStr">
        <is>
          <t>2023-11</t>
        </is>
      </c>
      <c r="C843" s="4" t="n">
        <v>50</v>
      </c>
      <c r="D843" s="9" t="inlineStr">
        <is>
          <t>Pow(x, n)</t>
        </is>
      </c>
      <c r="E843" s="4" t="inlineStr">
        <is>
          <t>Medium</t>
        </is>
      </c>
      <c r="F843" s="4" t="inlineStr">
        <is>
          <t>Math &amp; Bit Manipulation</t>
        </is>
      </c>
      <c r="G843" s="4" t="inlineStr">
        <is>
          <t>Accepted</t>
        </is>
      </c>
      <c r="H843" s="4" t="inlineStr">
        <is>
          <t>Python3</t>
        </is>
      </c>
      <c r="I843" s="4" t="inlineStr">
        <is>
          <t>35 ms</t>
        </is>
      </c>
      <c r="J843" s="4" t="inlineStr">
        <is>
          <t>16.3 MB</t>
        </is>
      </c>
      <c r="K843" s="4" t="n">
        <v>0.6</v>
      </c>
      <c r="L843" s="4" t="inlineStr">
        <is>
          <t>306/306</t>
        </is>
      </c>
      <c r="M843" s="9" t="inlineStr">
        <is>
          <t>Submission 1104243702</t>
        </is>
      </c>
      <c r="N843" s="4" t="inlineStr">
        <is>
          <t>Yes</t>
        </is>
      </c>
    </row>
    <row r="844">
      <c r="A844" s="11" t="n">
        <v>45252.86773148148</v>
      </c>
      <c r="B844" s="4" t="inlineStr">
        <is>
          <t>2023-11</t>
        </is>
      </c>
      <c r="C844" s="4" t="n">
        <v>50</v>
      </c>
      <c r="D844" s="9" t="inlineStr">
        <is>
          <t>Pow(x, n)</t>
        </is>
      </c>
      <c r="E844" s="4" t="inlineStr">
        <is>
          <t>Medium</t>
        </is>
      </c>
      <c r="F844" s="4" t="inlineStr">
        <is>
          <t>Math &amp; Bit Manipulation</t>
        </is>
      </c>
      <c r="G844" s="4" t="inlineStr">
        <is>
          <t>Accepted</t>
        </is>
      </c>
      <c r="H844" s="4" t="inlineStr">
        <is>
          <t>Python3</t>
        </is>
      </c>
      <c r="I844" s="4" t="inlineStr">
        <is>
          <t>30 ms</t>
        </is>
      </c>
      <c r="J844" s="4" t="inlineStr">
        <is>
          <t>16.3 MB</t>
        </is>
      </c>
      <c r="K844" s="4" t="n">
        <v>0.6</v>
      </c>
      <c r="L844" s="4" t="inlineStr">
        <is>
          <t>306/306</t>
        </is>
      </c>
      <c r="M844" s="9" t="inlineStr">
        <is>
          <t>Submission 1104243758</t>
        </is>
      </c>
      <c r="N844" s="4" t="inlineStr">
        <is>
          <t>Yes</t>
        </is>
      </c>
    </row>
    <row r="845">
      <c r="A845" s="11" t="n">
        <v>45252.92113425926</v>
      </c>
      <c r="B845" s="4" t="inlineStr">
        <is>
          <t>2023-11</t>
        </is>
      </c>
      <c r="C845" s="4" t="n">
        <v>1091</v>
      </c>
      <c r="D845" s="9" t="inlineStr">
        <is>
          <t>Shortest Path in Binary Matrix</t>
        </is>
      </c>
      <c r="E845" s="4" t="inlineStr">
        <is>
          <t>Medium</t>
        </is>
      </c>
      <c r="F845" s="4" t="inlineStr">
        <is>
          <t>Graph: Shortest Path</t>
        </is>
      </c>
      <c r="G845" s="4" t="inlineStr">
        <is>
          <t>Accepted</t>
        </is>
      </c>
      <c r="H845" s="4" t="inlineStr">
        <is>
          <t>Python3</t>
        </is>
      </c>
      <c r="I845" s="4" t="inlineStr">
        <is>
          <t>522 ms</t>
        </is>
      </c>
      <c r="J845" s="4" t="inlineStr">
        <is>
          <t>16.7 MB</t>
        </is>
      </c>
      <c r="K845" s="4" t="n">
        <v>5.1</v>
      </c>
      <c r="L845" s="4" t="inlineStr">
        <is>
          <t>90/90</t>
        </is>
      </c>
      <c r="M845" s="9" t="inlineStr">
        <is>
          <t>Submission 1104290379</t>
        </is>
      </c>
      <c r="N845" s="4" t="inlineStr">
        <is>
          <t>Yes</t>
        </is>
      </c>
    </row>
    <row r="846">
      <c r="A846" s="11" t="n">
        <v>45253.05592592592</v>
      </c>
      <c r="B846" s="4" t="inlineStr">
        <is>
          <t>2023-11</t>
        </is>
      </c>
      <c r="C846" s="4" t="n">
        <v>708</v>
      </c>
      <c r="D846" s="9" t="inlineStr">
        <is>
          <t>Insert into a Sorted Circular Linked List</t>
        </is>
      </c>
      <c r="E846" s="4" t="inlineStr">
        <is>
          <t>Medium</t>
        </is>
      </c>
      <c r="F846" s="4" t="inlineStr">
        <is>
          <t>Linked List</t>
        </is>
      </c>
      <c r="G846" s="4" t="inlineStr">
        <is>
          <t>Wrong Answer</t>
        </is>
      </c>
      <c r="H846" s="4" t="inlineStr">
        <is>
          <t>Python3</t>
        </is>
      </c>
      <c r="I846" s="4" t="inlineStr">
        <is>
          <t>N/A</t>
        </is>
      </c>
      <c r="J846" s="4" t="inlineStr">
        <is>
          <t>N/A</t>
        </is>
      </c>
      <c r="K846" s="4" t="n"/>
      <c r="L846" s="4" t="inlineStr">
        <is>
          <t>104/108</t>
        </is>
      </c>
      <c r="M846" s="9" t="inlineStr">
        <is>
          <t>Submission 1104409561</t>
        </is>
      </c>
      <c r="N846" s="4" t="inlineStr">
        <is>
          <t>No</t>
        </is>
      </c>
    </row>
    <row r="847">
      <c r="A847" s="11" t="n">
        <v>45253.0622337963</v>
      </c>
      <c r="B847" s="4" t="inlineStr">
        <is>
          <t>2023-11</t>
        </is>
      </c>
      <c r="C847" s="4" t="n">
        <v>708</v>
      </c>
      <c r="D847" s="9" t="inlineStr">
        <is>
          <t>Insert into a Sorted Circular Linked List</t>
        </is>
      </c>
      <c r="E847" s="4" t="inlineStr">
        <is>
          <t>Medium</t>
        </is>
      </c>
      <c r="F847" s="4" t="inlineStr">
        <is>
          <t>Linked List</t>
        </is>
      </c>
      <c r="G847" s="4" t="inlineStr">
        <is>
          <t>Accepted</t>
        </is>
      </c>
      <c r="H847" s="4" t="inlineStr">
        <is>
          <t>Python3</t>
        </is>
      </c>
      <c r="I847" s="4" t="inlineStr">
        <is>
          <t>40 ms</t>
        </is>
      </c>
      <c r="J847" s="4" t="inlineStr">
        <is>
          <t>17.3 MB</t>
        </is>
      </c>
      <c r="K847" s="4" t="n">
        <v>93.8</v>
      </c>
      <c r="L847" s="4" t="inlineStr">
        <is>
          <t>108/108</t>
        </is>
      </c>
      <c r="M847" s="9" t="inlineStr">
        <is>
          <t>Submission 1104413974</t>
        </is>
      </c>
      <c r="N847" s="4" t="inlineStr">
        <is>
          <t>No</t>
        </is>
      </c>
    </row>
    <row r="848">
      <c r="A848" s="11" t="n">
        <v>45253.06390046296</v>
      </c>
      <c r="B848" s="4" t="inlineStr">
        <is>
          <t>2023-11</t>
        </is>
      </c>
      <c r="C848" s="4" t="n">
        <v>708</v>
      </c>
      <c r="D848" s="9" t="inlineStr">
        <is>
          <t>Insert into a Sorted Circular Linked List</t>
        </is>
      </c>
      <c r="E848" s="4" t="inlineStr">
        <is>
          <t>Medium</t>
        </is>
      </c>
      <c r="F848" s="4" t="inlineStr">
        <is>
          <t>Linked List</t>
        </is>
      </c>
      <c r="G848" s="4" t="inlineStr">
        <is>
          <t>Accepted</t>
        </is>
      </c>
      <c r="H848" s="4" t="inlineStr">
        <is>
          <t>Python3</t>
        </is>
      </c>
      <c r="I848" s="4" t="inlineStr">
        <is>
          <t>46 ms</t>
        </is>
      </c>
      <c r="J848" s="4" t="inlineStr">
        <is>
          <t>17.2 MB</t>
        </is>
      </c>
      <c r="K848" s="4" t="n">
        <v>70.90000000000001</v>
      </c>
      <c r="L848" s="4" t="inlineStr">
        <is>
          <t>108/108</t>
        </is>
      </c>
      <c r="M848" s="9" t="inlineStr">
        <is>
          <t>Submission 1104415209</t>
        </is>
      </c>
      <c r="N848" s="4" t="inlineStr">
        <is>
          <t>No</t>
        </is>
      </c>
    </row>
    <row r="849">
      <c r="A849" s="11" t="n">
        <v>45253.09127314815</v>
      </c>
      <c r="B849" s="4" t="inlineStr">
        <is>
          <t>2023-11</t>
        </is>
      </c>
      <c r="C849" s="4" t="n">
        <v>426</v>
      </c>
      <c r="D849" s="9" t="inlineStr">
        <is>
          <t>Convert Binary Search Tree to Sorted Doubly Linked List</t>
        </is>
      </c>
      <c r="E849" s="4" t="inlineStr">
        <is>
          <t>Medium</t>
        </is>
      </c>
      <c r="F849" s="4" t="inlineStr">
        <is>
          <t>Binary Search Tree</t>
        </is>
      </c>
      <c r="G849" s="4" t="inlineStr">
        <is>
          <t>Runtime Error</t>
        </is>
      </c>
      <c r="H849" s="4" t="inlineStr">
        <is>
          <t>Python3</t>
        </is>
      </c>
      <c r="I849" s="4" t="inlineStr">
        <is>
          <t>N/A</t>
        </is>
      </c>
      <c r="J849" s="4" t="inlineStr">
        <is>
          <t>N/A</t>
        </is>
      </c>
      <c r="K849" s="4" t="n"/>
      <c r="L849" s="4" t="inlineStr">
        <is>
          <t>2/50</t>
        </is>
      </c>
      <c r="M849" s="9" t="inlineStr">
        <is>
          <t>Submission 1104433573</t>
        </is>
      </c>
      <c r="N849" s="4" t="inlineStr">
        <is>
          <t>No</t>
        </is>
      </c>
    </row>
    <row r="850">
      <c r="A850" s="11" t="n">
        <v>45253.09141203704</v>
      </c>
      <c r="B850" s="4" t="inlineStr">
        <is>
          <t>2023-11</t>
        </is>
      </c>
      <c r="C850" s="4" t="n">
        <v>426</v>
      </c>
      <c r="D850" s="9" t="inlineStr">
        <is>
          <t>Convert Binary Search Tree to Sorted Doubly Linked List</t>
        </is>
      </c>
      <c r="E850" s="4" t="inlineStr">
        <is>
          <t>Medium</t>
        </is>
      </c>
      <c r="F850" s="4" t="inlineStr">
        <is>
          <t>Binary Search Tree</t>
        </is>
      </c>
      <c r="G850" s="4" t="inlineStr">
        <is>
          <t>Accepted</t>
        </is>
      </c>
      <c r="H850" s="4" t="inlineStr">
        <is>
          <t>Python3</t>
        </is>
      </c>
      <c r="I850" s="4" t="inlineStr">
        <is>
          <t>47 ms</t>
        </is>
      </c>
      <c r="J850" s="4" t="inlineStr">
        <is>
          <t>17.7 MB</t>
        </is>
      </c>
      <c r="K850" s="4" t="n">
        <v>56.9</v>
      </c>
      <c r="L850" s="4" t="inlineStr">
        <is>
          <t>50/50</t>
        </is>
      </c>
      <c r="M850" s="9" t="inlineStr">
        <is>
          <t>Submission 1104433674</t>
        </is>
      </c>
      <c r="N850" s="4" t="inlineStr">
        <is>
          <t>No</t>
        </is>
      </c>
    </row>
    <row r="851">
      <c r="A851" s="11" t="n">
        <v>45253.14166666667</v>
      </c>
      <c r="B851" s="4" t="inlineStr">
        <is>
          <t>2023-11</t>
        </is>
      </c>
      <c r="C851" s="4" t="n">
        <v>65</v>
      </c>
      <c r="D851" s="9" t="inlineStr">
        <is>
          <t>Valid Number</t>
        </is>
      </c>
      <c r="E851" s="4" t="inlineStr">
        <is>
          <t>Hard</t>
        </is>
      </c>
      <c r="F851" s="4" t="inlineStr">
        <is>
          <t>Strings &amp; Simulation</t>
        </is>
      </c>
      <c r="G851" s="4" t="inlineStr">
        <is>
          <t>Accepted</t>
        </is>
      </c>
      <c r="H851" s="4" t="inlineStr">
        <is>
          <t>Python3</t>
        </is>
      </c>
      <c r="I851" s="4" t="inlineStr">
        <is>
          <t>52 ms</t>
        </is>
      </c>
      <c r="J851" s="4" t="inlineStr">
        <is>
          <t>16.4 MB</t>
        </is>
      </c>
      <c r="K851" s="4" t="n">
        <v>3.8</v>
      </c>
      <c r="L851" s="4" t="inlineStr">
        <is>
          <t>1493/1493</t>
        </is>
      </c>
      <c r="M851" s="9" t="inlineStr">
        <is>
          <t>Submission 1104464385</t>
        </is>
      </c>
      <c r="N851" s="4" t="inlineStr">
        <is>
          <t>No</t>
        </is>
      </c>
    </row>
    <row r="852">
      <c r="A852" s="11" t="n">
        <v>45253.14802083333</v>
      </c>
      <c r="B852" s="4" t="inlineStr">
        <is>
          <t>2023-11</t>
        </is>
      </c>
      <c r="C852" s="4" t="n">
        <v>670</v>
      </c>
      <c r="D852" s="9" t="inlineStr">
        <is>
          <t>Maximum Swap</t>
        </is>
      </c>
      <c r="E852" s="4" t="inlineStr">
        <is>
          <t>Medium</t>
        </is>
      </c>
      <c r="F852" s="4" t="inlineStr">
        <is>
          <t>Greedy</t>
        </is>
      </c>
      <c r="G852" s="4" t="inlineStr">
        <is>
          <t>Wrong Answer</t>
        </is>
      </c>
      <c r="H852" s="4" t="inlineStr">
        <is>
          <t>Python3</t>
        </is>
      </c>
      <c r="I852" s="4" t="inlineStr">
        <is>
          <t>N/A</t>
        </is>
      </c>
      <c r="J852" s="4" t="inlineStr">
        <is>
          <t>N/A</t>
        </is>
      </c>
      <c r="K852" s="4" t="n"/>
      <c r="L852" s="4" t="inlineStr">
        <is>
          <t>87/112</t>
        </is>
      </c>
      <c r="M852" s="9" t="inlineStr">
        <is>
          <t>Submission 1104468055</t>
        </is>
      </c>
      <c r="N852" s="4" t="inlineStr">
        <is>
          <t>No</t>
        </is>
      </c>
    </row>
    <row r="853">
      <c r="A853" s="11" t="n">
        <v>45253.14866898148</v>
      </c>
      <c r="B853" s="4" t="inlineStr">
        <is>
          <t>2023-11</t>
        </is>
      </c>
      <c r="C853" s="4" t="n">
        <v>670</v>
      </c>
      <c r="D853" s="9" t="inlineStr">
        <is>
          <t>Maximum Swap</t>
        </is>
      </c>
      <c r="E853" s="4" t="inlineStr">
        <is>
          <t>Medium</t>
        </is>
      </c>
      <c r="F853" s="4" t="inlineStr">
        <is>
          <t>Greedy</t>
        </is>
      </c>
      <c r="G853" s="4" t="inlineStr">
        <is>
          <t>Wrong Answer</t>
        </is>
      </c>
      <c r="H853" s="4" t="inlineStr">
        <is>
          <t>Python3</t>
        </is>
      </c>
      <c r="I853" s="4" t="inlineStr">
        <is>
          <t>N/A</t>
        </is>
      </c>
      <c r="J853" s="4" t="inlineStr">
        <is>
          <t>N/A</t>
        </is>
      </c>
      <c r="K853" s="4" t="n"/>
      <c r="L853" s="4" t="inlineStr">
        <is>
          <t>102/112</t>
        </is>
      </c>
      <c r="M853" s="9" t="inlineStr">
        <is>
          <t>Submission 1104468418</t>
        </is>
      </c>
      <c r="N853" s="4" t="inlineStr">
        <is>
          <t>No</t>
        </is>
      </c>
    </row>
    <row r="854">
      <c r="A854" s="11" t="n">
        <v>45253.15024305556</v>
      </c>
      <c r="B854" s="4" t="inlineStr">
        <is>
          <t>2023-11</t>
        </is>
      </c>
      <c r="C854" s="4" t="n">
        <v>670</v>
      </c>
      <c r="D854" s="9" t="inlineStr">
        <is>
          <t>Maximum Swap</t>
        </is>
      </c>
      <c r="E854" s="4" t="inlineStr">
        <is>
          <t>Medium</t>
        </is>
      </c>
      <c r="F854" s="4" t="inlineStr">
        <is>
          <t>Greedy</t>
        </is>
      </c>
      <c r="G854" s="4" t="inlineStr">
        <is>
          <t>Accepted</t>
        </is>
      </c>
      <c r="H854" s="4" t="inlineStr">
        <is>
          <t>Python3</t>
        </is>
      </c>
      <c r="I854" s="4" t="inlineStr">
        <is>
          <t>40 ms</t>
        </is>
      </c>
      <c r="J854" s="4" t="inlineStr">
        <is>
          <t>16.3 MB</t>
        </is>
      </c>
      <c r="K854" s="4" t="n">
        <v>0</v>
      </c>
      <c r="L854" s="4" t="inlineStr">
        <is>
          <t>112/112</t>
        </is>
      </c>
      <c r="M854" s="9" t="inlineStr">
        <is>
          <t>Submission 1104469286</t>
        </is>
      </c>
      <c r="N854" s="4" t="inlineStr">
        <is>
          <t>No</t>
        </is>
      </c>
    </row>
    <row r="855">
      <c r="A855" s="11" t="n">
        <v>45253.15149305556</v>
      </c>
      <c r="B855" s="4" t="inlineStr">
        <is>
          <t>2023-11</t>
        </is>
      </c>
      <c r="C855" s="4" t="n">
        <v>670</v>
      </c>
      <c r="D855" s="9" t="inlineStr">
        <is>
          <t>Maximum Swap</t>
        </is>
      </c>
      <c r="E855" s="4" t="inlineStr">
        <is>
          <t>Medium</t>
        </is>
      </c>
      <c r="F855" s="4" t="inlineStr">
        <is>
          <t>Greedy</t>
        </is>
      </c>
      <c r="G855" s="4" t="inlineStr">
        <is>
          <t>Wrong Answer</t>
        </is>
      </c>
      <c r="H855" s="4" t="inlineStr">
        <is>
          <t>Python3</t>
        </is>
      </c>
      <c r="I855" s="4" t="inlineStr">
        <is>
          <t>N/A</t>
        </is>
      </c>
      <c r="J855" s="4" t="inlineStr">
        <is>
          <t>N/A</t>
        </is>
      </c>
      <c r="K855" s="4" t="n"/>
      <c r="L855" s="4" t="inlineStr">
        <is>
          <t>87/112</t>
        </is>
      </c>
      <c r="M855" s="9" t="inlineStr">
        <is>
          <t>Submission 1104470021</t>
        </is>
      </c>
      <c r="N855" s="4" t="inlineStr">
        <is>
          <t>No</t>
        </is>
      </c>
    </row>
    <row r="856">
      <c r="A856" s="11" t="n">
        <v>45253.15265046297</v>
      </c>
      <c r="B856" s="4" t="inlineStr">
        <is>
          <t>2023-11</t>
        </is>
      </c>
      <c r="C856" s="4" t="n">
        <v>670</v>
      </c>
      <c r="D856" s="9" t="inlineStr">
        <is>
          <t>Maximum Swap</t>
        </is>
      </c>
      <c r="E856" s="4" t="inlineStr">
        <is>
          <t>Medium</t>
        </is>
      </c>
      <c r="F856" s="4" t="inlineStr">
        <is>
          <t>Greedy</t>
        </is>
      </c>
      <c r="G856" s="4" t="inlineStr">
        <is>
          <t>Wrong Answer</t>
        </is>
      </c>
      <c r="H856" s="4" t="inlineStr">
        <is>
          <t>Python3</t>
        </is>
      </c>
      <c r="I856" s="4" t="inlineStr">
        <is>
          <t>N/A</t>
        </is>
      </c>
      <c r="J856" s="4" t="inlineStr">
        <is>
          <t>N/A</t>
        </is>
      </c>
      <c r="K856" s="4" t="n"/>
      <c r="L856" s="4" t="inlineStr"/>
      <c r="M856" s="9" t="inlineStr">
        <is>
          <t>Submission 1104470630</t>
        </is>
      </c>
      <c r="N856" s="4" t="inlineStr">
        <is>
          <t>No</t>
        </is>
      </c>
    </row>
    <row r="857">
      <c r="A857" s="11" t="n">
        <v>45253.16142361111</v>
      </c>
      <c r="B857" s="4" t="inlineStr">
        <is>
          <t>2023-11</t>
        </is>
      </c>
      <c r="C857" s="4" t="n">
        <v>71</v>
      </c>
      <c r="D857" s="9" t="inlineStr">
        <is>
          <t>Simplify Path</t>
        </is>
      </c>
      <c r="E857" s="4" t="inlineStr">
        <is>
          <t>Medium</t>
        </is>
      </c>
      <c r="F857" s="4" t="inlineStr">
        <is>
          <t>Stack</t>
        </is>
      </c>
      <c r="G857" s="4" t="inlineStr">
        <is>
          <t>Accepted</t>
        </is>
      </c>
      <c r="H857" s="4" t="inlineStr">
        <is>
          <t>Python3</t>
        </is>
      </c>
      <c r="I857" s="4" t="inlineStr">
        <is>
          <t>39 ms</t>
        </is>
      </c>
      <c r="J857" s="4" t="inlineStr">
        <is>
          <t>16.3 MB</t>
        </is>
      </c>
      <c r="K857" s="4" t="n">
        <v>5.2</v>
      </c>
      <c r="L857" s="4" t="inlineStr">
        <is>
          <t>258/258</t>
        </is>
      </c>
      <c r="M857" s="9" t="inlineStr">
        <is>
          <t>Submission 1104475468</t>
        </is>
      </c>
      <c r="N857" s="4" t="inlineStr">
        <is>
          <t>No</t>
        </is>
      </c>
    </row>
    <row r="858">
      <c r="A858" s="11" t="n">
        <v>45253.17069444444</v>
      </c>
      <c r="B858" s="4" t="inlineStr">
        <is>
          <t>2023-11</t>
        </is>
      </c>
      <c r="C858" s="4" t="n">
        <v>938</v>
      </c>
      <c r="D858" s="9" t="inlineStr">
        <is>
          <t>Range Sum of BST</t>
        </is>
      </c>
      <c r="E858" s="4" t="inlineStr">
        <is>
          <t>Easy</t>
        </is>
      </c>
      <c r="F858" s="4" t="inlineStr">
        <is>
          <t>Binary Search Tree</t>
        </is>
      </c>
      <c r="G858" s="4" t="inlineStr">
        <is>
          <t>Accepted</t>
        </is>
      </c>
      <c r="H858" s="4" t="inlineStr">
        <is>
          <t>Python3</t>
        </is>
      </c>
      <c r="I858" s="4" t="inlineStr">
        <is>
          <t>194 ms</t>
        </is>
      </c>
      <c r="J858" s="4" t="inlineStr">
        <is>
          <t>25.1 MB</t>
        </is>
      </c>
      <c r="K858" s="4" t="n">
        <v>5.5</v>
      </c>
      <c r="L858" s="4" t="inlineStr">
        <is>
          <t>41/41</t>
        </is>
      </c>
      <c r="M858" s="9" t="inlineStr">
        <is>
          <t>Submission 1104480226</t>
        </is>
      </c>
      <c r="N858" s="4" t="inlineStr">
        <is>
          <t>Yes</t>
        </is>
      </c>
    </row>
    <row r="859">
      <c r="A859" s="11" t="n">
        <v>45253.32488425926</v>
      </c>
      <c r="B859" s="4" t="inlineStr">
        <is>
          <t>2023-11</t>
        </is>
      </c>
      <c r="C859" s="4" t="n">
        <v>259</v>
      </c>
      <c r="D859" s="9" t="inlineStr">
        <is>
          <t>3Sum Smaller</t>
        </is>
      </c>
      <c r="E859" s="4" t="inlineStr">
        <is>
          <t>Medium</t>
        </is>
      </c>
      <c r="F859" s="4" t="inlineStr">
        <is>
          <t>Two Pointers</t>
        </is>
      </c>
      <c r="G859" s="4" t="inlineStr">
        <is>
          <t>Accepted</t>
        </is>
      </c>
      <c r="H859" s="4" t="inlineStr">
        <is>
          <t>Python3</t>
        </is>
      </c>
      <c r="I859" s="4" t="inlineStr">
        <is>
          <t>1025 ms</t>
        </is>
      </c>
      <c r="J859" s="4" t="inlineStr">
        <is>
          <t>16.5 MB</t>
        </is>
      </c>
      <c r="K859" s="4" t="n">
        <v>13.1</v>
      </c>
      <c r="L859" s="4" t="inlineStr">
        <is>
          <t>316/316</t>
        </is>
      </c>
      <c r="M859" s="9" t="inlineStr">
        <is>
          <t>Submission 1104553566</t>
        </is>
      </c>
      <c r="N859" s="4" t="inlineStr">
        <is>
          <t>No</t>
        </is>
      </c>
    </row>
    <row r="860">
      <c r="A860" s="11" t="n">
        <v>45253.33246527778</v>
      </c>
      <c r="B860" s="4" t="inlineStr">
        <is>
          <t>2023-11</t>
        </is>
      </c>
      <c r="C860" s="4" t="n">
        <v>259</v>
      </c>
      <c r="D860" s="9" t="inlineStr">
        <is>
          <t>3Sum Smaller</t>
        </is>
      </c>
      <c r="E860" s="4" t="inlineStr">
        <is>
          <t>Medium</t>
        </is>
      </c>
      <c r="F860" s="4" t="inlineStr">
        <is>
          <t>Two Pointers</t>
        </is>
      </c>
      <c r="G860" s="4" t="inlineStr">
        <is>
          <t>Output Limit Exceeded</t>
        </is>
      </c>
      <c r="H860" s="4" t="inlineStr">
        <is>
          <t>Python3</t>
        </is>
      </c>
      <c r="I860" s="4" t="inlineStr">
        <is>
          <t>N/A</t>
        </is>
      </c>
      <c r="J860" s="4" t="inlineStr">
        <is>
          <t>N/A</t>
        </is>
      </c>
      <c r="K860" s="4" t="n"/>
      <c r="L860" s="4" t="inlineStr">
        <is>
          <t>314/316</t>
        </is>
      </c>
      <c r="M860" s="9" t="inlineStr">
        <is>
          <t>Submission 1104557332</t>
        </is>
      </c>
      <c r="N860" s="4" t="inlineStr">
        <is>
          <t>No</t>
        </is>
      </c>
    </row>
    <row r="861">
      <c r="A861" s="11" t="n">
        <v>45253.3334375</v>
      </c>
      <c r="B861" s="4" t="inlineStr">
        <is>
          <t>2023-11</t>
        </is>
      </c>
      <c r="C861" s="4" t="n">
        <v>259</v>
      </c>
      <c r="D861" s="9" t="inlineStr">
        <is>
          <t>3Sum Smaller</t>
        </is>
      </c>
      <c r="E861" s="4" t="inlineStr">
        <is>
          <t>Medium</t>
        </is>
      </c>
      <c r="F861" s="4" t="inlineStr">
        <is>
          <t>Two Pointers</t>
        </is>
      </c>
      <c r="G861" s="4" t="inlineStr">
        <is>
          <t>Accepted</t>
        </is>
      </c>
      <c r="H861" s="4" t="inlineStr">
        <is>
          <t>Python3</t>
        </is>
      </c>
      <c r="I861" s="4" t="inlineStr">
        <is>
          <t>1057 ms</t>
        </is>
      </c>
      <c r="J861" s="4" t="inlineStr">
        <is>
          <t>16.5 MB</t>
        </is>
      </c>
      <c r="K861" s="4" t="n">
        <v>12.8</v>
      </c>
      <c r="L861" s="4" t="inlineStr">
        <is>
          <t>316/316</t>
        </is>
      </c>
      <c r="M861" s="9" t="inlineStr">
        <is>
          <t>Submission 1104557842</t>
        </is>
      </c>
      <c r="N861" s="4" t="inlineStr">
        <is>
          <t>No</t>
        </is>
      </c>
    </row>
    <row r="862">
      <c r="A862" s="11" t="n">
        <v>45253.84315972222</v>
      </c>
      <c r="B862" s="4" t="inlineStr">
        <is>
          <t>2023-11</t>
        </is>
      </c>
      <c r="C862" s="4" t="n">
        <v>1762</v>
      </c>
      <c r="D862" s="9" t="inlineStr">
        <is>
          <t>Buildings With an Ocean View</t>
        </is>
      </c>
      <c r="E862" s="4" t="inlineStr">
        <is>
          <t>Medium</t>
        </is>
      </c>
      <c r="F862" s="4" t="inlineStr">
        <is>
          <t>Monotonic Stack / Deque</t>
        </is>
      </c>
      <c r="G862" s="4" t="inlineStr">
        <is>
          <t>Accepted</t>
        </is>
      </c>
      <c r="H862" s="4" t="inlineStr">
        <is>
          <t>Python3</t>
        </is>
      </c>
      <c r="I862" s="4" t="inlineStr">
        <is>
          <t>590 ms</t>
        </is>
      </c>
      <c r="J862" s="4" t="inlineStr">
        <is>
          <t>34 MB</t>
        </is>
      </c>
      <c r="K862" s="4" t="n">
        <v>5</v>
      </c>
      <c r="L862" s="4" t="inlineStr">
        <is>
          <t>77/77</t>
        </is>
      </c>
      <c r="M862" s="9" t="inlineStr">
        <is>
          <t>Submission 1104886054</t>
        </is>
      </c>
      <c r="N862" s="4" t="inlineStr">
        <is>
          <t>No</t>
        </is>
      </c>
    </row>
    <row r="863">
      <c r="A863" s="11" t="n">
        <v>45253.84915509259</v>
      </c>
      <c r="B863" s="4" t="inlineStr">
        <is>
          <t>2023-11</t>
        </is>
      </c>
      <c r="C863" s="4" t="n">
        <v>1762</v>
      </c>
      <c r="D863" s="9" t="inlineStr">
        <is>
          <t>Buildings With an Ocean View</t>
        </is>
      </c>
      <c r="E863" s="4" t="inlineStr">
        <is>
          <t>Medium</t>
        </is>
      </c>
      <c r="F863" s="4" t="inlineStr">
        <is>
          <t>Monotonic Stack / Deque</t>
        </is>
      </c>
      <c r="G863" s="4" t="inlineStr">
        <is>
          <t>Wrong Answer</t>
        </is>
      </c>
      <c r="H863" s="4" t="inlineStr">
        <is>
          <t>Python3</t>
        </is>
      </c>
      <c r="I863" s="4" t="inlineStr">
        <is>
          <t>N/A</t>
        </is>
      </c>
      <c r="J863" s="4" t="inlineStr">
        <is>
          <t>N/A</t>
        </is>
      </c>
      <c r="K863" s="4" t="n"/>
      <c r="L863" s="4" t="inlineStr">
        <is>
          <t>56/77</t>
        </is>
      </c>
      <c r="M863" s="9" t="inlineStr">
        <is>
          <t>Submission 1104890598</t>
        </is>
      </c>
      <c r="N863" s="4" t="inlineStr">
        <is>
          <t>No</t>
        </is>
      </c>
    </row>
    <row r="864">
      <c r="A864" s="11" t="n">
        <v>45253.84936342593</v>
      </c>
      <c r="B864" s="4" t="inlineStr">
        <is>
          <t>2023-11</t>
        </is>
      </c>
      <c r="C864" s="4" t="n">
        <v>1762</v>
      </c>
      <c r="D864" s="9" t="inlineStr">
        <is>
          <t>Buildings With an Ocean View</t>
        </is>
      </c>
      <c r="E864" s="4" t="inlineStr">
        <is>
          <t>Medium</t>
        </is>
      </c>
      <c r="F864" s="4" t="inlineStr">
        <is>
          <t>Monotonic Stack / Deque</t>
        </is>
      </c>
      <c r="G864" s="4" t="inlineStr">
        <is>
          <t>Accepted</t>
        </is>
      </c>
      <c r="H864" s="4" t="inlineStr">
        <is>
          <t>Python3</t>
        </is>
      </c>
      <c r="I864" s="4" t="inlineStr">
        <is>
          <t>627 ms</t>
        </is>
      </c>
      <c r="J864" s="4" t="inlineStr">
        <is>
          <t>33.6 MB</t>
        </is>
      </c>
      <c r="K864" s="4" t="n">
        <v>5</v>
      </c>
      <c r="L864" s="4" t="inlineStr">
        <is>
          <t>77/77</t>
        </is>
      </c>
      <c r="M864" s="9" t="inlineStr">
        <is>
          <t>Submission 1104890758</t>
        </is>
      </c>
      <c r="N864" s="4" t="inlineStr">
        <is>
          <t>No</t>
        </is>
      </c>
    </row>
    <row r="865">
      <c r="A865" s="11" t="n">
        <v>45253.88105324074</v>
      </c>
      <c r="B865" s="4" t="inlineStr">
        <is>
          <t>2023-11</t>
        </is>
      </c>
      <c r="C865" s="4" t="n">
        <v>15</v>
      </c>
      <c r="D865" s="9" t="inlineStr">
        <is>
          <t>3Sum</t>
        </is>
      </c>
      <c r="E865" s="4" t="inlineStr">
        <is>
          <t>Medium</t>
        </is>
      </c>
      <c r="F865" s="4" t="inlineStr">
        <is>
          <t>Two Pointers</t>
        </is>
      </c>
      <c r="G865" s="4" t="inlineStr">
        <is>
          <t>Runtime Error</t>
        </is>
      </c>
      <c r="H865" s="4" t="inlineStr">
        <is>
          <t>Python3</t>
        </is>
      </c>
      <c r="I865" s="4" t="inlineStr">
        <is>
          <t>N/A</t>
        </is>
      </c>
      <c r="J865" s="4" t="inlineStr">
        <is>
          <t>N/A</t>
        </is>
      </c>
      <c r="K865" s="4" t="n"/>
      <c r="L865" s="4" t="inlineStr">
        <is>
          <t>0/312</t>
        </is>
      </c>
      <c r="M865" s="9" t="inlineStr">
        <is>
          <t>Submission 1104914332</t>
        </is>
      </c>
      <c r="N865" s="4" t="inlineStr">
        <is>
          <t>Yes</t>
        </is>
      </c>
    </row>
    <row r="866">
      <c r="A866" s="11" t="n">
        <v>45253.88337962963</v>
      </c>
      <c r="B866" s="4" t="inlineStr">
        <is>
          <t>2023-11</t>
        </is>
      </c>
      <c r="C866" s="4" t="n">
        <v>15</v>
      </c>
      <c r="D866" s="9" t="inlineStr">
        <is>
          <t>3Sum</t>
        </is>
      </c>
      <c r="E866" s="4" t="inlineStr">
        <is>
          <t>Medium</t>
        </is>
      </c>
      <c r="F866" s="4" t="inlineStr">
        <is>
          <t>Two Pointers</t>
        </is>
      </c>
      <c r="G866" s="4" t="inlineStr">
        <is>
          <t>Accepted</t>
        </is>
      </c>
      <c r="H866" s="4" t="inlineStr">
        <is>
          <t>Python3</t>
        </is>
      </c>
      <c r="I866" s="4" t="inlineStr">
        <is>
          <t>1128 ms</t>
        </is>
      </c>
      <c r="J866" s="4" t="inlineStr">
        <is>
          <t>20.6 MB</t>
        </is>
      </c>
      <c r="K866" s="4" t="n">
        <v>15.1</v>
      </c>
      <c r="L866" s="4" t="inlineStr">
        <is>
          <t>312/312</t>
        </is>
      </c>
      <c r="M866" s="9" t="inlineStr">
        <is>
          <t>Submission 1104916149</t>
        </is>
      </c>
      <c r="N866" s="4" t="inlineStr">
        <is>
          <t>Yes</t>
        </is>
      </c>
    </row>
    <row r="867">
      <c r="A867" s="11" t="n">
        <v>45253.89313657407</v>
      </c>
      <c r="B867" s="4" t="inlineStr">
        <is>
          <t>2023-11</t>
        </is>
      </c>
      <c r="C867" s="4" t="n">
        <v>15</v>
      </c>
      <c r="D867" s="9" t="inlineStr">
        <is>
          <t>3Sum</t>
        </is>
      </c>
      <c r="E867" s="4" t="inlineStr">
        <is>
          <t>Medium</t>
        </is>
      </c>
      <c r="F867" s="4" t="inlineStr">
        <is>
          <t>Two Pointers</t>
        </is>
      </c>
      <c r="G867" s="4" t="inlineStr">
        <is>
          <t>Accepted</t>
        </is>
      </c>
      <c r="H867" s="4" t="inlineStr">
        <is>
          <t>Python3</t>
        </is>
      </c>
      <c r="I867" s="4" t="inlineStr">
        <is>
          <t>1603 ms</t>
        </is>
      </c>
      <c r="J867" s="4" t="inlineStr">
        <is>
          <t>21.6 MB</t>
        </is>
      </c>
      <c r="K867" s="4" t="n">
        <v>9.1</v>
      </c>
      <c r="L867" s="4" t="inlineStr">
        <is>
          <t>312/312</t>
        </is>
      </c>
      <c r="M867" s="9" t="inlineStr">
        <is>
          <t>Submission 1104923500</t>
        </is>
      </c>
      <c r="N867" s="4" t="inlineStr">
        <is>
          <t>Yes</t>
        </is>
      </c>
    </row>
    <row r="868">
      <c r="A868" s="11" t="n">
        <v>45253.89322916666</v>
      </c>
      <c r="B868" s="4" t="inlineStr">
        <is>
          <t>2023-11</t>
        </is>
      </c>
      <c r="C868" s="4" t="n">
        <v>15</v>
      </c>
      <c r="D868" s="9" t="inlineStr">
        <is>
          <t>3Sum</t>
        </is>
      </c>
      <c r="E868" s="4" t="inlineStr">
        <is>
          <t>Medium</t>
        </is>
      </c>
      <c r="F868" s="4" t="inlineStr">
        <is>
          <t>Two Pointers</t>
        </is>
      </c>
      <c r="G868" s="4" t="inlineStr">
        <is>
          <t>Accepted</t>
        </is>
      </c>
      <c r="H868" s="4" t="inlineStr">
        <is>
          <t>Python3</t>
        </is>
      </c>
      <c r="I868" s="4" t="inlineStr">
        <is>
          <t>1577 ms</t>
        </is>
      </c>
      <c r="J868" s="4" t="inlineStr">
        <is>
          <t>21.4 MB</t>
        </is>
      </c>
      <c r="K868" s="4" t="n">
        <v>9.300000000000001</v>
      </c>
      <c r="L868" s="4" t="inlineStr">
        <is>
          <t>312/312</t>
        </is>
      </c>
      <c r="M868" s="9" t="inlineStr">
        <is>
          <t>Submission 1104923564</t>
        </is>
      </c>
      <c r="N868" s="4" t="inlineStr">
        <is>
          <t>Yes</t>
        </is>
      </c>
    </row>
    <row r="869">
      <c r="A869" s="11" t="n">
        <v>45254.15391203704</v>
      </c>
      <c r="B869" s="4" t="inlineStr">
        <is>
          <t>2023-11</t>
        </is>
      </c>
      <c r="C869" s="4" t="n">
        <v>88</v>
      </c>
      <c r="D869" s="9" t="inlineStr">
        <is>
          <t>Merge Sorted Array</t>
        </is>
      </c>
      <c r="E869" s="4" t="inlineStr">
        <is>
          <t>Easy</t>
        </is>
      </c>
      <c r="F869" s="4" t="inlineStr">
        <is>
          <t>Two Pointers</t>
        </is>
      </c>
      <c r="G869" s="4" t="inlineStr">
        <is>
          <t>Accepted</t>
        </is>
      </c>
      <c r="H869" s="4" t="inlineStr">
        <is>
          <t>Python3</t>
        </is>
      </c>
      <c r="I869" s="4" t="inlineStr">
        <is>
          <t>58 ms</t>
        </is>
      </c>
      <c r="J869" s="4" t="inlineStr">
        <is>
          <t>16.5 MB</t>
        </is>
      </c>
      <c r="K869" s="4" t="n">
        <v>1.8</v>
      </c>
      <c r="L869" s="4" t="inlineStr">
        <is>
          <t>59/59</t>
        </is>
      </c>
      <c r="M869" s="9" t="inlineStr">
        <is>
          <t>Submission 1105108540</t>
        </is>
      </c>
      <c r="N869" s="4" t="inlineStr">
        <is>
          <t>No</t>
        </is>
      </c>
    </row>
    <row r="870">
      <c r="A870" s="11" t="n">
        <v>45254.17120370371</v>
      </c>
      <c r="B870" s="4" t="inlineStr">
        <is>
          <t>2023-11</t>
        </is>
      </c>
      <c r="C870" s="4" t="n">
        <v>270</v>
      </c>
      <c r="D870" s="9" t="inlineStr">
        <is>
          <t>Closest Binary Search Tree Value</t>
        </is>
      </c>
      <c r="E870" s="4" t="inlineStr">
        <is>
          <t>Easy</t>
        </is>
      </c>
      <c r="F870" s="4" t="inlineStr">
        <is>
          <t>Binary Search Tree</t>
        </is>
      </c>
      <c r="G870" s="4" t="inlineStr">
        <is>
          <t>Wrong Answer</t>
        </is>
      </c>
      <c r="H870" s="4" t="inlineStr">
        <is>
          <t>Python3</t>
        </is>
      </c>
      <c r="I870" s="4" t="inlineStr">
        <is>
          <t>N/A</t>
        </is>
      </c>
      <c r="J870" s="4" t="inlineStr">
        <is>
          <t>N/A</t>
        </is>
      </c>
      <c r="K870" s="4" t="n"/>
      <c r="L870" s="4" t="inlineStr">
        <is>
          <t>64/65</t>
        </is>
      </c>
      <c r="M870" s="9" t="inlineStr">
        <is>
          <t>Submission 1105116851</t>
        </is>
      </c>
      <c r="N870" s="4" t="inlineStr">
        <is>
          <t>Yes</t>
        </is>
      </c>
    </row>
    <row r="871">
      <c r="A871" s="11" t="n">
        <v>45254.17262731482</v>
      </c>
      <c r="B871" s="4" t="inlineStr">
        <is>
          <t>2023-11</t>
        </is>
      </c>
      <c r="C871" s="4" t="n">
        <v>270</v>
      </c>
      <c r="D871" s="9" t="inlineStr">
        <is>
          <t>Closest Binary Search Tree Value</t>
        </is>
      </c>
      <c r="E871" s="4" t="inlineStr">
        <is>
          <t>Easy</t>
        </is>
      </c>
      <c r="F871" s="4" t="inlineStr">
        <is>
          <t>Binary Search Tree</t>
        </is>
      </c>
      <c r="G871" s="4" t="inlineStr">
        <is>
          <t>Wrong Answer</t>
        </is>
      </c>
      <c r="H871" s="4" t="inlineStr">
        <is>
          <t>Python3</t>
        </is>
      </c>
      <c r="I871" s="4" t="inlineStr">
        <is>
          <t>N/A</t>
        </is>
      </c>
      <c r="J871" s="4" t="inlineStr">
        <is>
          <t>N/A</t>
        </is>
      </c>
      <c r="K871" s="4" t="n"/>
      <c r="L871" s="4" t="inlineStr">
        <is>
          <t>64/65</t>
        </is>
      </c>
      <c r="M871" s="9" t="inlineStr">
        <is>
          <t>Submission 1105117494</t>
        </is>
      </c>
      <c r="N871" s="4" t="inlineStr">
        <is>
          <t>Yes</t>
        </is>
      </c>
    </row>
    <row r="872">
      <c r="A872" s="11" t="n">
        <v>45254.17407407407</v>
      </c>
      <c r="B872" s="4" t="inlineStr">
        <is>
          <t>2023-11</t>
        </is>
      </c>
      <c r="C872" s="4" t="n">
        <v>270</v>
      </c>
      <c r="D872" s="9" t="inlineStr">
        <is>
          <t>Closest Binary Search Tree Value</t>
        </is>
      </c>
      <c r="E872" s="4" t="inlineStr">
        <is>
          <t>Easy</t>
        </is>
      </c>
      <c r="F872" s="4" t="inlineStr">
        <is>
          <t>Binary Search Tree</t>
        </is>
      </c>
      <c r="G872" s="4" t="inlineStr">
        <is>
          <t>Wrong Answer</t>
        </is>
      </c>
      <c r="H872" s="4" t="inlineStr">
        <is>
          <t>Python3</t>
        </is>
      </c>
      <c r="I872" s="4" t="inlineStr">
        <is>
          <t>N/A</t>
        </is>
      </c>
      <c r="J872" s="4" t="inlineStr">
        <is>
          <t>N/A</t>
        </is>
      </c>
      <c r="K872" s="4" t="n"/>
      <c r="L872" s="4" t="inlineStr">
        <is>
          <t>40/65</t>
        </is>
      </c>
      <c r="M872" s="9" t="inlineStr">
        <is>
          <t>Submission 1105118128</t>
        </is>
      </c>
      <c r="N872" s="4" t="inlineStr">
        <is>
          <t>Yes</t>
        </is>
      </c>
    </row>
    <row r="873">
      <c r="A873" s="11" t="n">
        <v>45254.21858796296</v>
      </c>
      <c r="B873" s="4" t="inlineStr">
        <is>
          <t>2023-11</t>
        </is>
      </c>
      <c r="C873" s="4" t="n">
        <v>200</v>
      </c>
      <c r="D873" s="9" t="inlineStr">
        <is>
          <t>Number of Islands</t>
        </is>
      </c>
      <c r="E873" s="4" t="inlineStr">
        <is>
          <t>Medium</t>
        </is>
      </c>
      <c r="F873" s="4" t="inlineStr">
        <is>
          <t>Graph: Grid BFS/DFS</t>
        </is>
      </c>
      <c r="G873" s="4" t="inlineStr">
        <is>
          <t>Accepted</t>
        </is>
      </c>
      <c r="H873" s="4" t="inlineStr">
        <is>
          <t>Python3</t>
        </is>
      </c>
      <c r="I873" s="4" t="inlineStr">
        <is>
          <t>272 ms</t>
        </is>
      </c>
      <c r="J873" s="4" t="inlineStr">
        <is>
          <t>19.1 MB</t>
        </is>
      </c>
      <c r="K873" s="4" t="n">
        <v>16.6</v>
      </c>
      <c r="L873" s="4" t="inlineStr">
        <is>
          <t>49/49</t>
        </is>
      </c>
      <c r="M873" s="9" t="inlineStr">
        <is>
          <t>Submission 1105137836</t>
        </is>
      </c>
      <c r="N873" s="4" t="inlineStr">
        <is>
          <t>Yes</t>
        </is>
      </c>
    </row>
    <row r="874">
      <c r="A874" s="11" t="n">
        <v>45254.22399305556</v>
      </c>
      <c r="B874" s="4" t="inlineStr">
        <is>
          <t>2023-11</t>
        </is>
      </c>
      <c r="C874" s="4" t="n">
        <v>200</v>
      </c>
      <c r="D874" s="9" t="inlineStr">
        <is>
          <t>Number of Islands</t>
        </is>
      </c>
      <c r="E874" s="4" t="inlineStr">
        <is>
          <t>Medium</t>
        </is>
      </c>
      <c r="F874" s="4" t="inlineStr">
        <is>
          <t>Graph: Grid BFS/DFS</t>
        </is>
      </c>
      <c r="G874" s="4" t="inlineStr">
        <is>
          <t>Accepted</t>
        </is>
      </c>
      <c r="H874" s="4" t="inlineStr">
        <is>
          <t>Python3</t>
        </is>
      </c>
      <c r="I874" s="4" t="inlineStr">
        <is>
          <t>292 ms</t>
        </is>
      </c>
      <c r="J874" s="4" t="inlineStr">
        <is>
          <t>18.9 MB</t>
        </is>
      </c>
      <c r="K874" s="4" t="n">
        <v>7.4</v>
      </c>
      <c r="L874" s="4" t="inlineStr">
        <is>
          <t>49/49</t>
        </is>
      </c>
      <c r="M874" s="9" t="inlineStr">
        <is>
          <t>Submission 1105140025</t>
        </is>
      </c>
      <c r="N874" s="4" t="inlineStr">
        <is>
          <t>Yes</t>
        </is>
      </c>
    </row>
    <row r="875">
      <c r="A875" s="11" t="n">
        <v>45254.22408564815</v>
      </c>
      <c r="B875" s="4" t="inlineStr">
        <is>
          <t>2023-11</t>
        </is>
      </c>
      <c r="C875" s="4" t="n">
        <v>200</v>
      </c>
      <c r="D875" s="9" t="inlineStr">
        <is>
          <t>Number of Islands</t>
        </is>
      </c>
      <c r="E875" s="4" t="inlineStr">
        <is>
          <t>Medium</t>
        </is>
      </c>
      <c r="F875" s="4" t="inlineStr">
        <is>
          <t>Graph: Grid BFS/DFS</t>
        </is>
      </c>
      <c r="G875" s="4" t="inlineStr">
        <is>
          <t>Accepted</t>
        </is>
      </c>
      <c r="H875" s="4" t="inlineStr">
        <is>
          <t>Python3</t>
        </is>
      </c>
      <c r="I875" s="4" t="inlineStr">
        <is>
          <t>257 ms</t>
        </is>
      </c>
      <c r="J875" s="4" t="inlineStr">
        <is>
          <t>18.8 MB</t>
        </is>
      </c>
      <c r="K875" s="4" t="n">
        <v>32.5</v>
      </c>
      <c r="L875" s="4" t="inlineStr">
        <is>
          <t>49/49</t>
        </is>
      </c>
      <c r="M875" s="9" t="inlineStr">
        <is>
          <t>Submission 1105140056</t>
        </is>
      </c>
      <c r="N875" s="4" t="inlineStr">
        <is>
          <t>Yes</t>
        </is>
      </c>
    </row>
    <row r="876">
      <c r="A876" s="11" t="n">
        <v>45254.34297453704</v>
      </c>
      <c r="B876" s="4" t="inlineStr">
        <is>
          <t>2023-11</t>
        </is>
      </c>
      <c r="C876" s="4" t="n">
        <v>523</v>
      </c>
      <c r="D876" s="9" t="inlineStr">
        <is>
          <t>Continuous Subarray Sum</t>
        </is>
      </c>
      <c r="E876" s="4" t="inlineStr">
        <is>
          <t>Medium</t>
        </is>
      </c>
      <c r="F876" s="4" t="inlineStr">
        <is>
          <t>Prefix Sum &amp; Difference Array</t>
        </is>
      </c>
      <c r="G876" s="4" t="inlineStr">
        <is>
          <t>Accepted</t>
        </is>
      </c>
      <c r="H876" s="4" t="inlineStr">
        <is>
          <t>Python3</t>
        </is>
      </c>
      <c r="I876" s="4" t="inlineStr">
        <is>
          <t>920 ms</t>
        </is>
      </c>
      <c r="J876" s="4" t="inlineStr">
        <is>
          <t>36.1 MB</t>
        </is>
      </c>
      <c r="K876" s="4" t="n">
        <v>5.2</v>
      </c>
      <c r="L876" s="4" t="inlineStr">
        <is>
          <t>99/99</t>
        </is>
      </c>
      <c r="M876" s="9" t="inlineStr">
        <is>
          <t>Submission 1105195149</t>
        </is>
      </c>
      <c r="N876" s="4" t="inlineStr">
        <is>
          <t>No</t>
        </is>
      </c>
    </row>
    <row r="877">
      <c r="A877" s="11" t="n">
        <v>45254.8280787037</v>
      </c>
      <c r="B877" s="4" t="inlineStr">
        <is>
          <t>2023-11</t>
        </is>
      </c>
      <c r="C877" s="4" t="n">
        <v>125</v>
      </c>
      <c r="D877" s="9" t="inlineStr">
        <is>
          <t>Valid Palindrome</t>
        </is>
      </c>
      <c r="E877" s="4" t="inlineStr">
        <is>
          <t>Easy</t>
        </is>
      </c>
      <c r="F877" s="4" t="inlineStr">
        <is>
          <t>Two Pointers</t>
        </is>
      </c>
      <c r="G877" s="4" t="inlineStr">
        <is>
          <t>Accepted</t>
        </is>
      </c>
      <c r="H877" s="4" t="inlineStr">
        <is>
          <t>Python3</t>
        </is>
      </c>
      <c r="I877" s="4" t="inlineStr">
        <is>
          <t>47 ms</t>
        </is>
      </c>
      <c r="J877" s="4" t="inlineStr">
        <is>
          <t>16.9 MB</t>
        </is>
      </c>
      <c r="K877" s="4" t="n">
        <v>6</v>
      </c>
      <c r="L877" s="4" t="inlineStr">
        <is>
          <t>485/485</t>
        </is>
      </c>
      <c r="M877" s="9" t="inlineStr">
        <is>
          <t>Submission 1105496913</t>
        </is>
      </c>
      <c r="N877" s="4" t="inlineStr">
        <is>
          <t>No</t>
        </is>
      </c>
    </row>
    <row r="878">
      <c r="A878" s="11" t="n">
        <v>45254.83711805556</v>
      </c>
      <c r="B878" s="4" t="inlineStr">
        <is>
          <t>2023-11</t>
        </is>
      </c>
      <c r="C878" s="4" t="n">
        <v>348</v>
      </c>
      <c r="D878" s="9" t="inlineStr">
        <is>
          <t>Design Tic-Tac-Toe</t>
        </is>
      </c>
      <c r="E878" s="4" t="inlineStr">
        <is>
          <t>Medium</t>
        </is>
      </c>
      <c r="F878" s="4" t="inlineStr">
        <is>
          <t>Design</t>
        </is>
      </c>
      <c r="G878" s="4" t="inlineStr">
        <is>
          <t>Runtime Error</t>
        </is>
      </c>
      <c r="H878" s="4" t="inlineStr">
        <is>
          <t>Python</t>
        </is>
      </c>
      <c r="I878" s="4" t="inlineStr">
        <is>
          <t>N/A</t>
        </is>
      </c>
      <c r="J878" s="4" t="inlineStr">
        <is>
          <t>N/A</t>
        </is>
      </c>
      <c r="K878" s="4" t="n"/>
      <c r="L878" s="4" t="inlineStr">
        <is>
          <t>0/33</t>
        </is>
      </c>
      <c r="M878" s="9" t="inlineStr">
        <is>
          <t>Submission 1105503344</t>
        </is>
      </c>
      <c r="N878" s="4" t="inlineStr">
        <is>
          <t>No</t>
        </is>
      </c>
    </row>
    <row r="879">
      <c r="A879" s="11" t="n">
        <v>45254.83741898148</v>
      </c>
      <c r="B879" s="4" t="inlineStr">
        <is>
          <t>2023-11</t>
        </is>
      </c>
      <c r="C879" s="4" t="n">
        <v>348</v>
      </c>
      <c r="D879" s="9" t="inlineStr">
        <is>
          <t>Design Tic-Tac-Toe</t>
        </is>
      </c>
      <c r="E879" s="4" t="inlineStr">
        <is>
          <t>Medium</t>
        </is>
      </c>
      <c r="F879" s="4" t="inlineStr">
        <is>
          <t>Design</t>
        </is>
      </c>
      <c r="G879" s="4" t="inlineStr">
        <is>
          <t>Accepted</t>
        </is>
      </c>
      <c r="H879" s="4" t="inlineStr">
        <is>
          <t>Python</t>
        </is>
      </c>
      <c r="I879" s="4" t="inlineStr">
        <is>
          <t>54 ms</t>
        </is>
      </c>
      <c r="J879" s="4" t="inlineStr">
        <is>
          <t>15.7 MB</t>
        </is>
      </c>
      <c r="K879" s="4" t="n">
        <v>96.59999999999999</v>
      </c>
      <c r="L879" s="4" t="inlineStr">
        <is>
          <t>33/33</t>
        </is>
      </c>
      <c r="M879" s="9" t="inlineStr">
        <is>
          <t>Submission 1105503568</t>
        </is>
      </c>
      <c r="N879" s="4" t="inlineStr">
        <is>
          <t>No</t>
        </is>
      </c>
    </row>
    <row r="880">
      <c r="A880" s="11" t="n">
        <v>45254.95476851852</v>
      </c>
      <c r="B880" s="4" t="inlineStr">
        <is>
          <t>2023-11</t>
        </is>
      </c>
      <c r="C880" s="4" t="n">
        <v>79</v>
      </c>
      <c r="D880" s="9" t="inlineStr">
        <is>
          <t>Word Search</t>
        </is>
      </c>
      <c r="E880" s="4" t="inlineStr">
        <is>
          <t>Medium</t>
        </is>
      </c>
      <c r="F880" s="4" t="inlineStr">
        <is>
          <t>Backtracking</t>
        </is>
      </c>
      <c r="G880" s="4" t="inlineStr">
        <is>
          <t>Accepted</t>
        </is>
      </c>
      <c r="H880" s="4" t="inlineStr">
        <is>
          <t>Python3</t>
        </is>
      </c>
      <c r="I880" s="4" t="inlineStr">
        <is>
          <t>6964 ms</t>
        </is>
      </c>
      <c r="J880" s="4" t="inlineStr">
        <is>
          <t>16.4 MB</t>
        </is>
      </c>
      <c r="K880" s="4" t="n">
        <v>5</v>
      </c>
      <c r="L880" s="4" t="inlineStr">
        <is>
          <t>86/86</t>
        </is>
      </c>
      <c r="M880" s="9" t="inlineStr">
        <is>
          <t>Submission 1105588401</t>
        </is>
      </c>
      <c r="N880" s="4" t="inlineStr">
        <is>
          <t>Yes</t>
        </is>
      </c>
    </row>
    <row r="881">
      <c r="A881" s="11" t="n">
        <v>45254.96150462963</v>
      </c>
      <c r="B881" s="4" t="inlineStr">
        <is>
          <t>2023-11</t>
        </is>
      </c>
      <c r="C881" s="4" t="n">
        <v>79</v>
      </c>
      <c r="D881" s="9" t="inlineStr">
        <is>
          <t>Word Search</t>
        </is>
      </c>
      <c r="E881" s="4" t="inlineStr">
        <is>
          <t>Medium</t>
        </is>
      </c>
      <c r="F881" s="4" t="inlineStr">
        <is>
          <t>Backtracking</t>
        </is>
      </c>
      <c r="G881" s="4" t="inlineStr">
        <is>
          <t>Accepted</t>
        </is>
      </c>
      <c r="H881" s="4" t="inlineStr">
        <is>
          <t>Python3</t>
        </is>
      </c>
      <c r="I881" s="4" t="inlineStr">
        <is>
          <t>5822 ms</t>
        </is>
      </c>
      <c r="J881" s="4" t="inlineStr">
        <is>
          <t>16.1 MB</t>
        </is>
      </c>
      <c r="K881" s="4" t="n">
        <v>7.9</v>
      </c>
      <c r="L881" s="4" t="inlineStr">
        <is>
          <t>86/86</t>
        </is>
      </c>
      <c r="M881" s="9" t="inlineStr">
        <is>
          <t>Submission 1105593548</t>
        </is>
      </c>
      <c r="N881" s="4" t="inlineStr">
        <is>
          <t>Yes</t>
        </is>
      </c>
    </row>
    <row r="882">
      <c r="A882" s="11" t="n">
        <v>45255.15804398148</v>
      </c>
      <c r="B882" s="4" t="inlineStr">
        <is>
          <t>2023-11</t>
        </is>
      </c>
      <c r="C882" s="4" t="n">
        <v>23</v>
      </c>
      <c r="D882" s="9" t="inlineStr">
        <is>
          <t>Merge k Sorted Lists</t>
        </is>
      </c>
      <c r="E882" s="4" t="inlineStr">
        <is>
          <t>Hard</t>
        </is>
      </c>
      <c r="F882" s="4" t="inlineStr">
        <is>
          <t>Heap / Top-K</t>
        </is>
      </c>
      <c r="G882" s="4" t="inlineStr">
        <is>
          <t>Accepted</t>
        </is>
      </c>
      <c r="H882" s="4" t="inlineStr">
        <is>
          <t>Python3</t>
        </is>
      </c>
      <c r="I882" s="4" t="inlineStr">
        <is>
          <t>94 ms</t>
        </is>
      </c>
      <c r="J882" s="4" t="inlineStr">
        <is>
          <t>19.9 MB</t>
        </is>
      </c>
      <c r="K882" s="4" t="n">
        <v>12.6</v>
      </c>
      <c r="L882" s="4" t="inlineStr">
        <is>
          <t>133/133</t>
        </is>
      </c>
      <c r="M882" s="9" t="inlineStr">
        <is>
          <t>Submission 1105714758</t>
        </is>
      </c>
      <c r="N882" s="4" t="inlineStr">
        <is>
          <t>Yes</t>
        </is>
      </c>
    </row>
    <row r="883">
      <c r="A883" s="11" t="n">
        <v>45255.19913194444</v>
      </c>
      <c r="B883" s="4" t="inlineStr">
        <is>
          <t>2023-11</t>
        </is>
      </c>
      <c r="C883" s="4" t="n">
        <v>398</v>
      </c>
      <c r="D883" s="9" t="inlineStr">
        <is>
          <t>Random Pick Index</t>
        </is>
      </c>
      <c r="E883" s="4" t="inlineStr">
        <is>
          <t>Medium</t>
        </is>
      </c>
      <c r="F883" s="4" t="inlineStr">
        <is>
          <t>Math &amp; Bit Manipulation</t>
        </is>
      </c>
      <c r="G883" s="4" t="inlineStr">
        <is>
          <t>Runtime Error</t>
        </is>
      </c>
      <c r="H883" s="4" t="inlineStr">
        <is>
          <t>Python3</t>
        </is>
      </c>
      <c r="I883" s="4" t="inlineStr">
        <is>
          <t>N/A</t>
        </is>
      </c>
      <c r="J883" s="4" t="inlineStr">
        <is>
          <t>N/A</t>
        </is>
      </c>
      <c r="K883" s="4" t="n"/>
      <c r="L883" s="4" t="inlineStr">
        <is>
          <t>0/15</t>
        </is>
      </c>
      <c r="M883" s="9" t="inlineStr">
        <is>
          <t>Submission 1105733373</t>
        </is>
      </c>
      <c r="N883" s="4" t="inlineStr">
        <is>
          <t>No</t>
        </is>
      </c>
    </row>
    <row r="884">
      <c r="A884" s="11" t="n">
        <v>45255.19947916667</v>
      </c>
      <c r="B884" s="4" t="inlineStr">
        <is>
          <t>2023-11</t>
        </is>
      </c>
      <c r="C884" s="4" t="n">
        <v>398</v>
      </c>
      <c r="D884" s="9" t="inlineStr">
        <is>
          <t>Random Pick Index</t>
        </is>
      </c>
      <c r="E884" s="4" t="inlineStr">
        <is>
          <t>Medium</t>
        </is>
      </c>
      <c r="F884" s="4" t="inlineStr">
        <is>
          <t>Math &amp; Bit Manipulation</t>
        </is>
      </c>
      <c r="G884" s="4" t="inlineStr">
        <is>
          <t>Time Limit Exceeded</t>
        </is>
      </c>
      <c r="H884" s="4" t="inlineStr">
        <is>
          <t>Python3</t>
        </is>
      </c>
      <c r="I884" s="4" t="inlineStr">
        <is>
          <t>N/A</t>
        </is>
      </c>
      <c r="J884" s="4" t="inlineStr">
        <is>
          <t>N/A</t>
        </is>
      </c>
      <c r="K884" s="4" t="n"/>
      <c r="L884" s="4" t="inlineStr">
        <is>
          <t>14/15</t>
        </is>
      </c>
      <c r="M884" s="9" t="inlineStr">
        <is>
          <t>Submission 1105733520</t>
        </is>
      </c>
      <c r="N884" s="4" t="inlineStr">
        <is>
          <t>No</t>
        </is>
      </c>
    </row>
    <row r="885">
      <c r="A885" s="11" t="n">
        <v>45256.90945601852</v>
      </c>
      <c r="B885" s="4" t="inlineStr">
        <is>
          <t>2023-11</t>
        </is>
      </c>
      <c r="C885" s="4" t="n">
        <v>317</v>
      </c>
      <c r="D885" s="9" t="inlineStr">
        <is>
          <t>Shortest Distance from All Buildings</t>
        </is>
      </c>
      <c r="E885" s="4" t="inlineStr">
        <is>
          <t>Hard</t>
        </is>
      </c>
      <c r="F885" s="4" t="inlineStr">
        <is>
          <t>Graph: Grid BFS/DFS</t>
        </is>
      </c>
      <c r="G885" s="4" t="inlineStr">
        <is>
          <t>Output Limit Exceeded</t>
        </is>
      </c>
      <c r="H885" s="4" t="inlineStr">
        <is>
          <t>Python3</t>
        </is>
      </c>
      <c r="I885" s="4" t="inlineStr">
        <is>
          <t>N/A</t>
        </is>
      </c>
      <c r="J885" s="4" t="inlineStr">
        <is>
          <t>N/A</t>
        </is>
      </c>
      <c r="K885" s="4" t="n"/>
      <c r="L885" s="4" t="inlineStr">
        <is>
          <t>62/85</t>
        </is>
      </c>
      <c r="M885" s="9" t="inlineStr">
        <is>
          <t>Submission 1106862429</t>
        </is>
      </c>
      <c r="N885" s="4" t="inlineStr">
        <is>
          <t>No</t>
        </is>
      </c>
    </row>
    <row r="886">
      <c r="A886" s="11" t="n">
        <v>45256.9096875</v>
      </c>
      <c r="B886" s="4" t="inlineStr">
        <is>
          <t>2023-11</t>
        </is>
      </c>
      <c r="C886" s="4" t="n">
        <v>317</v>
      </c>
      <c r="D886" s="9" t="inlineStr">
        <is>
          <t>Shortest Distance from All Buildings</t>
        </is>
      </c>
      <c r="E886" s="4" t="inlineStr">
        <is>
          <t>Hard</t>
        </is>
      </c>
      <c r="F886" s="4" t="inlineStr">
        <is>
          <t>Graph: Grid BFS/DFS</t>
        </is>
      </c>
      <c r="G886" s="4" t="inlineStr">
        <is>
          <t>Time Limit Exceeded</t>
        </is>
      </c>
      <c r="H886" s="4" t="inlineStr">
        <is>
          <t>Python3</t>
        </is>
      </c>
      <c r="I886" s="4" t="inlineStr">
        <is>
          <t>N/A</t>
        </is>
      </c>
      <c r="J886" s="4" t="inlineStr">
        <is>
          <t>N/A</t>
        </is>
      </c>
      <c r="K886" s="4" t="n"/>
      <c r="L886" s="4" t="inlineStr">
        <is>
          <t>78/85</t>
        </is>
      </c>
      <c r="M886" s="9" t="inlineStr">
        <is>
          <t>Submission 1106862624</t>
        </is>
      </c>
      <c r="N886" s="4" t="inlineStr">
        <is>
          <t>No</t>
        </is>
      </c>
    </row>
    <row r="887">
      <c r="A887" s="11" t="n">
        <v>45256.955625</v>
      </c>
      <c r="B887" s="4" t="inlineStr">
        <is>
          <t>2023-11</t>
        </is>
      </c>
      <c r="C887" s="4" t="n">
        <v>317</v>
      </c>
      <c r="D887" s="9" t="inlineStr">
        <is>
          <t>Shortest Distance from All Buildings</t>
        </is>
      </c>
      <c r="E887" s="4" t="inlineStr">
        <is>
          <t>Hard</t>
        </is>
      </c>
      <c r="F887" s="4" t="inlineStr">
        <is>
          <t>Graph: Grid BFS/DFS</t>
        </is>
      </c>
      <c r="G887" s="4" t="inlineStr">
        <is>
          <t>Accepted</t>
        </is>
      </c>
      <c r="H887" s="4" t="inlineStr">
        <is>
          <t>Python3</t>
        </is>
      </c>
      <c r="I887" s="4" t="inlineStr">
        <is>
          <t>4237 ms</t>
        </is>
      </c>
      <c r="J887" s="4" t="inlineStr">
        <is>
          <t>16.9 MB</t>
        </is>
      </c>
      <c r="K887" s="4" t="n">
        <v>26.5</v>
      </c>
      <c r="L887" s="4" t="inlineStr">
        <is>
          <t>85/85</t>
        </is>
      </c>
      <c r="M887" s="9" t="inlineStr">
        <is>
          <t>Submission 1106900347</t>
        </is>
      </c>
      <c r="N887" s="4" t="inlineStr">
        <is>
          <t>No</t>
        </is>
      </c>
    </row>
    <row r="888">
      <c r="A888" s="11" t="n">
        <v>45256.96372685185</v>
      </c>
      <c r="B888" s="4" t="inlineStr">
        <is>
          <t>2023-11</t>
        </is>
      </c>
      <c r="C888" s="4" t="n">
        <v>498</v>
      </c>
      <c r="D888" s="9" t="inlineStr">
        <is>
          <t>Diagonal Traverse</t>
        </is>
      </c>
      <c r="E888" s="4" t="inlineStr">
        <is>
          <t>Medium</t>
        </is>
      </c>
      <c r="F888" s="4" t="inlineStr">
        <is>
          <t>Strings &amp; Simulation</t>
        </is>
      </c>
      <c r="G888" s="4" t="inlineStr">
        <is>
          <t>Accepted</t>
        </is>
      </c>
      <c r="H888" s="4" t="inlineStr">
        <is>
          <t>Python3</t>
        </is>
      </c>
      <c r="I888" s="4" t="inlineStr">
        <is>
          <t>153 ms</t>
        </is>
      </c>
      <c r="J888" s="4" t="inlineStr">
        <is>
          <t>20.1 MB</t>
        </is>
      </c>
      <c r="K888" s="4" t="n">
        <v>8.4</v>
      </c>
      <c r="L888" s="4" t="inlineStr">
        <is>
          <t>32/32</t>
        </is>
      </c>
      <c r="M888" s="9" t="inlineStr">
        <is>
          <t>Submission 1106907486</t>
        </is>
      </c>
      <c r="N888" s="4" t="inlineStr">
        <is>
          <t>No</t>
        </is>
      </c>
    </row>
    <row r="889">
      <c r="A889" s="11" t="n">
        <v>45256.98163194444</v>
      </c>
      <c r="B889" s="4" t="inlineStr">
        <is>
          <t>2023-11</t>
        </is>
      </c>
      <c r="C889" s="4" t="n">
        <v>498</v>
      </c>
      <c r="D889" s="9" t="inlineStr">
        <is>
          <t>Diagonal Traverse</t>
        </is>
      </c>
      <c r="E889" s="4" t="inlineStr">
        <is>
          <t>Medium</t>
        </is>
      </c>
      <c r="F889" s="4" t="inlineStr">
        <is>
          <t>Strings &amp; Simulation</t>
        </is>
      </c>
      <c r="G889" s="4" t="inlineStr">
        <is>
          <t>Accepted</t>
        </is>
      </c>
      <c r="H889" s="4" t="inlineStr">
        <is>
          <t>Python3</t>
        </is>
      </c>
      <c r="I889" s="4" t="inlineStr">
        <is>
          <t>181 ms</t>
        </is>
      </c>
      <c r="J889" s="4" t="inlineStr">
        <is>
          <t>20.6 MB</t>
        </is>
      </c>
      <c r="K889" s="4" t="n">
        <v>8.4</v>
      </c>
      <c r="L889" s="4" t="inlineStr">
        <is>
          <t>32/32</t>
        </is>
      </c>
      <c r="M889" s="9" t="inlineStr">
        <is>
          <t>Submission 1106922663</t>
        </is>
      </c>
      <c r="N889" s="4" t="inlineStr">
        <is>
          <t>No</t>
        </is>
      </c>
    </row>
    <row r="890">
      <c r="A890" s="11" t="n">
        <v>45257.3337962963</v>
      </c>
      <c r="B890" s="4" t="inlineStr">
        <is>
          <t>2023-11</t>
        </is>
      </c>
      <c r="C890" s="4" t="n">
        <v>146</v>
      </c>
      <c r="D890" s="9" t="inlineStr">
        <is>
          <t>LRU Cache</t>
        </is>
      </c>
      <c r="E890" s="4" t="inlineStr">
        <is>
          <t>Medium</t>
        </is>
      </c>
      <c r="F890" s="4" t="inlineStr">
        <is>
          <t>Design</t>
        </is>
      </c>
      <c r="G890" s="4" t="inlineStr">
        <is>
          <t>Accepted</t>
        </is>
      </c>
      <c r="H890" s="4" t="inlineStr">
        <is>
          <t>Python3</t>
        </is>
      </c>
      <c r="I890" s="4" t="inlineStr">
        <is>
          <t>700 ms</t>
        </is>
      </c>
      <c r="J890" s="4" t="inlineStr">
        <is>
          <t>78.3 MB</t>
        </is>
      </c>
      <c r="K890" s="4" t="n">
        <v>5</v>
      </c>
      <c r="L890" s="4" t="inlineStr">
        <is>
          <t>22/22</t>
        </is>
      </c>
      <c r="M890" s="9" t="inlineStr">
        <is>
          <t>Submission 1107134933</t>
        </is>
      </c>
      <c r="N890" s="4" t="inlineStr">
        <is>
          <t>Yes</t>
        </is>
      </c>
    </row>
    <row r="891">
      <c r="A891" s="11" t="n">
        <v>45257.3516087963</v>
      </c>
      <c r="B891" s="4" t="inlineStr">
        <is>
          <t>2023-11</t>
        </is>
      </c>
      <c r="C891" s="4" t="n">
        <v>346</v>
      </c>
      <c r="D891" s="9" t="inlineStr">
        <is>
          <t>Moving Average from Data Stream</t>
        </is>
      </c>
      <c r="E891" s="4" t="inlineStr">
        <is>
          <t>Easy</t>
        </is>
      </c>
      <c r="F891" s="4" t="inlineStr">
        <is>
          <t>Design</t>
        </is>
      </c>
      <c r="G891" s="4" t="inlineStr">
        <is>
          <t>Accepted</t>
        </is>
      </c>
      <c r="H891" s="4" t="inlineStr">
        <is>
          <t>Python3</t>
        </is>
      </c>
      <c r="I891" s="4" t="inlineStr">
        <is>
          <t>72 ms</t>
        </is>
      </c>
      <c r="J891" s="4" t="inlineStr">
        <is>
          <t>19.7 MB</t>
        </is>
      </c>
      <c r="K891" s="4" t="n">
        <v>5.2</v>
      </c>
      <c r="L891" s="4" t="inlineStr">
        <is>
          <t>11/11</t>
        </is>
      </c>
      <c r="M891" s="9" t="inlineStr">
        <is>
          <t>Submission 1107144810</t>
        </is>
      </c>
      <c r="N891" s="4" t="inlineStr">
        <is>
          <t>Yes</t>
        </is>
      </c>
    </row>
    <row r="892">
      <c r="A892" s="11" t="n">
        <v>45257.42947916667</v>
      </c>
      <c r="B892" s="4" t="inlineStr">
        <is>
          <t>2023-11</t>
        </is>
      </c>
      <c r="C892" s="4" t="n">
        <v>953</v>
      </c>
      <c r="D892" s="9" t="inlineStr">
        <is>
          <t>Verifying an Alien Dictionary</t>
        </is>
      </c>
      <c r="E892" s="4" t="inlineStr">
        <is>
          <t>Easy</t>
        </is>
      </c>
      <c r="F892" s="4" t="inlineStr">
        <is>
          <t>Arrays, Hashing &amp; Sorting</t>
        </is>
      </c>
      <c r="G892" s="4" t="inlineStr">
        <is>
          <t>Wrong Answer</t>
        </is>
      </c>
      <c r="H892" s="4" t="inlineStr">
        <is>
          <t>Python3</t>
        </is>
      </c>
      <c r="I892" s="4" t="inlineStr">
        <is>
          <t>N/A</t>
        </is>
      </c>
      <c r="J892" s="4" t="inlineStr">
        <is>
          <t>N/A</t>
        </is>
      </c>
      <c r="K892" s="4" t="n"/>
      <c r="L892" s="4" t="inlineStr">
        <is>
          <t>122/125</t>
        </is>
      </c>
      <c r="M892" s="9" t="inlineStr">
        <is>
          <t>Submission 1107193695</t>
        </is>
      </c>
      <c r="N892" s="4" t="inlineStr">
        <is>
          <t>No</t>
        </is>
      </c>
    </row>
    <row r="893">
      <c r="A893" s="11" t="n">
        <v>45257.42961805555</v>
      </c>
      <c r="B893" s="4" t="inlineStr">
        <is>
          <t>2023-11</t>
        </is>
      </c>
      <c r="C893" s="4" t="n">
        <v>953</v>
      </c>
      <c r="D893" s="9" t="inlineStr">
        <is>
          <t>Verifying an Alien Dictionary</t>
        </is>
      </c>
      <c r="E893" s="4" t="inlineStr">
        <is>
          <t>Easy</t>
        </is>
      </c>
      <c r="F893" s="4" t="inlineStr">
        <is>
          <t>Arrays, Hashing &amp; Sorting</t>
        </is>
      </c>
      <c r="G893" s="4" t="inlineStr">
        <is>
          <t>Wrong Answer</t>
        </is>
      </c>
      <c r="H893" s="4" t="inlineStr">
        <is>
          <t>Python3</t>
        </is>
      </c>
      <c r="I893" s="4" t="inlineStr">
        <is>
          <t>N/A</t>
        </is>
      </c>
      <c r="J893" s="4" t="inlineStr">
        <is>
          <t>N/A</t>
        </is>
      </c>
      <c r="K893" s="4" t="n"/>
      <c r="L893" s="4" t="inlineStr">
        <is>
          <t>122/125</t>
        </is>
      </c>
      <c r="M893" s="9" t="inlineStr">
        <is>
          <t>Submission 1107193795</t>
        </is>
      </c>
      <c r="N893" s="4" t="inlineStr">
        <is>
          <t>No</t>
        </is>
      </c>
    </row>
    <row r="894">
      <c r="A894" s="11" t="n">
        <v>45257.42980324074</v>
      </c>
      <c r="B894" s="4" t="inlineStr">
        <is>
          <t>2023-11</t>
        </is>
      </c>
      <c r="C894" s="4" t="n">
        <v>953</v>
      </c>
      <c r="D894" s="9" t="inlineStr">
        <is>
          <t>Verifying an Alien Dictionary</t>
        </is>
      </c>
      <c r="E894" s="4" t="inlineStr">
        <is>
          <t>Easy</t>
        </is>
      </c>
      <c r="F894" s="4" t="inlineStr">
        <is>
          <t>Arrays, Hashing &amp; Sorting</t>
        </is>
      </c>
      <c r="G894" s="4" t="inlineStr">
        <is>
          <t>Wrong Answer</t>
        </is>
      </c>
      <c r="H894" s="4" t="inlineStr">
        <is>
          <t>Python3</t>
        </is>
      </c>
      <c r="I894" s="4" t="inlineStr">
        <is>
          <t>N/A</t>
        </is>
      </c>
      <c r="J894" s="4" t="inlineStr">
        <is>
          <t>N/A</t>
        </is>
      </c>
      <c r="K894" s="4" t="n"/>
      <c r="L894" s="4" t="inlineStr">
        <is>
          <t>120/125</t>
        </is>
      </c>
      <c r="M894" s="9" t="inlineStr">
        <is>
          <t>Submission 1107193931</t>
        </is>
      </c>
      <c r="N894" s="4" t="inlineStr">
        <is>
          <t>No</t>
        </is>
      </c>
    </row>
    <row r="895">
      <c r="A895" s="11" t="n">
        <v>45257.42991898148</v>
      </c>
      <c r="B895" s="4" t="inlineStr">
        <is>
          <t>2023-11</t>
        </is>
      </c>
      <c r="C895" s="4" t="n">
        <v>953</v>
      </c>
      <c r="D895" s="9" t="inlineStr">
        <is>
          <t>Verifying an Alien Dictionary</t>
        </is>
      </c>
      <c r="E895" s="4" t="inlineStr">
        <is>
          <t>Easy</t>
        </is>
      </c>
      <c r="F895" s="4" t="inlineStr">
        <is>
          <t>Arrays, Hashing &amp; Sorting</t>
        </is>
      </c>
      <c r="G895" s="4" t="inlineStr">
        <is>
          <t>Wrong Answer</t>
        </is>
      </c>
      <c r="H895" s="4" t="inlineStr">
        <is>
          <t>Python3</t>
        </is>
      </c>
      <c r="I895" s="4" t="inlineStr">
        <is>
          <t>N/A</t>
        </is>
      </c>
      <c r="J895" s="4" t="inlineStr">
        <is>
          <t>N/A</t>
        </is>
      </c>
      <c r="K895" s="4" t="n"/>
      <c r="L895" s="4" t="inlineStr">
        <is>
          <t>120/125</t>
        </is>
      </c>
      <c r="M895" s="9" t="inlineStr">
        <is>
          <t>Submission 1107194007</t>
        </is>
      </c>
      <c r="N895" s="4" t="inlineStr">
        <is>
          <t>No</t>
        </is>
      </c>
    </row>
    <row r="896">
      <c r="A896" s="11" t="n">
        <v>45257.4312037037</v>
      </c>
      <c r="B896" s="4" t="inlineStr">
        <is>
          <t>2023-11</t>
        </is>
      </c>
      <c r="C896" s="4" t="n">
        <v>953</v>
      </c>
      <c r="D896" s="9" t="inlineStr">
        <is>
          <t>Verifying an Alien Dictionary</t>
        </is>
      </c>
      <c r="E896" s="4" t="inlineStr">
        <is>
          <t>Easy</t>
        </is>
      </c>
      <c r="F896" s="4" t="inlineStr">
        <is>
          <t>Arrays, Hashing &amp; Sorting</t>
        </is>
      </c>
      <c r="G896" s="4" t="inlineStr">
        <is>
          <t>Wrong Answer</t>
        </is>
      </c>
      <c r="H896" s="4" t="inlineStr">
        <is>
          <t>Python3</t>
        </is>
      </c>
      <c r="I896" s="4" t="inlineStr">
        <is>
          <t>N/A</t>
        </is>
      </c>
      <c r="J896" s="4" t="inlineStr">
        <is>
          <t>N/A</t>
        </is>
      </c>
      <c r="K896" s="4" t="n"/>
      <c r="L896" s="4" t="inlineStr">
        <is>
          <t>122/125</t>
        </is>
      </c>
      <c r="M896" s="9" t="inlineStr">
        <is>
          <t>Submission 1107194860</t>
        </is>
      </c>
      <c r="N896" s="4" t="inlineStr">
        <is>
          <t>No</t>
        </is>
      </c>
    </row>
    <row r="897">
      <c r="A897" s="11" t="n">
        <v>45257.4340625</v>
      </c>
      <c r="B897" s="4" t="inlineStr">
        <is>
          <t>2023-11</t>
        </is>
      </c>
      <c r="C897" s="4" t="n">
        <v>953</v>
      </c>
      <c r="D897" s="9" t="inlineStr">
        <is>
          <t>Verifying an Alien Dictionary</t>
        </is>
      </c>
      <c r="E897" s="4" t="inlineStr">
        <is>
          <t>Easy</t>
        </is>
      </c>
      <c r="F897" s="4" t="inlineStr">
        <is>
          <t>Arrays, Hashing &amp; Sorting</t>
        </is>
      </c>
      <c r="G897" s="4" t="inlineStr">
        <is>
          <t>Wrong Answer</t>
        </is>
      </c>
      <c r="H897" s="4" t="inlineStr">
        <is>
          <t>Python3</t>
        </is>
      </c>
      <c r="I897" s="4" t="inlineStr">
        <is>
          <t>N/A</t>
        </is>
      </c>
      <c r="J897" s="4" t="inlineStr">
        <is>
          <t>N/A</t>
        </is>
      </c>
      <c r="K897" s="4" t="n"/>
      <c r="L897" s="4" t="inlineStr">
        <is>
          <t>82/125</t>
        </is>
      </c>
      <c r="M897" s="9" t="inlineStr">
        <is>
          <t>Submission 1107196798</t>
        </is>
      </c>
      <c r="N897" s="4" t="inlineStr">
        <is>
          <t>No</t>
        </is>
      </c>
    </row>
    <row r="898">
      <c r="A898" s="11" t="n">
        <v>45257.43524305556</v>
      </c>
      <c r="B898" s="4" t="inlineStr">
        <is>
          <t>2023-11</t>
        </is>
      </c>
      <c r="C898" s="4" t="n">
        <v>953</v>
      </c>
      <c r="D898" s="9" t="inlineStr">
        <is>
          <t>Verifying an Alien Dictionary</t>
        </is>
      </c>
      <c r="E898" s="4" t="inlineStr">
        <is>
          <t>Easy</t>
        </is>
      </c>
      <c r="F898" s="4" t="inlineStr">
        <is>
          <t>Arrays, Hashing &amp; Sorting</t>
        </is>
      </c>
      <c r="G898" s="4" t="inlineStr">
        <is>
          <t>Wrong Answer</t>
        </is>
      </c>
      <c r="H898" s="4" t="inlineStr">
        <is>
          <t>Python3</t>
        </is>
      </c>
      <c r="I898" s="4" t="inlineStr">
        <is>
          <t>N/A</t>
        </is>
      </c>
      <c r="J898" s="4" t="inlineStr">
        <is>
          <t>N/A</t>
        </is>
      </c>
      <c r="K898" s="4" t="n"/>
      <c r="L898" s="4" t="inlineStr">
        <is>
          <t>122/125</t>
        </is>
      </c>
      <c r="M898" s="9" t="inlineStr">
        <is>
          <t>Submission 1107197652</t>
        </is>
      </c>
      <c r="N898" s="4" t="inlineStr">
        <is>
          <t>No</t>
        </is>
      </c>
    </row>
    <row r="899">
      <c r="A899" s="11" t="n">
        <v>45257.43541666667</v>
      </c>
      <c r="B899" s="4" t="inlineStr">
        <is>
          <t>2023-11</t>
        </is>
      </c>
      <c r="C899" s="4" t="n">
        <v>953</v>
      </c>
      <c r="D899" s="9" t="inlineStr">
        <is>
          <t>Verifying an Alien Dictionary</t>
        </is>
      </c>
      <c r="E899" s="4" t="inlineStr">
        <is>
          <t>Easy</t>
        </is>
      </c>
      <c r="F899" s="4" t="inlineStr">
        <is>
          <t>Arrays, Hashing &amp; Sorting</t>
        </is>
      </c>
      <c r="G899" s="4" t="inlineStr">
        <is>
          <t>Wrong Answer</t>
        </is>
      </c>
      <c r="H899" s="4" t="inlineStr">
        <is>
          <t>Python3</t>
        </is>
      </c>
      <c r="I899" s="4" t="inlineStr">
        <is>
          <t>N/A</t>
        </is>
      </c>
      <c r="J899" s="4" t="inlineStr">
        <is>
          <t>N/A</t>
        </is>
      </c>
      <c r="K899" s="4" t="n"/>
      <c r="L899" s="4" t="inlineStr">
        <is>
          <t>122/125</t>
        </is>
      </c>
      <c r="M899" s="9" t="inlineStr">
        <is>
          <t>Submission 1107197758</t>
        </is>
      </c>
      <c r="N899" s="4" t="inlineStr">
        <is>
          <t>No</t>
        </is>
      </c>
    </row>
    <row r="900">
      <c r="A900" s="11" t="n">
        <v>45257.43553240741</v>
      </c>
      <c r="B900" s="4" t="inlineStr">
        <is>
          <t>2023-11</t>
        </is>
      </c>
      <c r="C900" s="4" t="n">
        <v>953</v>
      </c>
      <c r="D900" s="9" t="inlineStr">
        <is>
          <t>Verifying an Alien Dictionary</t>
        </is>
      </c>
      <c r="E900" s="4" t="inlineStr">
        <is>
          <t>Easy</t>
        </is>
      </c>
      <c r="F900" s="4" t="inlineStr">
        <is>
          <t>Arrays, Hashing &amp; Sorting</t>
        </is>
      </c>
      <c r="G900" s="4" t="inlineStr">
        <is>
          <t>Wrong Answer</t>
        </is>
      </c>
      <c r="H900" s="4" t="inlineStr">
        <is>
          <t>Python3</t>
        </is>
      </c>
      <c r="I900" s="4" t="inlineStr">
        <is>
          <t>N/A</t>
        </is>
      </c>
      <c r="J900" s="4" t="inlineStr">
        <is>
          <t>N/A</t>
        </is>
      </c>
      <c r="K900" s="4" t="n"/>
      <c r="L900" s="4" t="inlineStr">
        <is>
          <t>122/125</t>
        </is>
      </c>
      <c r="M900" s="9" t="inlineStr">
        <is>
          <t>Submission 1107197841</t>
        </is>
      </c>
      <c r="N900" s="4" t="inlineStr">
        <is>
          <t>No</t>
        </is>
      </c>
    </row>
    <row r="901">
      <c r="A901" s="11" t="n">
        <v>45257.43729166667</v>
      </c>
      <c r="B901" s="4" t="inlineStr">
        <is>
          <t>2023-11</t>
        </is>
      </c>
      <c r="C901" s="4" t="n">
        <v>953</v>
      </c>
      <c r="D901" s="9" t="inlineStr">
        <is>
          <t>Verifying an Alien Dictionary</t>
        </is>
      </c>
      <c r="E901" s="4" t="inlineStr">
        <is>
          <t>Easy</t>
        </is>
      </c>
      <c r="F901" s="4" t="inlineStr">
        <is>
          <t>Arrays, Hashing &amp; Sorting</t>
        </is>
      </c>
      <c r="G901" s="4" t="inlineStr">
        <is>
          <t>Accepted</t>
        </is>
      </c>
      <c r="H901" s="4" t="inlineStr">
        <is>
          <t>Python3</t>
        </is>
      </c>
      <c r="I901" s="4" t="inlineStr">
        <is>
          <t>46 ms</t>
        </is>
      </c>
      <c r="J901" s="4" t="inlineStr">
        <is>
          <t>16.3 MB</t>
        </is>
      </c>
      <c r="K901" s="4" t="n">
        <v>1.2</v>
      </c>
      <c r="L901" s="4" t="inlineStr">
        <is>
          <t>125/125</t>
        </is>
      </c>
      <c r="M901" s="9" t="inlineStr">
        <is>
          <t>Submission 1107199075</t>
        </is>
      </c>
      <c r="N901" s="4" t="inlineStr">
        <is>
          <t>No</t>
        </is>
      </c>
    </row>
    <row r="902">
      <c r="A902" s="11" t="n">
        <v>45257.83907407407</v>
      </c>
      <c r="B902" s="4" t="inlineStr">
        <is>
          <t>2023-11</t>
        </is>
      </c>
      <c r="C902" s="4" t="n">
        <v>1011</v>
      </c>
      <c r="D902" s="9" t="inlineStr">
        <is>
          <t>Capacity To Ship Packages Within D Days</t>
        </is>
      </c>
      <c r="E902" s="4" t="inlineStr">
        <is>
          <t>Medium</t>
        </is>
      </c>
      <c r="F902" s="4" t="inlineStr">
        <is>
          <t>Binary Search on Answer</t>
        </is>
      </c>
      <c r="G902" s="4" t="inlineStr">
        <is>
          <t>Accepted</t>
        </is>
      </c>
      <c r="H902" s="4" t="inlineStr">
        <is>
          <t>Python3</t>
        </is>
      </c>
      <c r="I902" s="4" t="inlineStr">
        <is>
          <t>480 ms</t>
        </is>
      </c>
      <c r="J902" s="4" t="inlineStr">
        <is>
          <t>22.3 MB</t>
        </is>
      </c>
      <c r="K902" s="4" t="n">
        <v>5</v>
      </c>
      <c r="L902" s="4" t="inlineStr">
        <is>
          <t>87/87</t>
        </is>
      </c>
      <c r="M902" s="9" t="inlineStr">
        <is>
          <t>Submission 1107477954</t>
        </is>
      </c>
      <c r="N902" s="4" t="inlineStr">
        <is>
          <t>No</t>
        </is>
      </c>
    </row>
    <row r="903">
      <c r="A903" s="11" t="n">
        <v>45257.86902777778</v>
      </c>
      <c r="B903" s="4" t="inlineStr">
        <is>
          <t>2023-11</t>
        </is>
      </c>
      <c r="C903" s="4" t="n">
        <v>875</v>
      </c>
      <c r="D903" s="9" t="inlineStr">
        <is>
          <t>Koko Eating Bananas</t>
        </is>
      </c>
      <c r="E903" s="4" t="inlineStr">
        <is>
          <t>Medium</t>
        </is>
      </c>
      <c r="F903" s="4" t="inlineStr">
        <is>
          <t>Binary Search on Answer</t>
        </is>
      </c>
      <c r="G903" s="4" t="inlineStr">
        <is>
          <t>Runtime Error</t>
        </is>
      </c>
      <c r="H903" s="4" t="inlineStr">
        <is>
          <t>Python3</t>
        </is>
      </c>
      <c r="I903" s="4" t="inlineStr">
        <is>
          <t>N/A</t>
        </is>
      </c>
      <c r="J903" s="4" t="inlineStr">
        <is>
          <t>N/A</t>
        </is>
      </c>
      <c r="K903" s="4" t="n"/>
      <c r="L903" s="4" t="inlineStr">
        <is>
          <t>18/126</t>
        </is>
      </c>
      <c r="M903" s="9" t="inlineStr">
        <is>
          <t>Submission 1107502795</t>
        </is>
      </c>
      <c r="N903" s="4" t="inlineStr">
        <is>
          <t>Yes</t>
        </is>
      </c>
    </row>
    <row r="904">
      <c r="A904" s="11" t="n">
        <v>45257.86940972223</v>
      </c>
      <c r="B904" s="4" t="inlineStr">
        <is>
          <t>2023-11</t>
        </is>
      </c>
      <c r="C904" s="4" t="n">
        <v>875</v>
      </c>
      <c r="D904" s="9" t="inlineStr">
        <is>
          <t>Koko Eating Bananas</t>
        </is>
      </c>
      <c r="E904" s="4" t="inlineStr">
        <is>
          <t>Medium</t>
        </is>
      </c>
      <c r="F904" s="4" t="inlineStr">
        <is>
          <t>Binary Search on Answer</t>
        </is>
      </c>
      <c r="G904" s="4" t="inlineStr">
        <is>
          <t>Runtime Error</t>
        </is>
      </c>
      <c r="H904" s="4" t="inlineStr">
        <is>
          <t>Python3</t>
        </is>
      </c>
      <c r="I904" s="4" t="inlineStr">
        <is>
          <t>N/A</t>
        </is>
      </c>
      <c r="J904" s="4" t="inlineStr">
        <is>
          <t>N/A</t>
        </is>
      </c>
      <c r="K904" s="4" t="n"/>
      <c r="L904" s="4" t="inlineStr">
        <is>
          <t>18/126</t>
        </is>
      </c>
      <c r="M904" s="9" t="inlineStr">
        <is>
          <t>Submission 1107503112</t>
        </is>
      </c>
      <c r="N904" s="4" t="inlineStr">
        <is>
          <t>Yes</t>
        </is>
      </c>
    </row>
    <row r="905">
      <c r="A905" s="11" t="n">
        <v>45257.87006944444</v>
      </c>
      <c r="B905" s="4" t="inlineStr">
        <is>
          <t>2023-11</t>
        </is>
      </c>
      <c r="C905" s="4" t="n">
        <v>875</v>
      </c>
      <c r="D905" s="9" t="inlineStr">
        <is>
          <t>Koko Eating Bananas</t>
        </is>
      </c>
      <c r="E905" s="4" t="inlineStr">
        <is>
          <t>Medium</t>
        </is>
      </c>
      <c r="F905" s="4" t="inlineStr">
        <is>
          <t>Binary Search on Answer</t>
        </is>
      </c>
      <c r="G905" s="4" t="inlineStr">
        <is>
          <t>Runtime Error</t>
        </is>
      </c>
      <c r="H905" s="4" t="inlineStr">
        <is>
          <t>Python3</t>
        </is>
      </c>
      <c r="I905" s="4" t="inlineStr">
        <is>
          <t>N/A</t>
        </is>
      </c>
      <c r="J905" s="4" t="inlineStr">
        <is>
          <t>N/A</t>
        </is>
      </c>
      <c r="K905" s="4" t="n"/>
      <c r="L905" s="4" t="inlineStr">
        <is>
          <t>18/126</t>
        </is>
      </c>
      <c r="M905" s="9" t="inlineStr">
        <is>
          <t>Submission 1107503649</t>
        </is>
      </c>
      <c r="N905" s="4" t="inlineStr">
        <is>
          <t>Yes</t>
        </is>
      </c>
    </row>
    <row r="906">
      <c r="A906" s="11" t="n">
        <v>45257.87142361111</v>
      </c>
      <c r="B906" s="4" t="inlineStr">
        <is>
          <t>2023-11</t>
        </is>
      </c>
      <c r="C906" s="4" t="n">
        <v>875</v>
      </c>
      <c r="D906" s="9" t="inlineStr">
        <is>
          <t>Koko Eating Bananas</t>
        </is>
      </c>
      <c r="E906" s="4" t="inlineStr">
        <is>
          <t>Medium</t>
        </is>
      </c>
      <c r="F906" s="4" t="inlineStr">
        <is>
          <t>Binary Search on Answer</t>
        </is>
      </c>
      <c r="G906" s="4" t="inlineStr">
        <is>
          <t>Runtime Error</t>
        </is>
      </c>
      <c r="H906" s="4" t="inlineStr">
        <is>
          <t>Python3</t>
        </is>
      </c>
      <c r="I906" s="4" t="inlineStr">
        <is>
          <t>N/A</t>
        </is>
      </c>
      <c r="J906" s="4" t="inlineStr">
        <is>
          <t>N/A</t>
        </is>
      </c>
      <c r="K906" s="4" t="n"/>
      <c r="L906" s="4" t="inlineStr">
        <is>
          <t>0/126</t>
        </is>
      </c>
      <c r="M906" s="9" t="inlineStr">
        <is>
          <t>Submission 1107504760</t>
        </is>
      </c>
      <c r="N906" s="4" t="inlineStr">
        <is>
          <t>Yes</t>
        </is>
      </c>
    </row>
    <row r="907">
      <c r="A907" s="11" t="n">
        <v>45257.8714699074</v>
      </c>
      <c r="B907" s="4" t="inlineStr">
        <is>
          <t>2023-11</t>
        </is>
      </c>
      <c r="C907" s="4" t="n">
        <v>875</v>
      </c>
      <c r="D907" s="9" t="inlineStr">
        <is>
          <t>Koko Eating Bananas</t>
        </is>
      </c>
      <c r="E907" s="4" t="inlineStr">
        <is>
          <t>Medium</t>
        </is>
      </c>
      <c r="F907" s="4" t="inlineStr">
        <is>
          <t>Binary Search on Answer</t>
        </is>
      </c>
      <c r="G907" s="4" t="inlineStr">
        <is>
          <t>Runtime Error</t>
        </is>
      </c>
      <c r="H907" s="4" t="inlineStr">
        <is>
          <t>Python3</t>
        </is>
      </c>
      <c r="I907" s="4" t="inlineStr">
        <is>
          <t>N/A</t>
        </is>
      </c>
      <c r="J907" s="4" t="inlineStr">
        <is>
          <t>N/A</t>
        </is>
      </c>
      <c r="K907" s="4" t="n"/>
      <c r="L907" s="4" t="inlineStr">
        <is>
          <t>0/126</t>
        </is>
      </c>
      <c r="M907" s="9" t="inlineStr">
        <is>
          <t>Submission 1107504814</t>
        </is>
      </c>
      <c r="N907" s="4" t="inlineStr">
        <is>
          <t>Yes</t>
        </is>
      </c>
    </row>
    <row r="908">
      <c r="A908" s="11" t="n">
        <v>45257.87152777778</v>
      </c>
      <c r="B908" s="4" t="inlineStr">
        <is>
          <t>2023-11</t>
        </is>
      </c>
      <c r="C908" s="4" t="n">
        <v>875</v>
      </c>
      <c r="D908" s="9" t="inlineStr">
        <is>
          <t>Koko Eating Bananas</t>
        </is>
      </c>
      <c r="E908" s="4" t="inlineStr">
        <is>
          <t>Medium</t>
        </is>
      </c>
      <c r="F908" s="4" t="inlineStr">
        <is>
          <t>Binary Search on Answer</t>
        </is>
      </c>
      <c r="G908" s="4" t="inlineStr">
        <is>
          <t>Runtime Error</t>
        </is>
      </c>
      <c r="H908" s="4" t="inlineStr">
        <is>
          <t>Python3</t>
        </is>
      </c>
      <c r="I908" s="4" t="inlineStr">
        <is>
          <t>N/A</t>
        </is>
      </c>
      <c r="J908" s="4" t="inlineStr">
        <is>
          <t>N/A</t>
        </is>
      </c>
      <c r="K908" s="4" t="n"/>
      <c r="L908" s="4" t="inlineStr">
        <is>
          <t>18/126</t>
        </is>
      </c>
      <c r="M908" s="9" t="inlineStr">
        <is>
          <t>Submission 1107504873</t>
        </is>
      </c>
      <c r="N908" s="4" t="inlineStr">
        <is>
          <t>Yes</t>
        </is>
      </c>
    </row>
    <row r="909">
      <c r="A909" s="11" t="n">
        <v>45257.87203703704</v>
      </c>
      <c r="B909" s="4" t="inlineStr">
        <is>
          <t>2023-11</t>
        </is>
      </c>
      <c r="C909" s="4" t="n">
        <v>875</v>
      </c>
      <c r="D909" s="9" t="inlineStr">
        <is>
          <t>Koko Eating Bananas</t>
        </is>
      </c>
      <c r="E909" s="4" t="inlineStr">
        <is>
          <t>Medium</t>
        </is>
      </c>
      <c r="F909" s="4" t="inlineStr">
        <is>
          <t>Binary Search on Answer</t>
        </is>
      </c>
      <c r="G909" s="4" t="inlineStr">
        <is>
          <t>Accepted</t>
        </is>
      </c>
      <c r="H909" s="4" t="inlineStr">
        <is>
          <t>Python3</t>
        </is>
      </c>
      <c r="I909" s="4" t="inlineStr">
        <is>
          <t>354 ms</t>
        </is>
      </c>
      <c r="J909" s="4" t="inlineStr">
        <is>
          <t>17.8 MB</t>
        </is>
      </c>
      <c r="K909" s="4" t="n">
        <v>5</v>
      </c>
      <c r="L909" s="4" t="inlineStr">
        <is>
          <t>126/126</t>
        </is>
      </c>
      <c r="M909" s="9" t="inlineStr">
        <is>
          <t>Submission 1107505336</t>
        </is>
      </c>
      <c r="N909" s="4" t="inlineStr">
        <is>
          <t>Yes</t>
        </is>
      </c>
    </row>
    <row r="910">
      <c r="A910" s="11" t="n">
        <v>45257.87212962963</v>
      </c>
      <c r="B910" s="4" t="inlineStr">
        <is>
          <t>2023-11</t>
        </is>
      </c>
      <c r="C910" s="4" t="n">
        <v>875</v>
      </c>
      <c r="D910" s="9" t="inlineStr">
        <is>
          <t>Koko Eating Bananas</t>
        </is>
      </c>
      <c r="E910" s="4" t="inlineStr">
        <is>
          <t>Medium</t>
        </is>
      </c>
      <c r="F910" s="4" t="inlineStr">
        <is>
          <t>Binary Search on Answer</t>
        </is>
      </c>
      <c r="G910" s="4" t="inlineStr">
        <is>
          <t>Accepted</t>
        </is>
      </c>
      <c r="H910" s="4" t="inlineStr">
        <is>
          <t>Python3</t>
        </is>
      </c>
      <c r="I910" s="4" t="inlineStr">
        <is>
          <t>392 ms</t>
        </is>
      </c>
      <c r="J910" s="4" t="inlineStr">
        <is>
          <t>17.9 MB</t>
        </is>
      </c>
      <c r="K910" s="4" t="n">
        <v>5</v>
      </c>
      <c r="L910" s="4" t="inlineStr">
        <is>
          <t>126/126</t>
        </is>
      </c>
      <c r="M910" s="9" t="inlineStr">
        <is>
          <t>Submission 1107505427</t>
        </is>
      </c>
      <c r="N910" s="4" t="inlineStr">
        <is>
          <t>Yes</t>
        </is>
      </c>
    </row>
    <row r="911">
      <c r="A911" s="11" t="n">
        <v>45257.89290509259</v>
      </c>
      <c r="B911" s="4" t="inlineStr">
        <is>
          <t>2023-11</t>
        </is>
      </c>
      <c r="C911" s="4" t="n">
        <v>1891</v>
      </c>
      <c r="D911" s="9" t="inlineStr">
        <is>
          <t>Cutting Ribbons</t>
        </is>
      </c>
      <c r="E911" s="4" t="inlineStr">
        <is>
          <t>Medium</t>
        </is>
      </c>
      <c r="F911" s="4" t="inlineStr">
        <is>
          <t>Binary Search on Answer</t>
        </is>
      </c>
      <c r="G911" s="4" t="inlineStr">
        <is>
          <t>Wrong Answer</t>
        </is>
      </c>
      <c r="H911" s="4" t="inlineStr">
        <is>
          <t>Python3</t>
        </is>
      </c>
      <c r="I911" s="4" t="inlineStr">
        <is>
          <t>N/A</t>
        </is>
      </c>
      <c r="J911" s="4" t="inlineStr">
        <is>
          <t>N/A</t>
        </is>
      </c>
      <c r="K911" s="4" t="n"/>
      <c r="L911" s="4" t="inlineStr">
        <is>
          <t>39/50</t>
        </is>
      </c>
      <c r="M911" s="9" t="inlineStr">
        <is>
          <t>Submission 1107523392</t>
        </is>
      </c>
      <c r="N911" s="4" t="inlineStr">
        <is>
          <t>No</t>
        </is>
      </c>
    </row>
    <row r="912">
      <c r="A912" s="11" t="n">
        <v>45257.89449074074</v>
      </c>
      <c r="B912" s="4" t="inlineStr">
        <is>
          <t>2023-11</t>
        </is>
      </c>
      <c r="C912" s="4" t="n">
        <v>1891</v>
      </c>
      <c r="D912" s="9" t="inlineStr">
        <is>
          <t>Cutting Ribbons</t>
        </is>
      </c>
      <c r="E912" s="4" t="inlineStr">
        <is>
          <t>Medium</t>
        </is>
      </c>
      <c r="F912" s="4" t="inlineStr">
        <is>
          <t>Binary Search on Answer</t>
        </is>
      </c>
      <c r="G912" s="4" t="inlineStr">
        <is>
          <t>Wrong Answer</t>
        </is>
      </c>
      <c r="H912" s="4" t="inlineStr">
        <is>
          <t>Python3</t>
        </is>
      </c>
      <c r="I912" s="4" t="inlineStr">
        <is>
          <t>N/A</t>
        </is>
      </c>
      <c r="J912" s="4" t="inlineStr">
        <is>
          <t>N/A</t>
        </is>
      </c>
      <c r="K912" s="4" t="n"/>
      <c r="L912" s="4" t="inlineStr">
        <is>
          <t>31/50</t>
        </is>
      </c>
      <c r="M912" s="9" t="inlineStr">
        <is>
          <t>Submission 1107524807</t>
        </is>
      </c>
      <c r="N912" s="4" t="inlineStr">
        <is>
          <t>No</t>
        </is>
      </c>
    </row>
    <row r="913">
      <c r="A913" s="11" t="n">
        <v>45257.89472222222</v>
      </c>
      <c r="B913" s="4" t="inlineStr">
        <is>
          <t>2023-11</t>
        </is>
      </c>
      <c r="C913" s="4" t="n">
        <v>1891</v>
      </c>
      <c r="D913" s="9" t="inlineStr">
        <is>
          <t>Cutting Ribbons</t>
        </is>
      </c>
      <c r="E913" s="4" t="inlineStr">
        <is>
          <t>Medium</t>
        </is>
      </c>
      <c r="F913" s="4" t="inlineStr">
        <is>
          <t>Binary Search on Answer</t>
        </is>
      </c>
      <c r="G913" s="4" t="inlineStr">
        <is>
          <t>Wrong Answer</t>
        </is>
      </c>
      <c r="H913" s="4" t="inlineStr">
        <is>
          <t>Python3</t>
        </is>
      </c>
      <c r="I913" s="4" t="inlineStr">
        <is>
          <t>N/A</t>
        </is>
      </c>
      <c r="J913" s="4" t="inlineStr">
        <is>
          <t>N/A</t>
        </is>
      </c>
      <c r="K913" s="4" t="n"/>
      <c r="L913" s="4" t="inlineStr">
        <is>
          <t>31/50</t>
        </is>
      </c>
      <c r="M913" s="9" t="inlineStr">
        <is>
          <t>Submission 1107525012</t>
        </is>
      </c>
      <c r="N913" s="4" t="inlineStr">
        <is>
          <t>No</t>
        </is>
      </c>
    </row>
    <row r="914">
      <c r="A914" s="11" t="n">
        <v>45257.895</v>
      </c>
      <c r="B914" s="4" t="inlineStr">
        <is>
          <t>2023-11</t>
        </is>
      </c>
      <c r="C914" s="4" t="n">
        <v>1891</v>
      </c>
      <c r="D914" s="9" t="inlineStr">
        <is>
          <t>Cutting Ribbons</t>
        </is>
      </c>
      <c r="E914" s="4" t="inlineStr">
        <is>
          <t>Medium</t>
        </is>
      </c>
      <c r="F914" s="4" t="inlineStr">
        <is>
          <t>Binary Search on Answer</t>
        </is>
      </c>
      <c r="G914" s="4" t="inlineStr">
        <is>
          <t>Wrong Answer</t>
        </is>
      </c>
      <c r="H914" s="4" t="inlineStr">
        <is>
          <t>Python3</t>
        </is>
      </c>
      <c r="I914" s="4" t="inlineStr">
        <is>
          <t>N/A</t>
        </is>
      </c>
      <c r="J914" s="4" t="inlineStr">
        <is>
          <t>N/A</t>
        </is>
      </c>
      <c r="K914" s="4" t="n"/>
      <c r="L914" s="4" t="inlineStr">
        <is>
          <t>31/50</t>
        </is>
      </c>
      <c r="M914" s="9" t="inlineStr">
        <is>
          <t>Submission 1107525244</t>
        </is>
      </c>
      <c r="N914" s="4" t="inlineStr">
        <is>
          <t>No</t>
        </is>
      </c>
    </row>
    <row r="915">
      <c r="A915" s="11" t="n">
        <v>45257.89520833334</v>
      </c>
      <c r="B915" s="4" t="inlineStr">
        <is>
          <t>2023-11</t>
        </is>
      </c>
      <c r="C915" s="4" t="n">
        <v>1891</v>
      </c>
      <c r="D915" s="9" t="inlineStr">
        <is>
          <t>Cutting Ribbons</t>
        </is>
      </c>
      <c r="E915" s="4" t="inlineStr">
        <is>
          <t>Medium</t>
        </is>
      </c>
      <c r="F915" s="4" t="inlineStr">
        <is>
          <t>Binary Search on Answer</t>
        </is>
      </c>
      <c r="G915" s="4" t="inlineStr">
        <is>
          <t>Wrong Answer</t>
        </is>
      </c>
      <c r="H915" s="4" t="inlineStr">
        <is>
          <t>Python3</t>
        </is>
      </c>
      <c r="I915" s="4" t="inlineStr">
        <is>
          <t>N/A</t>
        </is>
      </c>
      <c r="J915" s="4" t="inlineStr">
        <is>
          <t>N/A</t>
        </is>
      </c>
      <c r="K915" s="4" t="n"/>
      <c r="L915" s="4" t="inlineStr">
        <is>
          <t>31/50</t>
        </is>
      </c>
      <c r="M915" s="9" t="inlineStr">
        <is>
          <t>Submission 1107525423</t>
        </is>
      </c>
      <c r="N915" s="4" t="inlineStr">
        <is>
          <t>No</t>
        </is>
      </c>
    </row>
    <row r="916">
      <c r="A916" s="11" t="n">
        <v>45257.90310185185</v>
      </c>
      <c r="B916" s="4" t="inlineStr">
        <is>
          <t>2023-11</t>
        </is>
      </c>
      <c r="C916" s="4" t="n">
        <v>1891</v>
      </c>
      <c r="D916" s="9" t="inlineStr">
        <is>
          <t>Cutting Ribbons</t>
        </is>
      </c>
      <c r="E916" s="4" t="inlineStr">
        <is>
          <t>Medium</t>
        </is>
      </c>
      <c r="F916" s="4" t="inlineStr">
        <is>
          <t>Binary Search on Answer</t>
        </is>
      </c>
      <c r="G916" s="4" t="inlineStr">
        <is>
          <t>Wrong Answer</t>
        </is>
      </c>
      <c r="H916" s="4" t="inlineStr">
        <is>
          <t>Python3</t>
        </is>
      </c>
      <c r="I916" s="4" t="inlineStr">
        <is>
          <t>N/A</t>
        </is>
      </c>
      <c r="J916" s="4" t="inlineStr">
        <is>
          <t>N/A</t>
        </is>
      </c>
      <c r="K916" s="4" t="n"/>
      <c r="L916" s="4" t="inlineStr">
        <is>
          <t>31/50</t>
        </is>
      </c>
      <c r="M916" s="9" t="inlineStr">
        <is>
          <t>Submission 1107532529</t>
        </is>
      </c>
      <c r="N916" s="4" t="inlineStr">
        <is>
          <t>No</t>
        </is>
      </c>
    </row>
    <row r="917">
      <c r="A917" s="11" t="n">
        <v>45257.90355324074</v>
      </c>
      <c r="B917" s="4" t="inlineStr">
        <is>
          <t>2023-11</t>
        </is>
      </c>
      <c r="C917" s="4" t="n">
        <v>1891</v>
      </c>
      <c r="D917" s="9" t="inlineStr">
        <is>
          <t>Cutting Ribbons</t>
        </is>
      </c>
      <c r="E917" s="4" t="inlineStr">
        <is>
          <t>Medium</t>
        </is>
      </c>
      <c r="F917" s="4" t="inlineStr">
        <is>
          <t>Binary Search on Answer</t>
        </is>
      </c>
      <c r="G917" s="4" t="inlineStr">
        <is>
          <t>Accepted</t>
        </is>
      </c>
      <c r="H917" s="4" t="inlineStr">
        <is>
          <t>Python3</t>
        </is>
      </c>
      <c r="I917" s="4" t="inlineStr">
        <is>
          <t>1181 ms</t>
        </is>
      </c>
      <c r="J917" s="4" t="inlineStr">
        <is>
          <t>30.7 MB</t>
        </is>
      </c>
      <c r="K917" s="4" t="n">
        <v>5.3</v>
      </c>
      <c r="L917" s="4" t="inlineStr">
        <is>
          <t>50/50</t>
        </is>
      </c>
      <c r="M917" s="9" t="inlineStr">
        <is>
          <t>Submission 1107532903</t>
        </is>
      </c>
      <c r="N917" s="4" t="inlineStr">
        <is>
          <t>No</t>
        </is>
      </c>
    </row>
    <row r="918">
      <c r="A918" s="11" t="n">
        <v>45258.13450231482</v>
      </c>
      <c r="B918" s="4" t="inlineStr">
        <is>
          <t>2023-11</t>
        </is>
      </c>
      <c r="C918" s="4" t="n">
        <v>721</v>
      </c>
      <c r="D918" s="9" t="inlineStr">
        <is>
          <t>Accounts Merge</t>
        </is>
      </c>
      <c r="E918" s="4" t="inlineStr">
        <is>
          <t>Medium</t>
        </is>
      </c>
      <c r="F918" s="4" t="inlineStr">
        <is>
          <t>Graph: Union-Find</t>
        </is>
      </c>
      <c r="G918" s="4" t="inlineStr">
        <is>
          <t>Wrong Answer</t>
        </is>
      </c>
      <c r="H918" s="4" t="inlineStr">
        <is>
          <t>Python3</t>
        </is>
      </c>
      <c r="I918" s="4" t="inlineStr">
        <is>
          <t>N/A</t>
        </is>
      </c>
      <c r="J918" s="4" t="inlineStr">
        <is>
          <t>N/A</t>
        </is>
      </c>
      <c r="K918" s="4" t="n"/>
      <c r="L918" s="4" t="inlineStr">
        <is>
          <t>49/50</t>
        </is>
      </c>
      <c r="M918" s="9" t="inlineStr">
        <is>
          <t>Submission 1107725257</t>
        </is>
      </c>
      <c r="N918" s="4" t="inlineStr">
        <is>
          <t>Yes</t>
        </is>
      </c>
    </row>
    <row r="919">
      <c r="A919" s="11" t="n">
        <v>45258.13856481481</v>
      </c>
      <c r="B919" s="4" t="inlineStr">
        <is>
          <t>2023-11</t>
        </is>
      </c>
      <c r="C919" s="4" t="n">
        <v>721</v>
      </c>
      <c r="D919" s="9" t="inlineStr">
        <is>
          <t>Accounts Merge</t>
        </is>
      </c>
      <c r="E919" s="4" t="inlineStr">
        <is>
          <t>Medium</t>
        </is>
      </c>
      <c r="F919" s="4" t="inlineStr">
        <is>
          <t>Graph: Union-Find</t>
        </is>
      </c>
      <c r="G919" s="4" t="inlineStr">
        <is>
          <t>Accepted</t>
        </is>
      </c>
      <c r="H919" s="4" t="inlineStr">
        <is>
          <t>Python3</t>
        </is>
      </c>
      <c r="I919" s="4" t="inlineStr">
        <is>
          <t>209 ms</t>
        </is>
      </c>
      <c r="J919" s="4" t="inlineStr">
        <is>
          <t>26.6 MB</t>
        </is>
      </c>
      <c r="K919" s="4" t="n">
        <v>6.5</v>
      </c>
      <c r="L919" s="4" t="inlineStr">
        <is>
          <t>50/50</t>
        </is>
      </c>
      <c r="M919" s="9" t="inlineStr">
        <is>
          <t>Submission 1107727740</t>
        </is>
      </c>
      <c r="N919" s="4" t="inlineStr">
        <is>
          <t>Yes</t>
        </is>
      </c>
    </row>
    <row r="920">
      <c r="A920" s="11" t="n">
        <v>45258.13883101852</v>
      </c>
      <c r="B920" s="4" t="inlineStr">
        <is>
          <t>2023-11</t>
        </is>
      </c>
      <c r="C920" s="4" t="n">
        <v>721</v>
      </c>
      <c r="D920" s="9" t="inlineStr">
        <is>
          <t>Accounts Merge</t>
        </is>
      </c>
      <c r="E920" s="4" t="inlineStr">
        <is>
          <t>Medium</t>
        </is>
      </c>
      <c r="F920" s="4" t="inlineStr">
        <is>
          <t>Graph: Union-Find</t>
        </is>
      </c>
      <c r="G920" s="4" t="inlineStr">
        <is>
          <t>Accepted</t>
        </is>
      </c>
      <c r="H920" s="4" t="inlineStr">
        <is>
          <t>Python3</t>
        </is>
      </c>
      <c r="I920" s="4" t="inlineStr">
        <is>
          <t>205 ms</t>
        </is>
      </c>
      <c r="J920" s="4" t="inlineStr">
        <is>
          <t>30.7 MB</t>
        </is>
      </c>
      <c r="K920" s="4" t="n">
        <v>6.6</v>
      </c>
      <c r="L920" s="4" t="inlineStr">
        <is>
          <t>50/50</t>
        </is>
      </c>
      <c r="M920" s="9" t="inlineStr">
        <is>
          <t>Submission 1107727897</t>
        </is>
      </c>
      <c r="N920" s="4" t="inlineStr">
        <is>
          <t>Yes</t>
        </is>
      </c>
    </row>
    <row r="921">
      <c r="A921" s="11" t="n">
        <v>45258.17539351852</v>
      </c>
      <c r="B921" s="4" t="inlineStr">
        <is>
          <t>2023-11</t>
        </is>
      </c>
      <c r="C921" s="4" t="n">
        <v>986</v>
      </c>
      <c r="D921" s="9" t="inlineStr">
        <is>
          <t>Interval List Intersections</t>
        </is>
      </c>
      <c r="E921" s="4" t="inlineStr">
        <is>
          <t>Medium</t>
        </is>
      </c>
      <c r="F921" s="4" t="inlineStr">
        <is>
          <t>Intervals &amp; Sweep Line</t>
        </is>
      </c>
      <c r="G921" s="4" t="inlineStr">
        <is>
          <t>Accepted</t>
        </is>
      </c>
      <c r="H921" s="4" t="inlineStr">
        <is>
          <t>Python3</t>
        </is>
      </c>
      <c r="I921" s="4" t="inlineStr">
        <is>
          <t>138 ms</t>
        </is>
      </c>
      <c r="J921" s="4" t="inlineStr">
        <is>
          <t>17.4 MB</t>
        </is>
      </c>
      <c r="K921" s="4" t="n">
        <v>6.1</v>
      </c>
      <c r="L921" s="4" t="inlineStr">
        <is>
          <t>85/85</t>
        </is>
      </c>
      <c r="M921" s="9" t="inlineStr">
        <is>
          <t>Submission 1107749175</t>
        </is>
      </c>
      <c r="N921" s="4" t="inlineStr">
        <is>
          <t>No</t>
        </is>
      </c>
    </row>
    <row r="922">
      <c r="A922" s="11" t="n">
        <v>45258.27959490741</v>
      </c>
      <c r="B922" s="4" t="inlineStr">
        <is>
          <t>2023-11</t>
        </is>
      </c>
      <c r="C922" s="4" t="n">
        <v>1541</v>
      </c>
      <c r="D922" s="9" t="inlineStr">
        <is>
          <t>Minimum Insertions to Balance a Parentheses String</t>
        </is>
      </c>
      <c r="E922" s="4" t="inlineStr">
        <is>
          <t>Medium</t>
        </is>
      </c>
      <c r="F922" s="4" t="inlineStr">
        <is>
          <t>Greedy</t>
        </is>
      </c>
      <c r="G922" s="4" t="inlineStr">
        <is>
          <t>Accepted</t>
        </is>
      </c>
      <c r="H922" s="4" t="inlineStr">
        <is>
          <t>Python3</t>
        </is>
      </c>
      <c r="I922" s="4" t="inlineStr">
        <is>
          <t>183 ms</t>
        </is>
      </c>
      <c r="J922" s="4" t="inlineStr">
        <is>
          <t>17.2 MB</t>
        </is>
      </c>
      <c r="K922" s="4" t="n">
        <v>5.1</v>
      </c>
      <c r="L922" s="4" t="inlineStr">
        <is>
          <t>102/102</t>
        </is>
      </c>
      <c r="M922" s="9" t="inlineStr">
        <is>
          <t>Submission 1107805104</t>
        </is>
      </c>
      <c r="N922" s="4" t="inlineStr">
        <is>
          <t>No</t>
        </is>
      </c>
    </row>
    <row r="923">
      <c r="A923" s="11" t="n">
        <v>45258.29461805556</v>
      </c>
      <c r="B923" s="4" t="inlineStr">
        <is>
          <t>2023-11</t>
        </is>
      </c>
      <c r="C923" s="4" t="n">
        <v>253</v>
      </c>
      <c r="D923" s="9" t="inlineStr">
        <is>
          <t>Meeting Rooms II</t>
        </is>
      </c>
      <c r="E923" s="4" t="inlineStr">
        <is>
          <t>Medium</t>
        </is>
      </c>
      <c r="F923" s="4" t="inlineStr">
        <is>
          <t>Intervals &amp; Sweep Line</t>
        </is>
      </c>
      <c r="G923" s="4" t="inlineStr">
        <is>
          <t>Wrong Answer</t>
        </is>
      </c>
      <c r="H923" s="4" t="inlineStr">
        <is>
          <t>Python3</t>
        </is>
      </c>
      <c r="I923" s="4" t="inlineStr">
        <is>
          <t>N/A</t>
        </is>
      </c>
      <c r="J923" s="4" t="inlineStr">
        <is>
          <t>N/A</t>
        </is>
      </c>
      <c r="K923" s="4" t="n"/>
      <c r="L923" s="4" t="inlineStr">
        <is>
          <t>65/78</t>
        </is>
      </c>
      <c r="M923" s="9" t="inlineStr">
        <is>
          <t>Submission 1107813825</t>
        </is>
      </c>
      <c r="N923" s="4" t="inlineStr">
        <is>
          <t>Yes</t>
        </is>
      </c>
    </row>
    <row r="924">
      <c r="A924" s="11" t="n">
        <v>45258.29476851852</v>
      </c>
      <c r="B924" s="4" t="inlineStr">
        <is>
          <t>2023-11</t>
        </is>
      </c>
      <c r="C924" s="4" t="n">
        <v>253</v>
      </c>
      <c r="D924" s="9" t="inlineStr">
        <is>
          <t>Meeting Rooms II</t>
        </is>
      </c>
      <c r="E924" s="4" t="inlineStr">
        <is>
          <t>Medium</t>
        </is>
      </c>
      <c r="F924" s="4" t="inlineStr">
        <is>
          <t>Intervals &amp; Sweep Line</t>
        </is>
      </c>
      <c r="G924" s="4" t="inlineStr">
        <is>
          <t>Accepted</t>
        </is>
      </c>
      <c r="H924" s="4" t="inlineStr">
        <is>
          <t>Python3</t>
        </is>
      </c>
      <c r="I924" s="4" t="inlineStr">
        <is>
          <t>82 ms</t>
        </is>
      </c>
      <c r="J924" s="4" t="inlineStr">
        <is>
          <t>19.9 MB</t>
        </is>
      </c>
      <c r="K924" s="4" t="n">
        <v>6.7</v>
      </c>
      <c r="L924" s="4" t="inlineStr">
        <is>
          <t>78/78</t>
        </is>
      </c>
      <c r="M924" s="9" t="inlineStr">
        <is>
          <t>Submission 1107813904</t>
        </is>
      </c>
      <c r="N924" s="4" t="inlineStr">
        <is>
          <t>Yes</t>
        </is>
      </c>
    </row>
    <row r="925">
      <c r="A925" s="11" t="n">
        <v>45258.31006944444</v>
      </c>
      <c r="B925" s="4" t="inlineStr">
        <is>
          <t>2023-11</t>
        </is>
      </c>
      <c r="C925" s="4" t="n">
        <v>1216</v>
      </c>
      <c r="D925" s="9" t="inlineStr">
        <is>
          <t>Valid Palindrome III</t>
        </is>
      </c>
      <c r="E925" s="4" t="inlineStr">
        <is>
          <t>Hard</t>
        </is>
      </c>
      <c r="F925" s="4" t="inlineStr">
        <is>
          <t>DP: Strings (LCS, Edit, Matching)</t>
        </is>
      </c>
      <c r="G925" s="4" t="inlineStr">
        <is>
          <t>Wrong Answer</t>
        </is>
      </c>
      <c r="H925" s="4" t="inlineStr">
        <is>
          <t>Python3</t>
        </is>
      </c>
      <c r="I925" s="4" t="inlineStr">
        <is>
          <t>N/A</t>
        </is>
      </c>
      <c r="J925" s="4" t="inlineStr">
        <is>
          <t>N/A</t>
        </is>
      </c>
      <c r="K925" s="4" t="n"/>
      <c r="L925" s="4" t="inlineStr">
        <is>
          <t>25/51</t>
        </is>
      </c>
      <c r="M925" s="9" t="inlineStr">
        <is>
          <t>Submission 1107822796</t>
        </is>
      </c>
      <c r="N925" s="4" t="inlineStr">
        <is>
          <t>No</t>
        </is>
      </c>
    </row>
    <row r="926">
      <c r="A926" s="11" t="n">
        <v>45258.31078703704</v>
      </c>
      <c r="B926" s="4" t="inlineStr">
        <is>
          <t>2023-11</t>
        </is>
      </c>
      <c r="C926" s="4" t="n">
        <v>1216</v>
      </c>
      <c r="D926" s="9" t="inlineStr">
        <is>
          <t>Valid Palindrome III</t>
        </is>
      </c>
      <c r="E926" s="4" t="inlineStr">
        <is>
          <t>Hard</t>
        </is>
      </c>
      <c r="F926" s="4" t="inlineStr">
        <is>
          <t>DP: Strings (LCS, Edit, Matching)</t>
        </is>
      </c>
      <c r="G926" s="4" t="inlineStr">
        <is>
          <t>Wrong Answer</t>
        </is>
      </c>
      <c r="H926" s="4" t="inlineStr">
        <is>
          <t>Python3</t>
        </is>
      </c>
      <c r="I926" s="4" t="inlineStr">
        <is>
          <t>N/A</t>
        </is>
      </c>
      <c r="J926" s="4" t="inlineStr">
        <is>
          <t>N/A</t>
        </is>
      </c>
      <c r="K926" s="4" t="n"/>
      <c r="L926" s="4" t="inlineStr">
        <is>
          <t>39/51</t>
        </is>
      </c>
      <c r="M926" s="9" t="inlineStr">
        <is>
          <t>Submission 1107823219</t>
        </is>
      </c>
      <c r="N926" s="4" t="inlineStr">
        <is>
          <t>No</t>
        </is>
      </c>
    </row>
    <row r="927">
      <c r="A927" s="11" t="n">
        <v>45258.31702546297</v>
      </c>
      <c r="B927" s="4" t="inlineStr">
        <is>
          <t>2023-11</t>
        </is>
      </c>
      <c r="C927" s="4" t="n">
        <v>1216</v>
      </c>
      <c r="D927" s="9" t="inlineStr">
        <is>
          <t>Valid Palindrome III</t>
        </is>
      </c>
      <c r="E927" s="4" t="inlineStr">
        <is>
          <t>Hard</t>
        </is>
      </c>
      <c r="F927" s="4" t="inlineStr">
        <is>
          <t>DP: Strings (LCS, Edit, Matching)</t>
        </is>
      </c>
      <c r="G927" s="4" t="inlineStr">
        <is>
          <t>Wrong Answer</t>
        </is>
      </c>
      <c r="H927" s="4" t="inlineStr">
        <is>
          <t>Python3</t>
        </is>
      </c>
      <c r="I927" s="4" t="inlineStr">
        <is>
          <t>N/A</t>
        </is>
      </c>
      <c r="J927" s="4" t="inlineStr">
        <is>
          <t>N/A</t>
        </is>
      </c>
      <c r="K927" s="4" t="n"/>
      <c r="L927" s="4" t="inlineStr">
        <is>
          <t>33/51</t>
        </is>
      </c>
      <c r="M927" s="9" t="inlineStr">
        <is>
          <t>Submission 1107826698</t>
        </is>
      </c>
      <c r="N927" s="4" t="inlineStr">
        <is>
          <t>No</t>
        </is>
      </c>
    </row>
    <row r="928">
      <c r="A928" s="11" t="n">
        <v>45258.33207175926</v>
      </c>
      <c r="B928" s="4" t="inlineStr">
        <is>
          <t>2023-11</t>
        </is>
      </c>
      <c r="C928" s="4" t="n">
        <v>1216</v>
      </c>
      <c r="D928" s="9" t="inlineStr">
        <is>
          <t>Valid Palindrome III</t>
        </is>
      </c>
      <c r="E928" s="4" t="inlineStr">
        <is>
          <t>Hard</t>
        </is>
      </c>
      <c r="F928" s="4" t="inlineStr">
        <is>
          <t>DP: Strings (LCS, Edit, Matching)</t>
        </is>
      </c>
      <c r="G928" s="4" t="inlineStr">
        <is>
          <t>Wrong Answer</t>
        </is>
      </c>
      <c r="H928" s="4" t="inlineStr">
        <is>
          <t>Python3</t>
        </is>
      </c>
      <c r="I928" s="4" t="inlineStr">
        <is>
          <t>N/A</t>
        </is>
      </c>
      <c r="J928" s="4" t="inlineStr">
        <is>
          <t>N/A</t>
        </is>
      </c>
      <c r="K928" s="4" t="n"/>
      <c r="L928" s="4" t="inlineStr">
        <is>
          <t>39/51</t>
        </is>
      </c>
      <c r="M928" s="9" t="inlineStr">
        <is>
          <t>Submission 1107835804</t>
        </is>
      </c>
      <c r="N928" s="4" t="inlineStr">
        <is>
          <t>No</t>
        </is>
      </c>
    </row>
    <row r="929">
      <c r="A929" s="11" t="n">
        <v>45258.33265046297</v>
      </c>
      <c r="B929" s="4" t="inlineStr">
        <is>
          <t>2023-11</t>
        </is>
      </c>
      <c r="C929" s="4" t="n">
        <v>1216</v>
      </c>
      <c r="D929" s="9" t="inlineStr">
        <is>
          <t>Valid Palindrome III</t>
        </is>
      </c>
      <c r="E929" s="4" t="inlineStr">
        <is>
          <t>Hard</t>
        </is>
      </c>
      <c r="F929" s="4" t="inlineStr">
        <is>
          <t>DP: Strings (LCS, Edit, Matching)</t>
        </is>
      </c>
      <c r="G929" s="4" t="inlineStr">
        <is>
          <t>Wrong Answer</t>
        </is>
      </c>
      <c r="H929" s="4" t="inlineStr">
        <is>
          <t>Python3</t>
        </is>
      </c>
      <c r="I929" s="4" t="inlineStr">
        <is>
          <t>N/A</t>
        </is>
      </c>
      <c r="J929" s="4" t="inlineStr">
        <is>
          <t>N/A</t>
        </is>
      </c>
      <c r="K929" s="4" t="n"/>
      <c r="L929" s="4" t="inlineStr">
        <is>
          <t>39/51</t>
        </is>
      </c>
      <c r="M929" s="9" t="inlineStr">
        <is>
          <t>Submission 1107836174</t>
        </is>
      </c>
      <c r="N929" s="4" t="inlineStr">
        <is>
          <t>No</t>
        </is>
      </c>
    </row>
    <row r="930">
      <c r="A930" s="11" t="n">
        <v>45258.33305555556</v>
      </c>
      <c r="B930" s="4" t="inlineStr">
        <is>
          <t>2023-11</t>
        </is>
      </c>
      <c r="C930" s="4" t="n">
        <v>1216</v>
      </c>
      <c r="D930" s="9" t="inlineStr">
        <is>
          <t>Valid Palindrome III</t>
        </is>
      </c>
      <c r="E930" s="4" t="inlineStr">
        <is>
          <t>Hard</t>
        </is>
      </c>
      <c r="F930" s="4" t="inlineStr">
        <is>
          <t>DP: Strings (LCS, Edit, Matching)</t>
        </is>
      </c>
      <c r="G930" s="4" t="inlineStr">
        <is>
          <t>Output Limit Exceeded</t>
        </is>
      </c>
      <c r="H930" s="4" t="inlineStr">
        <is>
          <t>Python3</t>
        </is>
      </c>
      <c r="I930" s="4" t="inlineStr">
        <is>
          <t>N/A</t>
        </is>
      </c>
      <c r="J930" s="4" t="inlineStr">
        <is>
          <t>N/A</t>
        </is>
      </c>
      <c r="K930" s="4" t="n"/>
      <c r="L930" s="4" t="inlineStr">
        <is>
          <t>44/51</t>
        </is>
      </c>
      <c r="M930" s="9" t="inlineStr">
        <is>
          <t>Submission 1107836433</t>
        </is>
      </c>
      <c r="N930" s="4" t="inlineStr">
        <is>
          <t>No</t>
        </is>
      </c>
    </row>
    <row r="931">
      <c r="A931" s="11" t="n">
        <v>45258.33320601852</v>
      </c>
      <c r="B931" s="4" t="inlineStr">
        <is>
          <t>2023-11</t>
        </is>
      </c>
      <c r="C931" s="4" t="n">
        <v>1216</v>
      </c>
      <c r="D931" s="9" t="inlineStr">
        <is>
          <t>Valid Palindrome III</t>
        </is>
      </c>
      <c r="E931" s="4" t="inlineStr">
        <is>
          <t>Hard</t>
        </is>
      </c>
      <c r="F931" s="4" t="inlineStr">
        <is>
          <t>DP: Strings (LCS, Edit, Matching)</t>
        </is>
      </c>
      <c r="G931" s="4" t="inlineStr">
        <is>
          <t>Time Limit Exceeded</t>
        </is>
      </c>
      <c r="H931" s="4" t="inlineStr">
        <is>
          <t>Python3</t>
        </is>
      </c>
      <c r="I931" s="4" t="inlineStr">
        <is>
          <t>N/A</t>
        </is>
      </c>
      <c r="J931" s="4" t="inlineStr">
        <is>
          <t>N/A</t>
        </is>
      </c>
      <c r="K931" s="4" t="n"/>
      <c r="L931" s="4" t="inlineStr">
        <is>
          <t>44/51</t>
        </is>
      </c>
      <c r="M931" s="9" t="inlineStr">
        <is>
          <t>Submission 1107836532</t>
        </is>
      </c>
      <c r="N931" s="4" t="inlineStr">
        <is>
          <t>No</t>
        </is>
      </c>
    </row>
    <row r="932">
      <c r="A932" s="11" t="n">
        <v>45258.34438657408</v>
      </c>
      <c r="B932" s="4" t="inlineStr">
        <is>
          <t>2023-11</t>
        </is>
      </c>
      <c r="C932" s="4" t="n">
        <v>1216</v>
      </c>
      <c r="D932" s="9" t="inlineStr">
        <is>
          <t>Valid Palindrome III</t>
        </is>
      </c>
      <c r="E932" s="4" t="inlineStr">
        <is>
          <t>Hard</t>
        </is>
      </c>
      <c r="F932" s="4" t="inlineStr">
        <is>
          <t>DP: Strings (LCS, Edit, Matching)</t>
        </is>
      </c>
      <c r="G932" s="4" t="inlineStr">
        <is>
          <t>Accepted</t>
        </is>
      </c>
      <c r="H932" s="4" t="inlineStr">
        <is>
          <t>Python3</t>
        </is>
      </c>
      <c r="I932" s="4" t="inlineStr">
        <is>
          <t>402 ms</t>
        </is>
      </c>
      <c r="J932" s="4" t="inlineStr">
        <is>
          <t>90.4 MB</t>
        </is>
      </c>
      <c r="K932" s="4" t="n">
        <v>36.3</v>
      </c>
      <c r="L932" s="4" t="inlineStr">
        <is>
          <t>51/51</t>
        </is>
      </c>
      <c r="M932" s="9" t="inlineStr">
        <is>
          <t>Submission 1107843502</t>
        </is>
      </c>
      <c r="N932" s="4" t="inlineStr">
        <is>
          <t>No</t>
        </is>
      </c>
    </row>
    <row r="933">
      <c r="A933" s="11" t="n">
        <v>45258.93108796296</v>
      </c>
      <c r="B933" s="4" t="inlineStr">
        <is>
          <t>2023-11</t>
        </is>
      </c>
      <c r="C933" s="4" t="n">
        <v>269</v>
      </c>
      <c r="D933" s="9" t="inlineStr">
        <is>
          <t>Alien Dictionary</t>
        </is>
      </c>
      <c r="E933" s="4" t="inlineStr">
        <is>
          <t>Hard</t>
        </is>
      </c>
      <c r="F933" s="4" t="inlineStr">
        <is>
          <t>Graph: Topological Sort</t>
        </is>
      </c>
      <c r="G933" s="4" t="inlineStr">
        <is>
          <t>Wrong Answer</t>
        </is>
      </c>
      <c r="H933" s="4" t="inlineStr">
        <is>
          <t>Python3</t>
        </is>
      </c>
      <c r="I933" s="4" t="inlineStr">
        <is>
          <t>N/A</t>
        </is>
      </c>
      <c r="J933" s="4" t="inlineStr">
        <is>
          <t>N/A</t>
        </is>
      </c>
      <c r="K933" s="4" t="n"/>
      <c r="L933" s="4" t="inlineStr">
        <is>
          <t>57/127</t>
        </is>
      </c>
      <c r="M933" s="9" t="inlineStr">
        <is>
          <t>Submission 1108286839</t>
        </is>
      </c>
      <c r="N933" s="4" t="inlineStr">
        <is>
          <t>Yes</t>
        </is>
      </c>
    </row>
    <row r="934">
      <c r="A934" s="11" t="n">
        <v>45259.07737268518</v>
      </c>
      <c r="B934" s="4" t="inlineStr">
        <is>
          <t>2023-11</t>
        </is>
      </c>
      <c r="C934" s="4" t="n">
        <v>17</v>
      </c>
      <c r="D934" s="9" t="inlineStr">
        <is>
          <t>Letter Combinations of a Phone Number</t>
        </is>
      </c>
      <c r="E934" s="4" t="inlineStr">
        <is>
          <t>Medium</t>
        </is>
      </c>
      <c r="F934" s="4" t="inlineStr">
        <is>
          <t>Backtracking</t>
        </is>
      </c>
      <c r="G934" s="4" t="inlineStr">
        <is>
          <t>Accepted</t>
        </is>
      </c>
      <c r="H934" s="4" t="inlineStr">
        <is>
          <t>Python3</t>
        </is>
      </c>
      <c r="I934" s="4" t="inlineStr">
        <is>
          <t>42 ms</t>
        </is>
      </c>
      <c r="J934" s="4" t="inlineStr">
        <is>
          <t>16.4 MB</t>
        </is>
      </c>
      <c r="K934" s="4" t="n">
        <v>0.1</v>
      </c>
      <c r="L934" s="4" t="inlineStr">
        <is>
          <t>25/25</t>
        </is>
      </c>
      <c r="M934" s="9" t="inlineStr">
        <is>
          <t>Submission 1108418188</t>
        </is>
      </c>
      <c r="N934" s="4" t="inlineStr">
        <is>
          <t>Yes</t>
        </is>
      </c>
    </row>
    <row r="935">
      <c r="A935" s="11" t="n">
        <v>45259.38506944444</v>
      </c>
      <c r="B935" s="4" t="inlineStr">
        <is>
          <t>2023-11</t>
        </is>
      </c>
      <c r="C935" s="4" t="n">
        <v>76</v>
      </c>
      <c r="D935" s="9" t="inlineStr">
        <is>
          <t>Minimum Window Substring</t>
        </is>
      </c>
      <c r="E935" s="4" t="inlineStr">
        <is>
          <t>Hard</t>
        </is>
      </c>
      <c r="F935" s="4" t="inlineStr">
        <is>
          <t>Sliding Window</t>
        </is>
      </c>
      <c r="G935" s="4" t="inlineStr">
        <is>
          <t>Runtime Error</t>
        </is>
      </c>
      <c r="H935" s="4" t="inlineStr">
        <is>
          <t>Python3</t>
        </is>
      </c>
      <c r="I935" s="4" t="inlineStr">
        <is>
          <t>N/A</t>
        </is>
      </c>
      <c r="J935" s="4" t="inlineStr">
        <is>
          <t>N/A</t>
        </is>
      </c>
      <c r="K935" s="4" t="n"/>
      <c r="L935" s="4" t="inlineStr">
        <is>
          <t>0/267</t>
        </is>
      </c>
      <c r="M935" s="9" t="inlineStr">
        <is>
          <t>Submission 1108604004</t>
        </is>
      </c>
      <c r="N935" s="4" t="inlineStr">
        <is>
          <t>Yes</t>
        </is>
      </c>
    </row>
    <row r="936">
      <c r="A936" s="11" t="n">
        <v>45259.84576388889</v>
      </c>
      <c r="B936" s="4" t="inlineStr">
        <is>
          <t>2023-11</t>
        </is>
      </c>
      <c r="C936" s="4" t="n">
        <v>139</v>
      </c>
      <c r="D936" s="9" t="inlineStr">
        <is>
          <t>Word Break</t>
        </is>
      </c>
      <c r="E936" s="4" t="inlineStr">
        <is>
          <t>Medium</t>
        </is>
      </c>
      <c r="F936" s="4" t="inlineStr">
        <is>
          <t>DP: 1D / Linear</t>
        </is>
      </c>
      <c r="G936" s="4" t="inlineStr">
        <is>
          <t>Time Limit Exceeded</t>
        </is>
      </c>
      <c r="H936" s="4" t="inlineStr">
        <is>
          <t>Python3</t>
        </is>
      </c>
      <c r="I936" s="4" t="inlineStr">
        <is>
          <t>N/A</t>
        </is>
      </c>
      <c r="J936" s="4" t="inlineStr">
        <is>
          <t>N/A</t>
        </is>
      </c>
      <c r="K936" s="4" t="n"/>
      <c r="L936" s="4" t="inlineStr">
        <is>
          <t>35/46</t>
        </is>
      </c>
      <c r="M936" s="9" t="inlineStr">
        <is>
          <t>Submission 1108934824</t>
        </is>
      </c>
      <c r="N936" s="4" t="inlineStr">
        <is>
          <t>Yes</t>
        </is>
      </c>
    </row>
    <row r="937">
      <c r="A937" s="11" t="n">
        <v>45259.85046296296</v>
      </c>
      <c r="B937" s="4" t="inlineStr">
        <is>
          <t>2023-11</t>
        </is>
      </c>
      <c r="C937" s="4" t="n">
        <v>139</v>
      </c>
      <c r="D937" s="9" t="inlineStr">
        <is>
          <t>Word Break</t>
        </is>
      </c>
      <c r="E937" s="4" t="inlineStr">
        <is>
          <t>Medium</t>
        </is>
      </c>
      <c r="F937" s="4" t="inlineStr">
        <is>
          <t>DP: 1D / Linear</t>
        </is>
      </c>
      <c r="G937" s="4" t="inlineStr">
        <is>
          <t>Accepted</t>
        </is>
      </c>
      <c r="H937" s="4" t="inlineStr">
        <is>
          <t>Python3</t>
        </is>
      </c>
      <c r="I937" s="4" t="inlineStr">
        <is>
          <t>42 ms</t>
        </is>
      </c>
      <c r="J937" s="4" t="inlineStr">
        <is>
          <t>16.6 MB</t>
        </is>
      </c>
      <c r="K937" s="4" t="n">
        <v>5.2</v>
      </c>
      <c r="L937" s="4" t="inlineStr">
        <is>
          <t>46/46</t>
        </is>
      </c>
      <c r="M937" s="9" t="inlineStr">
        <is>
          <t>Submission 1108938735</t>
        </is>
      </c>
      <c r="N937" s="4" t="inlineStr">
        <is>
          <t>Yes</t>
        </is>
      </c>
    </row>
    <row r="938">
      <c r="A938" s="11" t="n">
        <v>45260.02269675926</v>
      </c>
      <c r="B938" s="4" t="inlineStr">
        <is>
          <t>2023-11</t>
        </is>
      </c>
      <c r="C938" s="4" t="n">
        <v>304</v>
      </c>
      <c r="D938" s="9" t="inlineStr">
        <is>
          <t>Range Sum Query 2D - Immutable</t>
        </is>
      </c>
      <c r="E938" s="4" t="inlineStr">
        <is>
          <t>Medium</t>
        </is>
      </c>
      <c r="F938" s="4" t="inlineStr">
        <is>
          <t>Prefix Sum &amp; Difference Array</t>
        </is>
      </c>
      <c r="G938" s="4" t="inlineStr">
        <is>
          <t>Wrong Answer</t>
        </is>
      </c>
      <c r="H938" s="4" t="inlineStr">
        <is>
          <t>Python3</t>
        </is>
      </c>
      <c r="I938" s="4" t="inlineStr">
        <is>
          <t>N/A</t>
        </is>
      </c>
      <c r="J938" s="4" t="inlineStr">
        <is>
          <t>N/A</t>
        </is>
      </c>
      <c r="K938" s="4" t="n"/>
      <c r="L938" s="4" t="inlineStr">
        <is>
          <t>3/22</t>
        </is>
      </c>
      <c r="M938" s="9" t="inlineStr">
        <is>
          <t>Submission 1109090813</t>
        </is>
      </c>
      <c r="N938" s="4" t="inlineStr">
        <is>
          <t>No</t>
        </is>
      </c>
    </row>
    <row r="939">
      <c r="A939" s="11" t="n">
        <v>45260.23692129629</v>
      </c>
      <c r="B939" s="4" t="inlineStr">
        <is>
          <t>2023-11</t>
        </is>
      </c>
      <c r="C939" s="4" t="n">
        <v>295</v>
      </c>
      <c r="D939" s="9" t="inlineStr">
        <is>
          <t>Find Median from Data Stream</t>
        </is>
      </c>
      <c r="E939" s="4" t="inlineStr">
        <is>
          <t>Hard</t>
        </is>
      </c>
      <c r="F939" s="4" t="inlineStr">
        <is>
          <t>Heap / Top-K</t>
        </is>
      </c>
      <c r="G939" s="4" t="inlineStr">
        <is>
          <t>Accepted</t>
        </is>
      </c>
      <c r="H939" s="4" t="inlineStr">
        <is>
          <t>Python3</t>
        </is>
      </c>
      <c r="I939" s="4" t="inlineStr">
        <is>
          <t>2290 ms</t>
        </is>
      </c>
      <c r="J939" s="4" t="inlineStr">
        <is>
          <t>38.3 MB</t>
        </is>
      </c>
      <c r="K939" s="4" t="n">
        <v>5</v>
      </c>
      <c r="L939" s="4" t="inlineStr">
        <is>
          <t>21/21</t>
        </is>
      </c>
      <c r="M939" s="9" t="inlineStr">
        <is>
          <t>Submission 1109215964</t>
        </is>
      </c>
      <c r="N939" s="4" t="inlineStr">
        <is>
          <t>No</t>
        </is>
      </c>
    </row>
    <row r="940">
      <c r="A940" s="11" t="n">
        <v>45260.27089120371</v>
      </c>
      <c r="B940" s="4" t="inlineStr">
        <is>
          <t>2023-11</t>
        </is>
      </c>
      <c r="C940" s="4" t="n">
        <v>295</v>
      </c>
      <c r="D940" s="9" t="inlineStr">
        <is>
          <t>Find Median from Data Stream</t>
        </is>
      </c>
      <c r="E940" s="4" t="inlineStr">
        <is>
          <t>Hard</t>
        </is>
      </c>
      <c r="F940" s="4" t="inlineStr">
        <is>
          <t>Heap / Top-K</t>
        </is>
      </c>
      <c r="G940" s="4" t="inlineStr">
        <is>
          <t>Accepted</t>
        </is>
      </c>
      <c r="H940" s="4" t="inlineStr">
        <is>
          <t>Python3</t>
        </is>
      </c>
      <c r="I940" s="4" t="inlineStr">
        <is>
          <t>415 ms</t>
        </is>
      </c>
      <c r="J940" s="4" t="inlineStr">
        <is>
          <t>38.3 MB</t>
        </is>
      </c>
      <c r="K940" s="4" t="n">
        <v>11.8</v>
      </c>
      <c r="L940" s="4" t="inlineStr">
        <is>
          <t>21/21</t>
        </is>
      </c>
      <c r="M940" s="9" t="inlineStr">
        <is>
          <t>Submission 1109232253</t>
        </is>
      </c>
      <c r="N940" s="4" t="inlineStr">
        <is>
          <t>No</t>
        </is>
      </c>
    </row>
    <row r="941">
      <c r="A941" s="11" t="n">
        <v>45260.31569444444</v>
      </c>
      <c r="B941" s="4" t="inlineStr">
        <is>
          <t>2023-11</t>
        </is>
      </c>
      <c r="C941" s="4" t="n">
        <v>480</v>
      </c>
      <c r="D941" s="9" t="inlineStr">
        <is>
          <t>Sliding Window Median</t>
        </is>
      </c>
      <c r="E941" s="4" t="inlineStr">
        <is>
          <t>Hard</t>
        </is>
      </c>
      <c r="F941" s="4" t="inlineStr">
        <is>
          <t>Heap / Top-K</t>
        </is>
      </c>
      <c r="G941" s="4" t="inlineStr">
        <is>
          <t>Accepted</t>
        </is>
      </c>
      <c r="H941" s="4" t="inlineStr">
        <is>
          <t>Python3</t>
        </is>
      </c>
      <c r="I941" s="4" t="inlineStr">
        <is>
          <t>2529 ms</t>
        </is>
      </c>
      <c r="J941" s="4" t="inlineStr">
        <is>
          <t>26.3 MB</t>
        </is>
      </c>
      <c r="K941" s="4" t="n">
        <v>5</v>
      </c>
      <c r="L941" s="4" t="inlineStr">
        <is>
          <t>43/43</t>
        </is>
      </c>
      <c r="M941" s="9" t="inlineStr">
        <is>
          <t>Submission 1109253947</t>
        </is>
      </c>
      <c r="N941" s="4" t="inlineStr">
        <is>
          <t>No</t>
        </is>
      </c>
    </row>
    <row r="942">
      <c r="A942" s="11" t="n">
        <v>45260.33998842593</v>
      </c>
      <c r="B942" s="4" t="inlineStr">
        <is>
          <t>2023-11</t>
        </is>
      </c>
      <c r="C942" s="4" t="n">
        <v>695</v>
      </c>
      <c r="D942" s="9" t="inlineStr">
        <is>
          <t>Max Area of Island</t>
        </is>
      </c>
      <c r="E942" s="4" t="inlineStr">
        <is>
          <t>Medium</t>
        </is>
      </c>
      <c r="F942" s="4" t="inlineStr">
        <is>
          <t>Graph: Grid BFS/DFS</t>
        </is>
      </c>
      <c r="G942" s="4" t="inlineStr">
        <is>
          <t>Accepted</t>
        </is>
      </c>
      <c r="H942" s="4" t="inlineStr">
        <is>
          <t>Python3</t>
        </is>
      </c>
      <c r="I942" s="4" t="inlineStr">
        <is>
          <t>134 ms</t>
        </is>
      </c>
      <c r="J942" s="4" t="inlineStr">
        <is>
          <t>20.2 MB</t>
        </is>
      </c>
      <c r="K942" s="4" t="n">
        <v>5.4</v>
      </c>
      <c r="L942" s="4" t="inlineStr">
        <is>
          <t>728/728</t>
        </is>
      </c>
      <c r="M942" s="9" t="inlineStr">
        <is>
          <t>Submission 1109267250</t>
        </is>
      </c>
      <c r="N942" s="4" t="inlineStr">
        <is>
          <t>Yes</t>
        </is>
      </c>
    </row>
    <row r="943">
      <c r="A943" s="11" t="n">
        <v>45260.44643518519</v>
      </c>
      <c r="B943" s="4" t="inlineStr">
        <is>
          <t>2023-11</t>
        </is>
      </c>
      <c r="C943" s="4" t="n">
        <v>1186</v>
      </c>
      <c r="D943" s="9" t="inlineStr">
        <is>
          <t>Maximum Subarray Sum with One Deletion</t>
        </is>
      </c>
      <c r="E943" s="4" t="inlineStr">
        <is>
          <t>Medium</t>
        </is>
      </c>
      <c r="F943" s="4" t="inlineStr">
        <is>
          <t>DP: 1D / Linear</t>
        </is>
      </c>
      <c r="G943" s="4" t="inlineStr">
        <is>
          <t>Output Limit Exceeded</t>
        </is>
      </c>
      <c r="H943" s="4" t="inlineStr">
        <is>
          <t>Python3</t>
        </is>
      </c>
      <c r="I943" s="4" t="inlineStr">
        <is>
          <t>N/A</t>
        </is>
      </c>
      <c r="J943" s="4" t="inlineStr">
        <is>
          <t>N/A</t>
        </is>
      </c>
      <c r="K943" s="4" t="n"/>
      <c r="L943" s="4" t="inlineStr">
        <is>
          <t>34/36</t>
        </is>
      </c>
      <c r="M943" s="9" t="inlineStr">
        <is>
          <t>Submission 1109334699</t>
        </is>
      </c>
      <c r="N943" s="4" t="inlineStr">
        <is>
          <t>No</t>
        </is>
      </c>
    </row>
    <row r="944">
      <c r="A944" s="11" t="n">
        <v>45260.44672453704</v>
      </c>
      <c r="B944" s="4" t="inlineStr">
        <is>
          <t>2023-11</t>
        </is>
      </c>
      <c r="C944" s="4" t="n">
        <v>1186</v>
      </c>
      <c r="D944" s="9" t="inlineStr">
        <is>
          <t>Maximum Subarray Sum with One Deletion</t>
        </is>
      </c>
      <c r="E944" s="4" t="inlineStr">
        <is>
          <t>Medium</t>
        </is>
      </c>
      <c r="F944" s="4" t="inlineStr">
        <is>
          <t>DP: 1D / Linear</t>
        </is>
      </c>
      <c r="G944" s="4" t="inlineStr">
        <is>
          <t>Accepted</t>
        </is>
      </c>
      <c r="H944" s="4" t="inlineStr">
        <is>
          <t>Python3</t>
        </is>
      </c>
      <c r="I944" s="4" t="inlineStr">
        <is>
          <t>229 ms</t>
        </is>
      </c>
      <c r="J944" s="4" t="inlineStr">
        <is>
          <t>28.2 MB</t>
        </is>
      </c>
      <c r="K944" s="4" t="n">
        <v>5</v>
      </c>
      <c r="L944" s="4" t="inlineStr">
        <is>
          <t>36/36</t>
        </is>
      </c>
      <c r="M944" s="9" t="inlineStr">
        <is>
          <t>Submission 1109334926</t>
        </is>
      </c>
      <c r="N944" s="4" t="inlineStr">
        <is>
          <t>No</t>
        </is>
      </c>
    </row>
    <row r="945">
      <c r="A945" s="11" t="n">
        <v>45261.13265046296</v>
      </c>
      <c r="B945" s="4" t="inlineStr">
        <is>
          <t>2023-12</t>
        </is>
      </c>
      <c r="C945" s="4" t="n">
        <v>339</v>
      </c>
      <c r="D945" s="9" t="inlineStr">
        <is>
          <t>Nested List Weight Sum</t>
        </is>
      </c>
      <c r="E945" s="4" t="inlineStr">
        <is>
          <t>Medium</t>
        </is>
      </c>
      <c r="F945" s="4" t="inlineStr">
        <is>
          <t>Binary Tree (DFS &amp; Recursion)</t>
        </is>
      </c>
      <c r="G945" s="4" t="inlineStr">
        <is>
          <t>Accepted</t>
        </is>
      </c>
      <c r="H945" s="4" t="inlineStr">
        <is>
          <t>Python3</t>
        </is>
      </c>
      <c r="I945" s="4" t="inlineStr">
        <is>
          <t>39 ms</t>
        </is>
      </c>
      <c r="J945" s="4" t="inlineStr">
        <is>
          <t>17 MB</t>
        </is>
      </c>
      <c r="K945" s="4" t="n">
        <v>0</v>
      </c>
      <c r="L945" s="4" t="inlineStr">
        <is>
          <t>25/25</t>
        </is>
      </c>
      <c r="M945" s="9" t="inlineStr">
        <is>
          <t>Submission 1109816286</t>
        </is>
      </c>
      <c r="N945" s="4" t="inlineStr">
        <is>
          <t>No</t>
        </is>
      </c>
    </row>
    <row r="946">
      <c r="A946" s="11" t="n">
        <v>45261.14637731481</v>
      </c>
      <c r="B946" s="4" t="inlineStr">
        <is>
          <t>2023-12</t>
        </is>
      </c>
      <c r="C946" s="4" t="n">
        <v>1570</v>
      </c>
      <c r="D946" s="9" t="inlineStr">
        <is>
          <t>Dot Product of Two Sparse Vectors</t>
        </is>
      </c>
      <c r="E946" s="4" t="inlineStr">
        <is>
          <t>Medium</t>
        </is>
      </c>
      <c r="F946" s="4" t="inlineStr">
        <is>
          <t>Design</t>
        </is>
      </c>
      <c r="G946" s="4" t="inlineStr">
        <is>
          <t>Runtime Error</t>
        </is>
      </c>
      <c r="H946" s="4" t="inlineStr">
        <is>
          <t>Python3</t>
        </is>
      </c>
      <c r="I946" s="4" t="inlineStr">
        <is>
          <t>N/A</t>
        </is>
      </c>
      <c r="J946" s="4" t="inlineStr">
        <is>
          <t>N/A</t>
        </is>
      </c>
      <c r="K946" s="4" t="n"/>
      <c r="L946" s="4" t="inlineStr">
        <is>
          <t>0/99</t>
        </is>
      </c>
      <c r="M946" s="9" t="inlineStr">
        <is>
          <t>Submission 1109823795</t>
        </is>
      </c>
      <c r="N946" s="4" t="inlineStr">
        <is>
          <t>No</t>
        </is>
      </c>
    </row>
    <row r="947">
      <c r="A947" s="11" t="n">
        <v>45261.14918981482</v>
      </c>
      <c r="B947" s="4" t="inlineStr">
        <is>
          <t>2023-12</t>
        </is>
      </c>
      <c r="C947" s="4" t="n">
        <v>1570</v>
      </c>
      <c r="D947" s="9" t="inlineStr">
        <is>
          <t>Dot Product of Two Sparse Vectors</t>
        </is>
      </c>
      <c r="E947" s="4" t="inlineStr">
        <is>
          <t>Medium</t>
        </is>
      </c>
      <c r="F947" s="4" t="inlineStr">
        <is>
          <t>Design</t>
        </is>
      </c>
      <c r="G947" s="4" t="inlineStr">
        <is>
          <t>Accepted</t>
        </is>
      </c>
      <c r="H947" s="4" t="inlineStr">
        <is>
          <t>Python3</t>
        </is>
      </c>
      <c r="I947" s="4" t="inlineStr">
        <is>
          <t>1484 ms</t>
        </is>
      </c>
      <c r="J947" s="4" t="inlineStr">
        <is>
          <t>21.1 MB</t>
        </is>
      </c>
      <c r="K947" s="4" t="n">
        <v>5.1</v>
      </c>
      <c r="L947" s="4" t="inlineStr">
        <is>
          <t>99/99</t>
        </is>
      </c>
      <c r="M947" s="9" t="inlineStr">
        <is>
          <t>Submission 1109825198</t>
        </is>
      </c>
      <c r="N947" s="4" t="inlineStr">
        <is>
          <t>No</t>
        </is>
      </c>
    </row>
    <row r="948">
      <c r="A948" s="11" t="n">
        <v>45261.16629629629</v>
      </c>
      <c r="B948" s="4" t="inlineStr">
        <is>
          <t>2023-12</t>
        </is>
      </c>
      <c r="C948" s="4" t="n">
        <v>680</v>
      </c>
      <c r="D948" s="9" t="inlineStr">
        <is>
          <t>Valid Palindrome II</t>
        </is>
      </c>
      <c r="E948" s="4" t="inlineStr">
        <is>
          <t>Easy</t>
        </is>
      </c>
      <c r="F948" s="4" t="inlineStr">
        <is>
          <t>Two Pointers</t>
        </is>
      </c>
      <c r="G948" s="4" t="inlineStr">
        <is>
          <t>Runtime Error</t>
        </is>
      </c>
      <c r="H948" s="4" t="inlineStr">
        <is>
          <t>Python3</t>
        </is>
      </c>
      <c r="I948" s="4" t="inlineStr">
        <is>
          <t>N/A</t>
        </is>
      </c>
      <c r="J948" s="4" t="inlineStr">
        <is>
          <t>N/A</t>
        </is>
      </c>
      <c r="K948" s="4" t="n"/>
      <c r="L948" s="4" t="inlineStr">
        <is>
          <t>0/469</t>
        </is>
      </c>
      <c r="M948" s="9" t="inlineStr">
        <is>
          <t>Submission 1109833874</t>
        </is>
      </c>
      <c r="N948" s="4" t="inlineStr">
        <is>
          <t>Yes</t>
        </is>
      </c>
    </row>
    <row r="949">
      <c r="A949" s="11" t="n">
        <v>45261.30241898148</v>
      </c>
      <c r="B949" s="4" t="inlineStr">
        <is>
          <t>2023-12</t>
        </is>
      </c>
      <c r="C949" s="4" t="n">
        <v>215</v>
      </c>
      <c r="D949" s="9" t="inlineStr">
        <is>
          <t>Kth Largest Element in an Array</t>
        </is>
      </c>
      <c r="E949" s="4" t="inlineStr">
        <is>
          <t>Medium</t>
        </is>
      </c>
      <c r="F949" s="4" t="inlineStr">
        <is>
          <t>Heap / Top-K</t>
        </is>
      </c>
      <c r="G949" s="4" t="inlineStr">
        <is>
          <t>Time Limit Exceeded</t>
        </is>
      </c>
      <c r="H949" s="4" t="inlineStr">
        <is>
          <t>Python3</t>
        </is>
      </c>
      <c r="I949" s="4" t="inlineStr">
        <is>
          <t>N/A</t>
        </is>
      </c>
      <c r="J949" s="4" t="inlineStr">
        <is>
          <t>N/A</t>
        </is>
      </c>
      <c r="K949" s="4" t="n"/>
      <c r="L949" s="4" t="inlineStr">
        <is>
          <t>40/41</t>
        </is>
      </c>
      <c r="M949" s="9" t="inlineStr">
        <is>
          <t>Submission 1109901339</t>
        </is>
      </c>
      <c r="N949" s="4" t="inlineStr">
        <is>
          <t>No</t>
        </is>
      </c>
    </row>
    <row r="950">
      <c r="A950" s="11" t="n">
        <v>45261.40141203703</v>
      </c>
      <c r="B950" s="4" t="inlineStr">
        <is>
          <t>2023-12</t>
        </is>
      </c>
      <c r="C950" s="4" t="n">
        <v>249</v>
      </c>
      <c r="D950" s="9" t="inlineStr">
        <is>
          <t>Group Shifted Strings</t>
        </is>
      </c>
      <c r="E950" s="4" t="inlineStr">
        <is>
          <t>Medium</t>
        </is>
      </c>
      <c r="F950" s="4" t="inlineStr">
        <is>
          <t>Arrays, Hashing &amp; Sorting</t>
        </is>
      </c>
      <c r="G950" s="4" t="inlineStr">
        <is>
          <t>Accepted</t>
        </is>
      </c>
      <c r="H950" s="4" t="inlineStr">
        <is>
          <t>Python3</t>
        </is>
      </c>
      <c r="I950" s="4" t="inlineStr">
        <is>
          <t>48 ms</t>
        </is>
      </c>
      <c r="J950" s="4" t="inlineStr">
        <is>
          <t>16.4 MB</t>
        </is>
      </c>
      <c r="K950" s="4" t="n">
        <v>4.6</v>
      </c>
      <c r="L950" s="4" t="inlineStr">
        <is>
          <t>25/25</t>
        </is>
      </c>
      <c r="M950" s="9" t="inlineStr">
        <is>
          <t>Submission 1109959184</t>
        </is>
      </c>
      <c r="N950" s="4" t="inlineStr">
        <is>
          <t>No</t>
        </is>
      </c>
    </row>
    <row r="951">
      <c r="A951" s="11" t="n">
        <v>45261.4572800926</v>
      </c>
      <c r="B951" s="4" t="inlineStr">
        <is>
          <t>2023-12</t>
        </is>
      </c>
      <c r="C951" s="4" t="n">
        <v>1091</v>
      </c>
      <c r="D951" s="9" t="inlineStr">
        <is>
          <t>Shortest Path in Binary Matrix</t>
        </is>
      </c>
      <c r="E951" s="4" t="inlineStr">
        <is>
          <t>Medium</t>
        </is>
      </c>
      <c r="F951" s="4" t="inlineStr">
        <is>
          <t>Graph: Shortest Path</t>
        </is>
      </c>
      <c r="G951" s="4" t="inlineStr">
        <is>
          <t>Accepted</t>
        </is>
      </c>
      <c r="H951" s="4" t="inlineStr">
        <is>
          <t>Python3</t>
        </is>
      </c>
      <c r="I951" s="4" t="inlineStr">
        <is>
          <t>554 ms</t>
        </is>
      </c>
      <c r="J951" s="4" t="inlineStr">
        <is>
          <t>16.6 MB</t>
        </is>
      </c>
      <c r="K951" s="4" t="n">
        <v>5.1</v>
      </c>
      <c r="L951" s="4" t="inlineStr">
        <is>
          <t>90/90</t>
        </is>
      </c>
      <c r="M951" s="9" t="inlineStr">
        <is>
          <t>Submission 1110000050</t>
        </is>
      </c>
      <c r="N951" s="4" t="inlineStr">
        <is>
          <t>Yes</t>
        </is>
      </c>
    </row>
    <row r="952">
      <c r="A952" s="11" t="n">
        <v>45262.0979050926</v>
      </c>
      <c r="B952" s="4" t="inlineStr">
        <is>
          <t>2023-12</t>
        </is>
      </c>
      <c r="C952" s="4" t="n">
        <v>129</v>
      </c>
      <c r="D952" s="9" t="inlineStr">
        <is>
          <t>Sum Root to Leaf Numbers</t>
        </is>
      </c>
      <c r="E952" s="4" t="inlineStr">
        <is>
          <t>Medium</t>
        </is>
      </c>
      <c r="F952" s="4" t="inlineStr">
        <is>
          <t>Binary Tree (DFS &amp; Recursion)</t>
        </is>
      </c>
      <c r="G952" s="4" t="inlineStr">
        <is>
          <t>Accepted</t>
        </is>
      </c>
      <c r="H952" s="4" t="inlineStr">
        <is>
          <t>Python3</t>
        </is>
      </c>
      <c r="I952" s="4" t="inlineStr">
        <is>
          <t>38 ms</t>
        </is>
      </c>
      <c r="J952" s="4" t="inlineStr">
        <is>
          <t>16.5 MB</t>
        </is>
      </c>
      <c r="K952" s="4" t="n">
        <v>0.2</v>
      </c>
      <c r="L952" s="4" t="inlineStr">
        <is>
          <t>108/108</t>
        </is>
      </c>
      <c r="M952" s="9" t="inlineStr">
        <is>
          <t>Submission 1110454760</t>
        </is>
      </c>
      <c r="N952" s="4" t="inlineStr">
        <is>
          <t>Yes</t>
        </is>
      </c>
    </row>
    <row r="953">
      <c r="A953" s="11" t="n">
        <v>45262.11035879629</v>
      </c>
      <c r="B953" s="4" t="inlineStr">
        <is>
          <t>2023-12</t>
        </is>
      </c>
      <c r="C953" s="4" t="n">
        <v>973</v>
      </c>
      <c r="D953" s="9" t="inlineStr">
        <is>
          <t>K Closest Points to Origin</t>
        </is>
      </c>
      <c r="E953" s="4" t="inlineStr">
        <is>
          <t>Medium</t>
        </is>
      </c>
      <c r="F953" s="4" t="inlineStr">
        <is>
          <t>Heap / Top-K</t>
        </is>
      </c>
      <c r="G953" s="4" t="inlineStr">
        <is>
          <t>Wrong Answer</t>
        </is>
      </c>
      <c r="H953" s="4" t="inlineStr">
        <is>
          <t>Python3</t>
        </is>
      </c>
      <c r="I953" s="4" t="inlineStr">
        <is>
          <t>N/A</t>
        </is>
      </c>
      <c r="J953" s="4" t="inlineStr">
        <is>
          <t>N/A</t>
        </is>
      </c>
      <c r="K953" s="4" t="n"/>
      <c r="L953" s="4" t="inlineStr">
        <is>
          <t>16/87</t>
        </is>
      </c>
      <c r="M953" s="9" t="inlineStr">
        <is>
          <t>Submission 1110461639</t>
        </is>
      </c>
      <c r="N953" s="4" t="inlineStr">
        <is>
          <t>Yes</t>
        </is>
      </c>
    </row>
    <row r="954">
      <c r="A954" s="11" t="n">
        <v>45262.11127314815</v>
      </c>
      <c r="B954" s="4" t="inlineStr">
        <is>
          <t>2023-12</t>
        </is>
      </c>
      <c r="C954" s="4" t="n">
        <v>973</v>
      </c>
      <c r="D954" s="9" t="inlineStr">
        <is>
          <t>K Closest Points to Origin</t>
        </is>
      </c>
      <c r="E954" s="4" t="inlineStr">
        <is>
          <t>Medium</t>
        </is>
      </c>
      <c r="F954" s="4" t="inlineStr">
        <is>
          <t>Heap / Top-K</t>
        </is>
      </c>
      <c r="G954" s="4" t="inlineStr">
        <is>
          <t>Wrong Answer</t>
        </is>
      </c>
      <c r="H954" s="4" t="inlineStr">
        <is>
          <t>Python3</t>
        </is>
      </c>
      <c r="I954" s="4" t="inlineStr">
        <is>
          <t>N/A</t>
        </is>
      </c>
      <c r="J954" s="4" t="inlineStr">
        <is>
          <t>N/A</t>
        </is>
      </c>
      <c r="K954" s="4" t="n"/>
      <c r="L954" s="4" t="inlineStr">
        <is>
          <t>20/87</t>
        </is>
      </c>
      <c r="M954" s="9" t="inlineStr">
        <is>
          <t>Submission 1110462128</t>
        </is>
      </c>
      <c r="N954" s="4" t="inlineStr">
        <is>
          <t>Yes</t>
        </is>
      </c>
    </row>
    <row r="955">
      <c r="A955" s="11" t="n">
        <v>45262.11372685185</v>
      </c>
      <c r="B955" s="4" t="inlineStr">
        <is>
          <t>2023-12</t>
        </is>
      </c>
      <c r="C955" s="4" t="n">
        <v>973</v>
      </c>
      <c r="D955" s="9" t="inlineStr">
        <is>
          <t>K Closest Points to Origin</t>
        </is>
      </c>
      <c r="E955" s="4" t="inlineStr">
        <is>
          <t>Medium</t>
        </is>
      </c>
      <c r="F955" s="4" t="inlineStr">
        <is>
          <t>Heap / Top-K</t>
        </is>
      </c>
      <c r="G955" s="4" t="inlineStr">
        <is>
          <t>Wrong Answer</t>
        </is>
      </c>
      <c r="H955" s="4" t="inlineStr">
        <is>
          <t>Python3</t>
        </is>
      </c>
      <c r="I955" s="4" t="inlineStr">
        <is>
          <t>N/A</t>
        </is>
      </c>
      <c r="J955" s="4" t="inlineStr">
        <is>
          <t>N/A</t>
        </is>
      </c>
      <c r="K955" s="4" t="n"/>
      <c r="L955" s="4" t="inlineStr">
        <is>
          <t>24/87</t>
        </is>
      </c>
      <c r="M955" s="9" t="inlineStr">
        <is>
          <t>Submission 1110463354</t>
        </is>
      </c>
      <c r="N955" s="4" t="inlineStr">
        <is>
          <t>Yes</t>
        </is>
      </c>
    </row>
    <row r="956">
      <c r="A956" s="11" t="n">
        <v>45262.11417824074</v>
      </c>
      <c r="B956" s="4" t="inlineStr">
        <is>
          <t>2023-12</t>
        </is>
      </c>
      <c r="C956" s="4" t="n">
        <v>973</v>
      </c>
      <c r="D956" s="9" t="inlineStr">
        <is>
          <t>K Closest Points to Origin</t>
        </is>
      </c>
      <c r="E956" s="4" t="inlineStr">
        <is>
          <t>Medium</t>
        </is>
      </c>
      <c r="F956" s="4" t="inlineStr">
        <is>
          <t>Heap / Top-K</t>
        </is>
      </c>
      <c r="G956" s="4" t="inlineStr">
        <is>
          <t>Time Limit Exceeded</t>
        </is>
      </c>
      <c r="H956" s="4" t="inlineStr">
        <is>
          <t>Python3</t>
        </is>
      </c>
      <c r="I956" s="4" t="inlineStr">
        <is>
          <t>N/A</t>
        </is>
      </c>
      <c r="J956" s="4" t="inlineStr">
        <is>
          <t>N/A</t>
        </is>
      </c>
      <c r="K956" s="4" t="n"/>
      <c r="L956" s="4" t="inlineStr">
        <is>
          <t>85/87</t>
        </is>
      </c>
      <c r="M956" s="9" t="inlineStr">
        <is>
          <t>Submission 1110463589</t>
        </is>
      </c>
      <c r="N956" s="4" t="inlineStr">
        <is>
          <t>Yes</t>
        </is>
      </c>
    </row>
    <row r="957">
      <c r="A957" s="11" t="n">
        <v>45262.12407407408</v>
      </c>
      <c r="B957" s="4" t="inlineStr">
        <is>
          <t>2023-12</t>
        </is>
      </c>
      <c r="C957" s="4" t="n">
        <v>973</v>
      </c>
      <c r="D957" s="9" t="inlineStr">
        <is>
          <t>K Closest Points to Origin</t>
        </is>
      </c>
      <c r="E957" s="4" t="inlineStr">
        <is>
          <t>Medium</t>
        </is>
      </c>
      <c r="F957" s="4" t="inlineStr">
        <is>
          <t>Heap / Top-K</t>
        </is>
      </c>
      <c r="G957" s="4" t="inlineStr">
        <is>
          <t>Accepted</t>
        </is>
      </c>
      <c r="H957" s="4" t="inlineStr">
        <is>
          <t>Python3</t>
        </is>
      </c>
      <c r="I957" s="4" t="inlineStr">
        <is>
          <t>713 ms</t>
        </is>
      </c>
      <c r="J957" s="4" t="inlineStr">
        <is>
          <t>22.5 MB</t>
        </is>
      </c>
      <c r="K957" s="4" t="n">
        <v>5</v>
      </c>
      <c r="L957" s="4" t="inlineStr">
        <is>
          <t>87/87</t>
        </is>
      </c>
      <c r="M957" s="9" t="inlineStr">
        <is>
          <t>Submission 1110469085</t>
        </is>
      </c>
      <c r="N957" s="4" t="inlineStr">
        <is>
          <t>Yes</t>
        </is>
      </c>
    </row>
    <row r="958">
      <c r="A958" s="11" t="n">
        <v>45262.24696759259</v>
      </c>
      <c r="B958" s="4" t="inlineStr">
        <is>
          <t>2023-12</t>
        </is>
      </c>
      <c r="C958" s="4" t="n">
        <v>708</v>
      </c>
      <c r="D958" s="9" t="inlineStr">
        <is>
          <t>Insert into a Sorted Circular Linked List</t>
        </is>
      </c>
      <c r="E958" s="4" t="inlineStr">
        <is>
          <t>Medium</t>
        </is>
      </c>
      <c r="F958" s="4" t="inlineStr">
        <is>
          <t>Linked List</t>
        </is>
      </c>
      <c r="G958" s="4" t="inlineStr">
        <is>
          <t>Wrong Answer</t>
        </is>
      </c>
      <c r="H958" s="4" t="inlineStr">
        <is>
          <t>Python3</t>
        </is>
      </c>
      <c r="I958" s="4" t="inlineStr">
        <is>
          <t>N/A</t>
        </is>
      </c>
      <c r="J958" s="4" t="inlineStr">
        <is>
          <t>N/A</t>
        </is>
      </c>
      <c r="K958" s="4" t="n"/>
      <c r="L958" s="4" t="inlineStr">
        <is>
          <t>107/108</t>
        </is>
      </c>
      <c r="M958" s="9" t="inlineStr">
        <is>
          <t>Submission 1110526139</t>
        </is>
      </c>
      <c r="N958" s="4" t="inlineStr">
        <is>
          <t>No</t>
        </is>
      </c>
    </row>
    <row r="959">
      <c r="A959" s="11" t="n">
        <v>45262.24876157408</v>
      </c>
      <c r="B959" s="4" t="inlineStr">
        <is>
          <t>2023-12</t>
        </is>
      </c>
      <c r="C959" s="4" t="n">
        <v>708</v>
      </c>
      <c r="D959" s="9" t="inlineStr">
        <is>
          <t>Insert into a Sorted Circular Linked List</t>
        </is>
      </c>
      <c r="E959" s="4" t="inlineStr">
        <is>
          <t>Medium</t>
        </is>
      </c>
      <c r="F959" s="4" t="inlineStr">
        <is>
          <t>Linked List</t>
        </is>
      </c>
      <c r="G959" s="4" t="inlineStr">
        <is>
          <t>Wrong Answer</t>
        </is>
      </c>
      <c r="H959" s="4" t="inlineStr">
        <is>
          <t>Python3</t>
        </is>
      </c>
      <c r="I959" s="4" t="inlineStr">
        <is>
          <t>N/A</t>
        </is>
      </c>
      <c r="J959" s="4" t="inlineStr">
        <is>
          <t>N/A</t>
        </is>
      </c>
      <c r="K959" s="4" t="n"/>
      <c r="L959" s="4" t="inlineStr">
        <is>
          <t>105/108</t>
        </is>
      </c>
      <c r="M959" s="9" t="inlineStr">
        <is>
          <t>Submission 1110526949</t>
        </is>
      </c>
      <c r="N959" s="4" t="inlineStr">
        <is>
          <t>No</t>
        </is>
      </c>
    </row>
    <row r="960">
      <c r="A960" s="11" t="n">
        <v>45262.24927083333</v>
      </c>
      <c r="B960" s="4" t="inlineStr">
        <is>
          <t>2023-12</t>
        </is>
      </c>
      <c r="C960" s="4" t="n">
        <v>708</v>
      </c>
      <c r="D960" s="9" t="inlineStr">
        <is>
          <t>Insert into a Sorted Circular Linked List</t>
        </is>
      </c>
      <c r="E960" s="4" t="inlineStr">
        <is>
          <t>Medium</t>
        </is>
      </c>
      <c r="F960" s="4" t="inlineStr">
        <is>
          <t>Linked List</t>
        </is>
      </c>
      <c r="G960" s="4" t="inlineStr">
        <is>
          <t>Wrong Answer</t>
        </is>
      </c>
      <c r="H960" s="4" t="inlineStr">
        <is>
          <t>Python3</t>
        </is>
      </c>
      <c r="I960" s="4" t="inlineStr">
        <is>
          <t>N/A</t>
        </is>
      </c>
      <c r="J960" s="4" t="inlineStr">
        <is>
          <t>N/A</t>
        </is>
      </c>
      <c r="K960" s="4" t="n"/>
      <c r="L960" s="4" t="inlineStr"/>
      <c r="M960" s="9" t="inlineStr">
        <is>
          <t>Submission 1110527185</t>
        </is>
      </c>
      <c r="N960" s="4" t="inlineStr">
        <is>
          <t>No</t>
        </is>
      </c>
    </row>
    <row r="961">
      <c r="A961" s="11" t="n">
        <v>45263.13895833334</v>
      </c>
      <c r="B961" s="4" t="inlineStr">
        <is>
          <t>2023-12</t>
        </is>
      </c>
      <c r="C961" s="4" t="n">
        <v>283</v>
      </c>
      <c r="D961" s="9" t="inlineStr">
        <is>
          <t>Move Zeroes</t>
        </is>
      </c>
      <c r="E961" s="4" t="inlineStr">
        <is>
          <t>Easy</t>
        </is>
      </c>
      <c r="F961" s="4" t="inlineStr">
        <is>
          <t>Two Pointers</t>
        </is>
      </c>
      <c r="G961" s="4" t="inlineStr">
        <is>
          <t>Accepted</t>
        </is>
      </c>
      <c r="H961" s="4" t="inlineStr">
        <is>
          <t>Python3</t>
        </is>
      </c>
      <c r="I961" s="4" t="inlineStr">
        <is>
          <t>141 ms</t>
        </is>
      </c>
      <c r="J961" s="4" t="inlineStr">
        <is>
          <t>18 MB</t>
        </is>
      </c>
      <c r="K961" s="4" t="n">
        <v>9.199999999999999</v>
      </c>
      <c r="L961" s="4" t="inlineStr">
        <is>
          <t>74/74</t>
        </is>
      </c>
      <c r="M961" s="9" t="inlineStr">
        <is>
          <t>Submission 1111081946</t>
        </is>
      </c>
      <c r="N961" s="4" t="inlineStr">
        <is>
          <t>No</t>
        </is>
      </c>
    </row>
    <row r="962">
      <c r="A962" s="11" t="n">
        <v>45263.13905092593</v>
      </c>
      <c r="B962" s="4" t="inlineStr">
        <is>
          <t>2023-12</t>
        </is>
      </c>
      <c r="C962" s="4" t="n">
        <v>283</v>
      </c>
      <c r="D962" s="9" t="inlineStr">
        <is>
          <t>Move Zeroes</t>
        </is>
      </c>
      <c r="E962" s="4" t="inlineStr">
        <is>
          <t>Easy</t>
        </is>
      </c>
      <c r="F962" s="4" t="inlineStr">
        <is>
          <t>Two Pointers</t>
        </is>
      </c>
      <c r="G962" s="4" t="inlineStr">
        <is>
          <t>Wrong Answer</t>
        </is>
      </c>
      <c r="H962" s="4" t="inlineStr">
        <is>
          <t>Python3</t>
        </is>
      </c>
      <c r="I962" s="4" t="inlineStr">
        <is>
          <t>N/A</t>
        </is>
      </c>
      <c r="J962" s="4" t="inlineStr">
        <is>
          <t>N/A</t>
        </is>
      </c>
      <c r="K962" s="4" t="n"/>
      <c r="L962" s="4" t="inlineStr">
        <is>
          <t>24/74</t>
        </is>
      </c>
      <c r="M962" s="9" t="inlineStr">
        <is>
          <t>Submission 1111082004</t>
        </is>
      </c>
      <c r="N962" s="4" t="inlineStr">
        <is>
          <t>No</t>
        </is>
      </c>
    </row>
    <row r="963">
      <c r="A963" s="11" t="n">
        <v>45263.14159722222</v>
      </c>
      <c r="B963" s="4" t="inlineStr">
        <is>
          <t>2023-12</t>
        </is>
      </c>
      <c r="C963" s="4" t="n">
        <v>283</v>
      </c>
      <c r="D963" s="9" t="inlineStr">
        <is>
          <t>Move Zeroes</t>
        </is>
      </c>
      <c r="E963" s="4" t="inlineStr">
        <is>
          <t>Easy</t>
        </is>
      </c>
      <c r="F963" s="4" t="inlineStr">
        <is>
          <t>Two Pointers</t>
        </is>
      </c>
      <c r="G963" s="4" t="inlineStr">
        <is>
          <t>Wrong Answer</t>
        </is>
      </c>
      <c r="H963" s="4" t="inlineStr">
        <is>
          <t>Python3</t>
        </is>
      </c>
      <c r="I963" s="4" t="inlineStr">
        <is>
          <t>N/A</t>
        </is>
      </c>
      <c r="J963" s="4" t="inlineStr">
        <is>
          <t>N/A</t>
        </is>
      </c>
      <c r="K963" s="4" t="n"/>
      <c r="L963" s="4" t="inlineStr">
        <is>
          <t>24/74</t>
        </is>
      </c>
      <c r="M963" s="9" t="inlineStr">
        <is>
          <t>Submission 1111083414</t>
        </is>
      </c>
      <c r="N963" s="4" t="inlineStr">
        <is>
          <t>No</t>
        </is>
      </c>
    </row>
    <row r="964">
      <c r="A964" s="11" t="n">
        <v>45263.14192129629</v>
      </c>
      <c r="B964" s="4" t="inlineStr">
        <is>
          <t>2023-12</t>
        </is>
      </c>
      <c r="C964" s="4" t="n">
        <v>283</v>
      </c>
      <c r="D964" s="9" t="inlineStr">
        <is>
          <t>Move Zeroes</t>
        </is>
      </c>
      <c r="E964" s="4" t="inlineStr">
        <is>
          <t>Easy</t>
        </is>
      </c>
      <c r="F964" s="4" t="inlineStr">
        <is>
          <t>Two Pointers</t>
        </is>
      </c>
      <c r="G964" s="4" t="inlineStr">
        <is>
          <t>Accepted</t>
        </is>
      </c>
      <c r="H964" s="4" t="inlineStr">
        <is>
          <t>Python3</t>
        </is>
      </c>
      <c r="I964" s="4" t="inlineStr">
        <is>
          <t>134 ms</t>
        </is>
      </c>
      <c r="J964" s="4" t="inlineStr">
        <is>
          <t>18 MB</t>
        </is>
      </c>
      <c r="K964" s="4" t="n">
        <v>9.199999999999999</v>
      </c>
      <c r="L964" s="4" t="inlineStr">
        <is>
          <t>74/74</t>
        </is>
      </c>
      <c r="M964" s="9" t="inlineStr">
        <is>
          <t>Submission 1111083586</t>
        </is>
      </c>
      <c r="N964" s="4" t="inlineStr">
        <is>
          <t>No</t>
        </is>
      </c>
    </row>
    <row r="965">
      <c r="A965" s="11" t="n">
        <v>45263.19282407407</v>
      </c>
      <c r="B965" s="4" t="inlineStr">
        <is>
          <t>2023-12</t>
        </is>
      </c>
      <c r="C965" s="4" t="n">
        <v>317</v>
      </c>
      <c r="D965" s="9" t="inlineStr">
        <is>
          <t>Shortest Distance from All Buildings</t>
        </is>
      </c>
      <c r="E965" s="4" t="inlineStr">
        <is>
          <t>Hard</t>
        </is>
      </c>
      <c r="F965" s="4" t="inlineStr">
        <is>
          <t>Graph: Grid BFS/DFS</t>
        </is>
      </c>
      <c r="G965" s="4" t="inlineStr">
        <is>
          <t>Time Limit Exceeded</t>
        </is>
      </c>
      <c r="H965" s="4" t="inlineStr">
        <is>
          <t>Python3</t>
        </is>
      </c>
      <c r="I965" s="4" t="inlineStr">
        <is>
          <t>N/A</t>
        </is>
      </c>
      <c r="J965" s="4" t="inlineStr">
        <is>
          <t>N/A</t>
        </is>
      </c>
      <c r="K965" s="4" t="n"/>
      <c r="L965" s="4" t="inlineStr">
        <is>
          <t>78/85</t>
        </is>
      </c>
      <c r="M965" s="9" t="inlineStr">
        <is>
          <t>Submission 1111109010</t>
        </is>
      </c>
      <c r="N965" s="4" t="inlineStr">
        <is>
          <t>No</t>
        </is>
      </c>
    </row>
    <row r="966">
      <c r="A966" s="11" t="n">
        <v>45263.19449074074</v>
      </c>
      <c r="B966" s="4" t="inlineStr">
        <is>
          <t>2023-12</t>
        </is>
      </c>
      <c r="C966" s="4" t="n">
        <v>317</v>
      </c>
      <c r="D966" s="9" t="inlineStr">
        <is>
          <t>Shortest Distance from All Buildings</t>
        </is>
      </c>
      <c r="E966" s="4" t="inlineStr">
        <is>
          <t>Hard</t>
        </is>
      </c>
      <c r="F966" s="4" t="inlineStr">
        <is>
          <t>Graph: Grid BFS/DFS</t>
        </is>
      </c>
      <c r="G966" s="4" t="inlineStr">
        <is>
          <t>Accepted</t>
        </is>
      </c>
      <c r="H966" s="4" t="inlineStr">
        <is>
          <t>Python3</t>
        </is>
      </c>
      <c r="I966" s="4" t="inlineStr">
        <is>
          <t>4289 ms</t>
        </is>
      </c>
      <c r="J966" s="4" t="inlineStr">
        <is>
          <t>17 MB</t>
        </is>
      </c>
      <c r="K966" s="4" t="n">
        <v>25.2</v>
      </c>
      <c r="L966" s="4" t="inlineStr">
        <is>
          <t>85/85</t>
        </is>
      </c>
      <c r="M966" s="9" t="inlineStr">
        <is>
          <t>Submission 1111109853</t>
        </is>
      </c>
      <c r="N966" s="4" t="inlineStr">
        <is>
          <t>No</t>
        </is>
      </c>
    </row>
    <row r="967">
      <c r="A967" s="11" t="n">
        <v>45263.19491898148</v>
      </c>
      <c r="B967" s="4" t="inlineStr">
        <is>
          <t>2023-12</t>
        </is>
      </c>
      <c r="C967" s="4" t="n">
        <v>317</v>
      </c>
      <c r="D967" s="9" t="inlineStr">
        <is>
          <t>Shortest Distance from All Buildings</t>
        </is>
      </c>
      <c r="E967" s="4" t="inlineStr">
        <is>
          <t>Hard</t>
        </is>
      </c>
      <c r="F967" s="4" t="inlineStr">
        <is>
          <t>Graph: Grid BFS/DFS</t>
        </is>
      </c>
      <c r="G967" s="4" t="inlineStr">
        <is>
          <t>Wrong Answer</t>
        </is>
      </c>
      <c r="H967" s="4" t="inlineStr">
        <is>
          <t>Python3</t>
        </is>
      </c>
      <c r="I967" s="4" t="inlineStr">
        <is>
          <t>N/A</t>
        </is>
      </c>
      <c r="J967" s="4" t="inlineStr">
        <is>
          <t>N/A</t>
        </is>
      </c>
      <c r="K967" s="4" t="n"/>
      <c r="L967" s="4" t="inlineStr">
        <is>
          <t>75/85</t>
        </is>
      </c>
      <c r="M967" s="9" t="inlineStr">
        <is>
          <t>Submission 1111110057</t>
        </is>
      </c>
      <c r="N967" s="4" t="inlineStr">
        <is>
          <t>No</t>
        </is>
      </c>
    </row>
    <row r="968">
      <c r="A968" s="11" t="n">
        <v>45263.19565972222</v>
      </c>
      <c r="B968" s="4" t="inlineStr">
        <is>
          <t>2023-12</t>
        </is>
      </c>
      <c r="C968" s="4" t="n">
        <v>317</v>
      </c>
      <c r="D968" s="9" t="inlineStr">
        <is>
          <t>Shortest Distance from All Buildings</t>
        </is>
      </c>
      <c r="E968" s="4" t="inlineStr">
        <is>
          <t>Hard</t>
        </is>
      </c>
      <c r="F968" s="4" t="inlineStr">
        <is>
          <t>Graph: Grid BFS/DFS</t>
        </is>
      </c>
      <c r="G968" s="4" t="inlineStr">
        <is>
          <t>Accepted</t>
        </is>
      </c>
      <c r="H968" s="4" t="inlineStr">
        <is>
          <t>Python3</t>
        </is>
      </c>
      <c r="I968" s="4" t="inlineStr">
        <is>
          <t>4187 ms</t>
        </is>
      </c>
      <c r="J968" s="4" t="inlineStr">
        <is>
          <t>17 MB</t>
        </is>
      </c>
      <c r="K968" s="4" t="n">
        <v>28.1</v>
      </c>
      <c r="L968" s="4" t="inlineStr">
        <is>
          <t>85/85</t>
        </is>
      </c>
      <c r="M968" s="9" t="inlineStr">
        <is>
          <t>Submission 1111110446</t>
        </is>
      </c>
      <c r="N968" s="4" t="inlineStr">
        <is>
          <t>No</t>
        </is>
      </c>
    </row>
    <row r="969">
      <c r="A969" s="11" t="n">
        <v>45263.19618055555</v>
      </c>
      <c r="B969" s="4" t="inlineStr">
        <is>
          <t>2023-12</t>
        </is>
      </c>
      <c r="C969" s="4" t="n">
        <v>317</v>
      </c>
      <c r="D969" s="9" t="inlineStr">
        <is>
          <t>Shortest Distance from All Buildings</t>
        </is>
      </c>
      <c r="E969" s="4" t="inlineStr">
        <is>
          <t>Hard</t>
        </is>
      </c>
      <c r="F969" s="4" t="inlineStr">
        <is>
          <t>Graph: Grid BFS/DFS</t>
        </is>
      </c>
      <c r="G969" s="4" t="inlineStr">
        <is>
          <t>Wrong Answer</t>
        </is>
      </c>
      <c r="H969" s="4" t="inlineStr">
        <is>
          <t>Python3</t>
        </is>
      </c>
      <c r="I969" s="4" t="inlineStr">
        <is>
          <t>N/A</t>
        </is>
      </c>
      <c r="J969" s="4" t="inlineStr">
        <is>
          <t>N/A</t>
        </is>
      </c>
      <c r="K969" s="4" t="n"/>
      <c r="L969" s="4" t="inlineStr">
        <is>
          <t>75/85</t>
        </is>
      </c>
      <c r="M969" s="9" t="inlineStr">
        <is>
          <t>Submission 1111110689</t>
        </is>
      </c>
      <c r="N969" s="4" t="inlineStr">
        <is>
          <t>No</t>
        </is>
      </c>
    </row>
    <row r="970">
      <c r="A970" s="11" t="n">
        <v>45263.19675925926</v>
      </c>
      <c r="B970" s="4" t="inlineStr">
        <is>
          <t>2023-12</t>
        </is>
      </c>
      <c r="C970" s="4" t="n">
        <v>317</v>
      </c>
      <c r="D970" s="9" t="inlineStr">
        <is>
          <t>Shortest Distance from All Buildings</t>
        </is>
      </c>
      <c r="E970" s="4" t="inlineStr">
        <is>
          <t>Hard</t>
        </is>
      </c>
      <c r="F970" s="4" t="inlineStr">
        <is>
          <t>Graph: Grid BFS/DFS</t>
        </is>
      </c>
      <c r="G970" s="4" t="inlineStr">
        <is>
          <t>Wrong Answer</t>
        </is>
      </c>
      <c r="H970" s="4" t="inlineStr">
        <is>
          <t>Python3</t>
        </is>
      </c>
      <c r="I970" s="4" t="inlineStr">
        <is>
          <t>N/A</t>
        </is>
      </c>
      <c r="J970" s="4" t="inlineStr">
        <is>
          <t>N/A</t>
        </is>
      </c>
      <c r="K970" s="4" t="n"/>
      <c r="L970" s="4" t="inlineStr">
        <is>
          <t>75/85</t>
        </is>
      </c>
      <c r="M970" s="9" t="inlineStr">
        <is>
          <t>Submission 1111110993</t>
        </is>
      </c>
      <c r="N970" s="4" t="inlineStr">
        <is>
          <t>No</t>
        </is>
      </c>
    </row>
    <row r="971">
      <c r="A971" s="11" t="n">
        <v>45263.19758101852</v>
      </c>
      <c r="B971" s="4" t="inlineStr">
        <is>
          <t>2023-12</t>
        </is>
      </c>
      <c r="C971" s="4" t="n">
        <v>317</v>
      </c>
      <c r="D971" s="9" t="inlineStr">
        <is>
          <t>Shortest Distance from All Buildings</t>
        </is>
      </c>
      <c r="E971" s="4" t="inlineStr">
        <is>
          <t>Hard</t>
        </is>
      </c>
      <c r="F971" s="4" t="inlineStr">
        <is>
          <t>Graph: Grid BFS/DFS</t>
        </is>
      </c>
      <c r="G971" s="4" t="inlineStr">
        <is>
          <t>Accepted</t>
        </is>
      </c>
      <c r="H971" s="4" t="inlineStr">
        <is>
          <t>Python3</t>
        </is>
      </c>
      <c r="I971" s="4" t="inlineStr">
        <is>
          <t>4298 ms</t>
        </is>
      </c>
      <c r="J971" s="4" t="inlineStr">
        <is>
          <t>17.2 MB</t>
        </is>
      </c>
      <c r="K971" s="4" t="n">
        <v>25</v>
      </c>
      <c r="L971" s="4" t="inlineStr">
        <is>
          <t>85/85</t>
        </is>
      </c>
      <c r="M971" s="9" t="inlineStr">
        <is>
          <t>Submission 1111111381</t>
        </is>
      </c>
      <c r="N971" s="4" t="inlineStr">
        <is>
          <t>No</t>
        </is>
      </c>
    </row>
    <row r="972">
      <c r="A972" s="11" t="n">
        <v>45263.19768518519</v>
      </c>
      <c r="B972" s="4" t="inlineStr">
        <is>
          <t>2023-12</t>
        </is>
      </c>
      <c r="C972" s="4" t="n">
        <v>317</v>
      </c>
      <c r="D972" s="9" t="inlineStr">
        <is>
          <t>Shortest Distance from All Buildings</t>
        </is>
      </c>
      <c r="E972" s="4" t="inlineStr">
        <is>
          <t>Hard</t>
        </is>
      </c>
      <c r="F972" s="4" t="inlineStr">
        <is>
          <t>Graph: Grid BFS/DFS</t>
        </is>
      </c>
      <c r="G972" s="4" t="inlineStr">
        <is>
          <t>Accepted</t>
        </is>
      </c>
      <c r="H972" s="4" t="inlineStr">
        <is>
          <t>Python3</t>
        </is>
      </c>
      <c r="I972" s="4" t="inlineStr">
        <is>
          <t>4341 ms</t>
        </is>
      </c>
      <c r="J972" s="4" t="inlineStr">
        <is>
          <t>17 MB</t>
        </is>
      </c>
      <c r="K972" s="4" t="n">
        <v>24.4</v>
      </c>
      <c r="L972" s="4" t="inlineStr">
        <is>
          <t>85/85</t>
        </is>
      </c>
      <c r="M972" s="9" t="inlineStr">
        <is>
          <t>Submission 1111111437</t>
        </is>
      </c>
      <c r="N972" s="4" t="inlineStr">
        <is>
          <t>No</t>
        </is>
      </c>
    </row>
    <row r="973">
      <c r="A973" s="11" t="n">
        <v>45263.95628472222</v>
      </c>
      <c r="B973" s="4" t="inlineStr">
        <is>
          <t>2023-12</t>
        </is>
      </c>
      <c r="C973" s="4" t="n">
        <v>76</v>
      </c>
      <c r="D973" s="9" t="inlineStr">
        <is>
          <t>Minimum Window Substring</t>
        </is>
      </c>
      <c r="E973" s="4" t="inlineStr">
        <is>
          <t>Hard</t>
        </is>
      </c>
      <c r="F973" s="4" t="inlineStr">
        <is>
          <t>Sliding Window</t>
        </is>
      </c>
      <c r="G973" s="4" t="inlineStr">
        <is>
          <t>Time Limit Exceeded</t>
        </is>
      </c>
      <c r="H973" s="4" t="inlineStr">
        <is>
          <t>Python3</t>
        </is>
      </c>
      <c r="I973" s="4" t="inlineStr">
        <is>
          <t>N/A</t>
        </is>
      </c>
      <c r="J973" s="4" t="inlineStr">
        <is>
          <t>N/A</t>
        </is>
      </c>
      <c r="K973" s="4" t="n"/>
      <c r="L973" s="4" t="inlineStr">
        <is>
          <t>265/267</t>
        </is>
      </c>
      <c r="M973" s="9" t="inlineStr">
        <is>
          <t>Submission 1111621511</t>
        </is>
      </c>
      <c r="N973" s="4" t="inlineStr">
        <is>
          <t>Yes</t>
        </is>
      </c>
    </row>
    <row r="974">
      <c r="A974" s="11" t="n">
        <v>45263.95702546297</v>
      </c>
      <c r="B974" s="4" t="inlineStr">
        <is>
          <t>2023-12</t>
        </is>
      </c>
      <c r="C974" s="4" t="n">
        <v>76</v>
      </c>
      <c r="D974" s="9" t="inlineStr">
        <is>
          <t>Minimum Window Substring</t>
        </is>
      </c>
      <c r="E974" s="4" t="inlineStr">
        <is>
          <t>Hard</t>
        </is>
      </c>
      <c r="F974" s="4" t="inlineStr">
        <is>
          <t>Sliding Window</t>
        </is>
      </c>
      <c r="G974" s="4" t="inlineStr">
        <is>
          <t>Time Limit Exceeded</t>
        </is>
      </c>
      <c r="H974" s="4" t="inlineStr">
        <is>
          <t>Python3</t>
        </is>
      </c>
      <c r="I974" s="4" t="inlineStr">
        <is>
          <t>N/A</t>
        </is>
      </c>
      <c r="J974" s="4" t="inlineStr">
        <is>
          <t>N/A</t>
        </is>
      </c>
      <c r="K974" s="4" t="n"/>
      <c r="L974" s="4" t="inlineStr">
        <is>
          <t>265/267</t>
        </is>
      </c>
      <c r="M974" s="9" t="inlineStr">
        <is>
          <t>Submission 1111622130</t>
        </is>
      </c>
      <c r="N974" s="4" t="inlineStr">
        <is>
          <t>Yes</t>
        </is>
      </c>
    </row>
    <row r="975">
      <c r="A975" s="11" t="n">
        <v>45263.95792824074</v>
      </c>
      <c r="B975" s="4" t="inlineStr">
        <is>
          <t>2023-12</t>
        </is>
      </c>
      <c r="C975" s="4" t="n">
        <v>76</v>
      </c>
      <c r="D975" s="9" t="inlineStr">
        <is>
          <t>Minimum Window Substring</t>
        </is>
      </c>
      <c r="E975" s="4" t="inlineStr">
        <is>
          <t>Hard</t>
        </is>
      </c>
      <c r="F975" s="4" t="inlineStr">
        <is>
          <t>Sliding Window</t>
        </is>
      </c>
      <c r="G975" s="4" t="inlineStr">
        <is>
          <t>Accepted</t>
        </is>
      </c>
      <c r="H975" s="4" t="inlineStr">
        <is>
          <t>Python3</t>
        </is>
      </c>
      <c r="I975" s="4" t="inlineStr">
        <is>
          <t>794 ms</t>
        </is>
      </c>
      <c r="J975" s="4" t="inlineStr">
        <is>
          <t>17.6 MB</t>
        </is>
      </c>
      <c r="K975" s="4" t="n">
        <v>5</v>
      </c>
      <c r="L975" s="4" t="inlineStr">
        <is>
          <t>267/267</t>
        </is>
      </c>
      <c r="M975" s="9" t="inlineStr">
        <is>
          <t>Submission 1111622888</t>
        </is>
      </c>
      <c r="N975" s="4" t="inlineStr">
        <is>
          <t>Yes</t>
        </is>
      </c>
    </row>
    <row r="976">
      <c r="A976" s="11" t="n">
        <v>45264.01598379629</v>
      </c>
      <c r="B976" s="4" t="inlineStr">
        <is>
          <t>2023-12</t>
        </is>
      </c>
      <c r="C976" s="4" t="n">
        <v>825</v>
      </c>
      <c r="D976" s="9" t="inlineStr">
        <is>
          <t>Friends Of Appropriate Ages</t>
        </is>
      </c>
      <c r="E976" s="4" t="inlineStr">
        <is>
          <t>Medium</t>
        </is>
      </c>
      <c r="F976" s="4" t="inlineStr">
        <is>
          <t>Arrays, Hashing &amp; Sorting</t>
        </is>
      </c>
      <c r="G976" s="4" t="inlineStr">
        <is>
          <t>Accepted</t>
        </is>
      </c>
      <c r="H976" s="4" t="inlineStr">
        <is>
          <t>Python3</t>
        </is>
      </c>
      <c r="I976" s="4" t="inlineStr">
        <is>
          <t>312 ms</t>
        </is>
      </c>
      <c r="J976" s="4" t="inlineStr">
        <is>
          <t>17.1 MB</t>
        </is>
      </c>
      <c r="K976" s="4" t="n">
        <v>5.7</v>
      </c>
      <c r="L976" s="4" t="inlineStr">
        <is>
          <t>89/89</t>
        </is>
      </c>
      <c r="M976" s="9" t="inlineStr">
        <is>
          <t>Submission 1111670027</t>
        </is>
      </c>
      <c r="N976" s="4" t="inlineStr">
        <is>
          <t>No</t>
        </is>
      </c>
    </row>
    <row r="977">
      <c r="A977" s="11" t="n">
        <v>45264.29431712963</v>
      </c>
      <c r="B977" s="4" t="inlineStr">
        <is>
          <t>2023-12</t>
        </is>
      </c>
      <c r="C977" s="4" t="n">
        <v>301</v>
      </c>
      <c r="D977" s="9" t="inlineStr">
        <is>
          <t>Remove Invalid Parentheses</t>
        </is>
      </c>
      <c r="E977" s="4" t="inlineStr">
        <is>
          <t>Hard</t>
        </is>
      </c>
      <c r="F977" s="4" t="inlineStr">
        <is>
          <t>Backtracking</t>
        </is>
      </c>
      <c r="G977" s="4" t="inlineStr">
        <is>
          <t>Accepted</t>
        </is>
      </c>
      <c r="H977" s="4" t="inlineStr">
        <is>
          <t>Python3</t>
        </is>
      </c>
      <c r="I977" s="4" t="inlineStr">
        <is>
          <t>303 ms</t>
        </is>
      </c>
      <c r="J977" s="4" t="inlineStr">
        <is>
          <t>17.5 MB</t>
        </is>
      </c>
      <c r="K977" s="4" t="n">
        <v>42.2</v>
      </c>
      <c r="L977" s="4" t="inlineStr">
        <is>
          <t>127/127</t>
        </is>
      </c>
      <c r="M977" s="9" t="inlineStr">
        <is>
          <t>Submission 1111829707</t>
        </is>
      </c>
      <c r="N977" s="4" t="inlineStr">
        <is>
          <t>Yes</t>
        </is>
      </c>
    </row>
    <row r="978">
      <c r="A978" s="11" t="n">
        <v>45264.29444444444</v>
      </c>
      <c r="B978" s="4" t="inlineStr">
        <is>
          <t>2023-12</t>
        </is>
      </c>
      <c r="C978" s="4" t="n">
        <v>301</v>
      </c>
      <c r="D978" s="9" t="inlineStr">
        <is>
          <t>Remove Invalid Parentheses</t>
        </is>
      </c>
      <c r="E978" s="4" t="inlineStr">
        <is>
          <t>Hard</t>
        </is>
      </c>
      <c r="F978" s="4" t="inlineStr">
        <is>
          <t>Backtracking</t>
        </is>
      </c>
      <c r="G978" s="4" t="inlineStr">
        <is>
          <t>Accepted</t>
        </is>
      </c>
      <c r="H978" s="4" t="inlineStr">
        <is>
          <t>Python3</t>
        </is>
      </c>
      <c r="I978" s="4" t="inlineStr">
        <is>
          <t>299 ms</t>
        </is>
      </c>
      <c r="J978" s="4" t="inlineStr">
        <is>
          <t>20.4 MB</t>
        </is>
      </c>
      <c r="K978" s="4" t="n">
        <v>42.3</v>
      </c>
      <c r="L978" s="4" t="inlineStr">
        <is>
          <t>127/127</t>
        </is>
      </c>
      <c r="M978" s="9" t="inlineStr">
        <is>
          <t>Submission 1111829774</t>
        </is>
      </c>
      <c r="N978" s="4" t="inlineStr">
        <is>
          <t>Yes</t>
        </is>
      </c>
    </row>
    <row r="979">
      <c r="A979" s="11" t="n">
        <v>45264.39523148148</v>
      </c>
      <c r="B979" s="4" t="inlineStr">
        <is>
          <t>2023-12</t>
        </is>
      </c>
      <c r="C979" s="4" t="n">
        <v>314</v>
      </c>
      <c r="D979" s="9" t="inlineStr">
        <is>
          <t>Binary Tree Vertical Order Traversal</t>
        </is>
      </c>
      <c r="E979" s="4" t="inlineStr">
        <is>
          <t>Medium</t>
        </is>
      </c>
      <c r="F979" s="4" t="inlineStr">
        <is>
          <t>Binary Tree (BFS / Level Order)</t>
        </is>
      </c>
      <c r="G979" s="4" t="inlineStr">
        <is>
          <t>Wrong Answer</t>
        </is>
      </c>
      <c r="H979" s="4" t="inlineStr">
        <is>
          <t>Python3</t>
        </is>
      </c>
      <c r="I979" s="4" t="inlineStr">
        <is>
          <t>N/A</t>
        </is>
      </c>
      <c r="J979" s="4" t="inlineStr">
        <is>
          <t>N/A</t>
        </is>
      </c>
      <c r="K979" s="4" t="n"/>
      <c r="L979" s="4" t="inlineStr">
        <is>
          <t>213/214</t>
        </is>
      </c>
      <c r="M979" s="9" t="inlineStr">
        <is>
          <t>Submission 1111891986</t>
        </is>
      </c>
      <c r="N979" s="4" t="inlineStr">
        <is>
          <t>No</t>
        </is>
      </c>
    </row>
    <row r="980">
      <c r="A980" s="11" t="n">
        <v>45264.39542824074</v>
      </c>
      <c r="B980" s="4" t="inlineStr">
        <is>
          <t>2023-12</t>
        </is>
      </c>
      <c r="C980" s="4" t="n">
        <v>314</v>
      </c>
      <c r="D980" s="9" t="inlineStr">
        <is>
          <t>Binary Tree Vertical Order Traversal</t>
        </is>
      </c>
      <c r="E980" s="4" t="inlineStr">
        <is>
          <t>Medium</t>
        </is>
      </c>
      <c r="F980" s="4" t="inlineStr">
        <is>
          <t>Binary Tree (BFS / Level Order)</t>
        </is>
      </c>
      <c r="G980" s="4" t="inlineStr">
        <is>
          <t>Accepted</t>
        </is>
      </c>
      <c r="H980" s="4" t="inlineStr">
        <is>
          <t>Python3</t>
        </is>
      </c>
      <c r="I980" s="4" t="inlineStr">
        <is>
          <t>37 ms</t>
        </is>
      </c>
      <c r="J980" s="4" t="inlineStr">
        <is>
          <t>16.6 MB</t>
        </is>
      </c>
      <c r="K980" s="4" t="n">
        <v>0.1</v>
      </c>
      <c r="L980" s="4" t="inlineStr">
        <is>
          <t>214/214</t>
        </is>
      </c>
      <c r="M980" s="9" t="inlineStr">
        <is>
          <t>Submission 1111892126</t>
        </is>
      </c>
      <c r="N980" s="4" t="inlineStr">
        <is>
          <t>No</t>
        </is>
      </c>
    </row>
    <row r="981">
      <c r="A981" s="11" t="n">
        <v>45264.40550925926</v>
      </c>
      <c r="B981" s="4" t="inlineStr">
        <is>
          <t>2023-12</t>
        </is>
      </c>
      <c r="C981" s="4" t="n">
        <v>1249</v>
      </c>
      <c r="D981" s="9" t="inlineStr">
        <is>
          <t>Minimum Remove to Make Valid Parentheses</t>
        </is>
      </c>
      <c r="E981" s="4" t="inlineStr">
        <is>
          <t>Medium</t>
        </is>
      </c>
      <c r="F981" s="4" t="inlineStr">
        <is>
          <t>Stack</t>
        </is>
      </c>
      <c r="G981" s="4" t="inlineStr">
        <is>
          <t>Accepted</t>
        </is>
      </c>
      <c r="H981" s="4" t="inlineStr">
        <is>
          <t>Python3</t>
        </is>
      </c>
      <c r="I981" s="4" t="inlineStr">
        <is>
          <t>115 ms</t>
        </is>
      </c>
      <c r="J981" s="4" t="inlineStr">
        <is>
          <t>18.6 MB</t>
        </is>
      </c>
      <c r="K981" s="4" t="n">
        <v>9.300000000000001</v>
      </c>
      <c r="L981" s="4" t="inlineStr">
        <is>
          <t>62/62</t>
        </is>
      </c>
      <c r="M981" s="9" t="inlineStr">
        <is>
          <t>Submission 1111899189</t>
        </is>
      </c>
      <c r="N981" s="4" t="inlineStr">
        <is>
          <t>No</t>
        </is>
      </c>
    </row>
    <row r="982">
      <c r="A982" s="11" t="n">
        <v>45264.45473379629</v>
      </c>
      <c r="B982" s="4" t="inlineStr">
        <is>
          <t>2023-12</t>
        </is>
      </c>
      <c r="C982" s="4" t="n">
        <v>1762</v>
      </c>
      <c r="D982" s="9" t="inlineStr">
        <is>
          <t>Buildings With an Ocean View</t>
        </is>
      </c>
      <c r="E982" s="4" t="inlineStr">
        <is>
          <t>Medium</t>
        </is>
      </c>
      <c r="F982" s="4" t="inlineStr">
        <is>
          <t>Monotonic Stack / Deque</t>
        </is>
      </c>
      <c r="G982" s="4" t="inlineStr">
        <is>
          <t>Accepted</t>
        </is>
      </c>
      <c r="H982" s="4" t="inlineStr">
        <is>
          <t>Python3</t>
        </is>
      </c>
      <c r="I982" s="4" t="inlineStr">
        <is>
          <t>611 ms</t>
        </is>
      </c>
      <c r="J982" s="4" t="inlineStr">
        <is>
          <t>33.6 MB</t>
        </is>
      </c>
      <c r="K982" s="4" t="n">
        <v>5</v>
      </c>
      <c r="L982" s="4" t="inlineStr">
        <is>
          <t>77/77</t>
        </is>
      </c>
      <c r="M982" s="9" t="inlineStr">
        <is>
          <t>Submission 1111935541</t>
        </is>
      </c>
      <c r="N982" s="4" t="inlineStr">
        <is>
          <t>No</t>
        </is>
      </c>
    </row>
    <row r="983">
      <c r="A983" s="11" t="n">
        <v>45264.45921296296</v>
      </c>
      <c r="B983" s="4" t="inlineStr">
        <is>
          <t>2023-12</t>
        </is>
      </c>
      <c r="C983" s="4" t="n">
        <v>1650</v>
      </c>
      <c r="D983" s="9" t="inlineStr">
        <is>
          <t>Lowest Common Ancestor of a Binary Tree III</t>
        </is>
      </c>
      <c r="E983" s="4" t="inlineStr">
        <is>
          <t>Medium</t>
        </is>
      </c>
      <c r="F983" s="4" t="inlineStr">
        <is>
          <t>Binary Tree (DFS &amp; Recursion)</t>
        </is>
      </c>
      <c r="G983" s="4" t="inlineStr">
        <is>
          <t>Accepted</t>
        </is>
      </c>
      <c r="H983" s="4" t="inlineStr">
        <is>
          <t>Python3</t>
        </is>
      </c>
      <c r="I983" s="4" t="inlineStr">
        <is>
          <t>47 ms</t>
        </is>
      </c>
      <c r="J983" s="4" t="inlineStr">
        <is>
          <t>20.9 MB</t>
        </is>
      </c>
      <c r="K983" s="4" t="n">
        <v>99.09999999999999</v>
      </c>
      <c r="L983" s="4" t="inlineStr">
        <is>
          <t>31/31</t>
        </is>
      </c>
      <c r="M983" s="9" t="inlineStr">
        <is>
          <t>Submission 1111939118</t>
        </is>
      </c>
      <c r="N983" s="4" t="inlineStr">
        <is>
          <t>No</t>
        </is>
      </c>
    </row>
    <row r="984">
      <c r="A984" s="11" t="n">
        <v>45264.46820601852</v>
      </c>
      <c r="B984" s="4" t="inlineStr">
        <is>
          <t>2023-12</t>
        </is>
      </c>
      <c r="C984" s="4" t="n">
        <v>1650</v>
      </c>
      <c r="D984" s="9" t="inlineStr">
        <is>
          <t>Lowest Common Ancestor of a Binary Tree III</t>
        </is>
      </c>
      <c r="E984" s="4" t="inlineStr">
        <is>
          <t>Medium</t>
        </is>
      </c>
      <c r="F984" s="4" t="inlineStr">
        <is>
          <t>Binary Tree (DFS &amp; Recursion)</t>
        </is>
      </c>
      <c r="G984" s="4" t="inlineStr">
        <is>
          <t>Accepted</t>
        </is>
      </c>
      <c r="H984" s="4" t="inlineStr">
        <is>
          <t>Python3</t>
        </is>
      </c>
      <c r="I984" s="4" t="inlineStr">
        <is>
          <t>73 ms</t>
        </is>
      </c>
      <c r="J984" s="4" t="inlineStr">
        <is>
          <t>20.9 MB</t>
        </is>
      </c>
      <c r="K984" s="4" t="n">
        <v>5.7</v>
      </c>
      <c r="L984" s="4" t="inlineStr">
        <is>
          <t>31/31</t>
        </is>
      </c>
      <c r="M984" s="9" t="inlineStr">
        <is>
          <t>Submission 1111946116</t>
        </is>
      </c>
      <c r="N984" s="4" t="inlineStr">
        <is>
          <t>No</t>
        </is>
      </c>
    </row>
    <row r="985">
      <c r="A985" s="11" t="n">
        <v>45264.48172453704</v>
      </c>
      <c r="B985" s="4" t="inlineStr">
        <is>
          <t>2023-12</t>
        </is>
      </c>
      <c r="C985" s="4" t="n">
        <v>339</v>
      </c>
      <c r="D985" s="9" t="inlineStr">
        <is>
          <t>Nested List Weight Sum</t>
        </is>
      </c>
      <c r="E985" s="4" t="inlineStr">
        <is>
          <t>Medium</t>
        </is>
      </c>
      <c r="F985" s="4" t="inlineStr">
        <is>
          <t>Binary Tree (DFS &amp; Recursion)</t>
        </is>
      </c>
      <c r="G985" s="4" t="inlineStr">
        <is>
          <t>Runtime Error</t>
        </is>
      </c>
      <c r="H985" s="4" t="inlineStr">
        <is>
          <t>Python3</t>
        </is>
      </c>
      <c r="I985" s="4" t="inlineStr">
        <is>
          <t>N/A</t>
        </is>
      </c>
      <c r="J985" s="4" t="inlineStr">
        <is>
          <t>N/A</t>
        </is>
      </c>
      <c r="K985" s="4" t="n"/>
      <c r="L985" s="4" t="inlineStr">
        <is>
          <t>0/25</t>
        </is>
      </c>
      <c r="M985" s="9" t="inlineStr">
        <is>
          <t>Submission 1111956734</t>
        </is>
      </c>
      <c r="N985" s="4" t="inlineStr">
        <is>
          <t>No</t>
        </is>
      </c>
    </row>
    <row r="986">
      <c r="A986" s="11" t="n">
        <v>45264.48186342593</v>
      </c>
      <c r="B986" s="4" t="inlineStr">
        <is>
          <t>2023-12</t>
        </is>
      </c>
      <c r="C986" s="4" t="n">
        <v>339</v>
      </c>
      <c r="D986" s="9" t="inlineStr">
        <is>
          <t>Nested List Weight Sum</t>
        </is>
      </c>
      <c r="E986" s="4" t="inlineStr">
        <is>
          <t>Medium</t>
        </is>
      </c>
      <c r="F986" s="4" t="inlineStr">
        <is>
          <t>Binary Tree (DFS &amp; Recursion)</t>
        </is>
      </c>
      <c r="G986" s="4" t="inlineStr">
        <is>
          <t>Runtime Error</t>
        </is>
      </c>
      <c r="H986" s="4" t="inlineStr">
        <is>
          <t>Python3</t>
        </is>
      </c>
      <c r="I986" s="4" t="inlineStr">
        <is>
          <t>N/A</t>
        </is>
      </c>
      <c r="J986" s="4" t="inlineStr">
        <is>
          <t>N/A</t>
        </is>
      </c>
      <c r="K986" s="4" t="n"/>
      <c r="L986" s="4" t="inlineStr">
        <is>
          <t>0/25</t>
        </is>
      </c>
      <c r="M986" s="9" t="inlineStr">
        <is>
          <t>Submission 1111956828</t>
        </is>
      </c>
      <c r="N986" s="4" t="inlineStr">
        <is>
          <t>No</t>
        </is>
      </c>
    </row>
    <row r="987">
      <c r="A987" s="11" t="n">
        <v>45264.48217592593</v>
      </c>
      <c r="B987" s="4" t="inlineStr">
        <is>
          <t>2023-12</t>
        </is>
      </c>
      <c r="C987" s="4" t="n">
        <v>339</v>
      </c>
      <c r="D987" s="9" t="inlineStr">
        <is>
          <t>Nested List Weight Sum</t>
        </is>
      </c>
      <c r="E987" s="4" t="inlineStr">
        <is>
          <t>Medium</t>
        </is>
      </c>
      <c r="F987" s="4" t="inlineStr">
        <is>
          <t>Binary Tree (DFS &amp; Recursion)</t>
        </is>
      </c>
      <c r="G987" s="4" t="inlineStr">
        <is>
          <t>Accepted</t>
        </is>
      </c>
      <c r="H987" s="4" t="inlineStr">
        <is>
          <t>Python3</t>
        </is>
      </c>
      <c r="I987" s="4" t="inlineStr">
        <is>
          <t>36 ms</t>
        </is>
      </c>
      <c r="J987" s="4" t="inlineStr">
        <is>
          <t>16.8 MB</t>
        </is>
      </c>
      <c r="K987" s="4" t="n">
        <v>0</v>
      </c>
      <c r="L987" s="4" t="inlineStr">
        <is>
          <t>25/25</t>
        </is>
      </c>
      <c r="M987" s="9" t="inlineStr">
        <is>
          <t>Submission 1111957079</t>
        </is>
      </c>
      <c r="N987" s="4" t="inlineStr">
        <is>
          <t>No</t>
        </is>
      </c>
    </row>
    <row r="988">
      <c r="A988" s="11" t="n">
        <v>45264.48668981482</v>
      </c>
      <c r="B988" s="4" t="inlineStr">
        <is>
          <t>2023-12</t>
        </is>
      </c>
      <c r="C988" s="4" t="n">
        <v>215</v>
      </c>
      <c r="D988" s="9" t="inlineStr">
        <is>
          <t>Kth Largest Element in an Array</t>
        </is>
      </c>
      <c r="E988" s="4" t="inlineStr">
        <is>
          <t>Medium</t>
        </is>
      </c>
      <c r="F988" s="4" t="inlineStr">
        <is>
          <t>Heap / Top-K</t>
        </is>
      </c>
      <c r="G988" s="4" t="inlineStr">
        <is>
          <t>Time Limit Exceeded</t>
        </is>
      </c>
      <c r="H988" s="4" t="inlineStr">
        <is>
          <t>Python3</t>
        </is>
      </c>
      <c r="I988" s="4" t="inlineStr">
        <is>
          <t>N/A</t>
        </is>
      </c>
      <c r="J988" s="4" t="inlineStr">
        <is>
          <t>N/A</t>
        </is>
      </c>
      <c r="K988" s="4" t="n"/>
      <c r="L988" s="4" t="inlineStr">
        <is>
          <t>40/41</t>
        </is>
      </c>
      <c r="M988" s="9" t="inlineStr">
        <is>
          <t>Submission 1111960771</t>
        </is>
      </c>
      <c r="N988" s="4" t="inlineStr">
        <is>
          <t>No</t>
        </is>
      </c>
    </row>
    <row r="989">
      <c r="A989" s="11" t="n">
        <v>45264.48875</v>
      </c>
      <c r="B989" s="4" t="inlineStr">
        <is>
          <t>2023-12</t>
        </is>
      </c>
      <c r="C989" s="4" t="n">
        <v>215</v>
      </c>
      <c r="D989" s="9" t="inlineStr">
        <is>
          <t>Kth Largest Element in an Array</t>
        </is>
      </c>
      <c r="E989" s="4" t="inlineStr">
        <is>
          <t>Medium</t>
        </is>
      </c>
      <c r="F989" s="4" t="inlineStr">
        <is>
          <t>Heap / Top-K</t>
        </is>
      </c>
      <c r="G989" s="4" t="inlineStr">
        <is>
          <t>Time Limit Exceeded</t>
        </is>
      </c>
      <c r="H989" s="4" t="inlineStr">
        <is>
          <t>Python3</t>
        </is>
      </c>
      <c r="I989" s="4" t="inlineStr">
        <is>
          <t>N/A</t>
        </is>
      </c>
      <c r="J989" s="4" t="inlineStr">
        <is>
          <t>N/A</t>
        </is>
      </c>
      <c r="K989" s="4" t="n"/>
      <c r="L989" s="4" t="inlineStr">
        <is>
          <t>40/41</t>
        </is>
      </c>
      <c r="M989" s="9" t="inlineStr">
        <is>
          <t>Submission 1111962412</t>
        </is>
      </c>
      <c r="N989" s="4" t="inlineStr">
        <is>
          <t>No</t>
        </is>
      </c>
    </row>
    <row r="990">
      <c r="A990" s="11" t="n">
        <v>45264.49502314815</v>
      </c>
      <c r="B990" s="4" t="inlineStr">
        <is>
          <t>2023-12</t>
        </is>
      </c>
      <c r="C990" s="4" t="n">
        <v>791</v>
      </c>
      <c r="D990" s="9" t="inlineStr">
        <is>
          <t>Custom Sort String</t>
        </is>
      </c>
      <c r="E990" s="4" t="inlineStr">
        <is>
          <t>Medium</t>
        </is>
      </c>
      <c r="F990" s="4" t="inlineStr">
        <is>
          <t>Arrays, Hashing &amp; Sorting</t>
        </is>
      </c>
      <c r="G990" s="4" t="inlineStr">
        <is>
          <t>Accepted</t>
        </is>
      </c>
      <c r="H990" s="4" t="inlineStr">
        <is>
          <t>Python3</t>
        </is>
      </c>
      <c r="I990" s="4" t="inlineStr">
        <is>
          <t>34 ms</t>
        </is>
      </c>
      <c r="J990" s="4" t="inlineStr">
        <is>
          <t>16.2 MB</t>
        </is>
      </c>
      <c r="K990" s="4" t="n">
        <v>0.8</v>
      </c>
      <c r="L990" s="4" t="inlineStr">
        <is>
          <t>39/39</t>
        </is>
      </c>
      <c r="M990" s="9" t="inlineStr">
        <is>
          <t>Submission 1111967531</t>
        </is>
      </c>
      <c r="N990" s="4" t="inlineStr">
        <is>
          <t>No</t>
        </is>
      </c>
    </row>
    <row r="991">
      <c r="A991" s="11" t="n">
        <v>45264.50067129629</v>
      </c>
      <c r="B991" s="4" t="inlineStr">
        <is>
          <t>2023-12</t>
        </is>
      </c>
      <c r="C991" s="4" t="n">
        <v>71</v>
      </c>
      <c r="D991" s="9" t="inlineStr">
        <is>
          <t>Simplify Path</t>
        </is>
      </c>
      <c r="E991" s="4" t="inlineStr">
        <is>
          <t>Medium</t>
        </is>
      </c>
      <c r="F991" s="4" t="inlineStr">
        <is>
          <t>Stack</t>
        </is>
      </c>
      <c r="G991" s="4" t="inlineStr">
        <is>
          <t>Accepted</t>
        </is>
      </c>
      <c r="H991" s="4" t="inlineStr">
        <is>
          <t>Python3</t>
        </is>
      </c>
      <c r="I991" s="4" t="inlineStr">
        <is>
          <t>44 ms</t>
        </is>
      </c>
      <c r="J991" s="4" t="inlineStr">
        <is>
          <t>16.4 MB</t>
        </is>
      </c>
      <c r="K991" s="4" t="n">
        <v>5.2</v>
      </c>
      <c r="L991" s="4" t="inlineStr">
        <is>
          <t>258/258</t>
        </is>
      </c>
      <c r="M991" s="9" t="inlineStr">
        <is>
          <t>Submission 1111972039</t>
        </is>
      </c>
      <c r="N991" s="4" t="inlineStr">
        <is>
          <t>No</t>
        </is>
      </c>
    </row>
    <row r="992">
      <c r="A992" s="11" t="n">
        <v>45264.50150462963</v>
      </c>
      <c r="B992" s="4" t="inlineStr">
        <is>
          <t>2023-12</t>
        </is>
      </c>
      <c r="C992" s="4" t="n">
        <v>71</v>
      </c>
      <c r="D992" s="9" t="inlineStr">
        <is>
          <t>Simplify Path</t>
        </is>
      </c>
      <c r="E992" s="4" t="inlineStr">
        <is>
          <t>Medium</t>
        </is>
      </c>
      <c r="F992" s="4" t="inlineStr">
        <is>
          <t>Stack</t>
        </is>
      </c>
      <c r="G992" s="4" t="inlineStr">
        <is>
          <t>Accepted</t>
        </is>
      </c>
      <c r="H992" s="4" t="inlineStr">
        <is>
          <t>Python3</t>
        </is>
      </c>
      <c r="I992" s="4" t="inlineStr">
        <is>
          <t>39 ms</t>
        </is>
      </c>
      <c r="J992" s="4" t="inlineStr">
        <is>
          <t>16.4 MB</t>
        </is>
      </c>
      <c r="K992" s="4" t="n">
        <v>5.2</v>
      </c>
      <c r="L992" s="4" t="inlineStr">
        <is>
          <t>258/258</t>
        </is>
      </c>
      <c r="M992" s="9" t="inlineStr">
        <is>
          <t>Submission 1111972681</t>
        </is>
      </c>
      <c r="N992" s="4" t="inlineStr">
        <is>
          <t>No</t>
        </is>
      </c>
    </row>
    <row r="993">
      <c r="A993" s="11" t="n">
        <v>45264.50259259259</v>
      </c>
      <c r="B993" s="4" t="inlineStr">
        <is>
          <t>2023-12</t>
        </is>
      </c>
      <c r="C993" s="4" t="n">
        <v>65</v>
      </c>
      <c r="D993" s="9" t="inlineStr">
        <is>
          <t>Valid Number</t>
        </is>
      </c>
      <c r="E993" s="4" t="inlineStr">
        <is>
          <t>Hard</t>
        </is>
      </c>
      <c r="F993" s="4" t="inlineStr">
        <is>
          <t>Strings &amp; Simulation</t>
        </is>
      </c>
      <c r="G993" s="4" t="inlineStr">
        <is>
          <t>Accepted</t>
        </is>
      </c>
      <c r="H993" s="4" t="inlineStr">
        <is>
          <t>Python3</t>
        </is>
      </c>
      <c r="I993" s="4" t="inlineStr">
        <is>
          <t>38 ms</t>
        </is>
      </c>
      <c r="J993" s="4" t="inlineStr">
        <is>
          <t>16.2 MB</t>
        </is>
      </c>
      <c r="K993" s="4" t="n">
        <v>3.8</v>
      </c>
      <c r="L993" s="4" t="inlineStr">
        <is>
          <t>1493/1493</t>
        </is>
      </c>
      <c r="M993" s="9" t="inlineStr">
        <is>
          <t>Submission 1111973554</t>
        </is>
      </c>
      <c r="N993" s="4" t="inlineStr">
        <is>
          <t>No</t>
        </is>
      </c>
    </row>
    <row r="994">
      <c r="A994" s="11" t="n">
        <v>45264.51155092593</v>
      </c>
      <c r="B994" s="4" t="inlineStr">
        <is>
          <t>2023-12</t>
        </is>
      </c>
      <c r="C994" s="4" t="n">
        <v>426</v>
      </c>
      <c r="D994" s="9" t="inlineStr">
        <is>
          <t>Convert Binary Search Tree to Sorted Doubly Linked List</t>
        </is>
      </c>
      <c r="E994" s="4" t="inlineStr">
        <is>
          <t>Medium</t>
        </is>
      </c>
      <c r="F994" s="4" t="inlineStr">
        <is>
          <t>Binary Search Tree</t>
        </is>
      </c>
      <c r="G994" s="4" t="inlineStr">
        <is>
          <t>Wrong Answer</t>
        </is>
      </c>
      <c r="H994" s="4" t="inlineStr">
        <is>
          <t>Python3</t>
        </is>
      </c>
      <c r="I994" s="4" t="inlineStr">
        <is>
          <t>N/A</t>
        </is>
      </c>
      <c r="J994" s="4" t="inlineStr">
        <is>
          <t>N/A</t>
        </is>
      </c>
      <c r="K994" s="4" t="n"/>
      <c r="L994" s="4" t="inlineStr">
        <is>
          <t>1/50</t>
        </is>
      </c>
      <c r="M994" s="9" t="inlineStr">
        <is>
          <t>Submission 1111980709</t>
        </is>
      </c>
      <c r="N994" s="4" t="inlineStr">
        <is>
          <t>No</t>
        </is>
      </c>
    </row>
    <row r="995">
      <c r="A995" s="11" t="n">
        <v>45264.51497685185</v>
      </c>
      <c r="B995" s="4" t="inlineStr">
        <is>
          <t>2023-12</t>
        </is>
      </c>
      <c r="C995" s="4" t="n">
        <v>938</v>
      </c>
      <c r="D995" s="9" t="inlineStr">
        <is>
          <t>Range Sum of BST</t>
        </is>
      </c>
      <c r="E995" s="4" t="inlineStr">
        <is>
          <t>Easy</t>
        </is>
      </c>
      <c r="F995" s="4" t="inlineStr">
        <is>
          <t>Binary Search Tree</t>
        </is>
      </c>
      <c r="G995" s="4" t="inlineStr">
        <is>
          <t>Accepted</t>
        </is>
      </c>
      <c r="H995" s="4" t="inlineStr">
        <is>
          <t>Python3</t>
        </is>
      </c>
      <c r="I995" s="4" t="inlineStr">
        <is>
          <t>197 ms</t>
        </is>
      </c>
      <c r="J995" s="4" t="inlineStr">
        <is>
          <t>25.2 MB</t>
        </is>
      </c>
      <c r="K995" s="4" t="n">
        <v>5.5</v>
      </c>
      <c r="L995" s="4" t="inlineStr">
        <is>
          <t>41/41</t>
        </is>
      </c>
      <c r="M995" s="9" t="inlineStr">
        <is>
          <t>Submission 1111983463</t>
        </is>
      </c>
      <c r="N995" s="4" t="inlineStr">
        <is>
          <t>Yes</t>
        </is>
      </c>
    </row>
    <row r="996">
      <c r="A996" s="11" t="n">
        <v>45264.51686342592</v>
      </c>
      <c r="B996" s="4" t="inlineStr">
        <is>
          <t>2023-12</t>
        </is>
      </c>
      <c r="C996" s="4" t="n">
        <v>938</v>
      </c>
      <c r="D996" s="9" t="inlineStr">
        <is>
          <t>Range Sum of BST</t>
        </is>
      </c>
      <c r="E996" s="4" t="inlineStr">
        <is>
          <t>Easy</t>
        </is>
      </c>
      <c r="F996" s="4" t="inlineStr">
        <is>
          <t>Binary Search Tree</t>
        </is>
      </c>
      <c r="G996" s="4" t="inlineStr">
        <is>
          <t>Accepted</t>
        </is>
      </c>
      <c r="H996" s="4" t="inlineStr">
        <is>
          <t>Python3</t>
        </is>
      </c>
      <c r="I996" s="4" t="inlineStr">
        <is>
          <t>147 ms</t>
        </is>
      </c>
      <c r="J996" s="4" t="inlineStr">
        <is>
          <t>25.2 MB</t>
        </is>
      </c>
      <c r="K996" s="4" t="n">
        <v>5.5</v>
      </c>
      <c r="L996" s="4" t="inlineStr">
        <is>
          <t>41/41</t>
        </is>
      </c>
      <c r="M996" s="9" t="inlineStr">
        <is>
          <t>Submission 1111984908</t>
        </is>
      </c>
      <c r="N996" s="4" t="inlineStr">
        <is>
          <t>Yes</t>
        </is>
      </c>
    </row>
    <row r="997">
      <c r="A997" s="11" t="n">
        <v>45264.51935185185</v>
      </c>
      <c r="B997" s="4" t="inlineStr">
        <is>
          <t>2023-12</t>
        </is>
      </c>
      <c r="C997" s="4" t="n">
        <v>938</v>
      </c>
      <c r="D997" s="9" t="inlineStr">
        <is>
          <t>Range Sum of BST</t>
        </is>
      </c>
      <c r="E997" s="4" t="inlineStr">
        <is>
          <t>Easy</t>
        </is>
      </c>
      <c r="F997" s="4" t="inlineStr">
        <is>
          <t>Binary Search Tree</t>
        </is>
      </c>
      <c r="G997" s="4" t="inlineStr">
        <is>
          <t>Accepted</t>
        </is>
      </c>
      <c r="H997" s="4" t="inlineStr">
        <is>
          <t>Python3</t>
        </is>
      </c>
      <c r="I997" s="4" t="inlineStr">
        <is>
          <t>160 ms</t>
        </is>
      </c>
      <c r="J997" s="4" t="inlineStr">
        <is>
          <t>25.1 MB</t>
        </is>
      </c>
      <c r="K997" s="4" t="n">
        <v>5.5</v>
      </c>
      <c r="L997" s="4" t="inlineStr">
        <is>
          <t>41/41</t>
        </is>
      </c>
      <c r="M997" s="9" t="inlineStr">
        <is>
          <t>Submission 1111986775</t>
        </is>
      </c>
      <c r="N997" s="4" t="inlineStr">
        <is>
          <t>Yes</t>
        </is>
      </c>
    </row>
    <row r="998">
      <c r="A998" s="11" t="n">
        <v>45264.51961805556</v>
      </c>
      <c r="B998" s="4" t="inlineStr">
        <is>
          <t>2023-12</t>
        </is>
      </c>
      <c r="C998" s="4" t="n">
        <v>938</v>
      </c>
      <c r="D998" s="9" t="inlineStr">
        <is>
          <t>Range Sum of BST</t>
        </is>
      </c>
      <c r="E998" s="4" t="inlineStr">
        <is>
          <t>Easy</t>
        </is>
      </c>
      <c r="F998" s="4" t="inlineStr">
        <is>
          <t>Binary Search Tree</t>
        </is>
      </c>
      <c r="G998" s="4" t="inlineStr">
        <is>
          <t>Accepted</t>
        </is>
      </c>
      <c r="H998" s="4" t="inlineStr">
        <is>
          <t>Python3</t>
        </is>
      </c>
      <c r="I998" s="4" t="inlineStr">
        <is>
          <t>165 ms</t>
        </is>
      </c>
      <c r="J998" s="4" t="inlineStr">
        <is>
          <t>25 MB</t>
        </is>
      </c>
      <c r="K998" s="4" t="n">
        <v>5.5</v>
      </c>
      <c r="L998" s="4" t="inlineStr">
        <is>
          <t>41/41</t>
        </is>
      </c>
      <c r="M998" s="9" t="inlineStr">
        <is>
          <t>Submission 1111986984</t>
        </is>
      </c>
      <c r="N998" s="4" t="inlineStr">
        <is>
          <t>Yes</t>
        </is>
      </c>
    </row>
    <row r="999">
      <c r="A999" s="11" t="n">
        <v>45264.53336805556</v>
      </c>
      <c r="B999" s="4" t="inlineStr">
        <is>
          <t>2023-12</t>
        </is>
      </c>
      <c r="C999" s="4" t="n">
        <v>691</v>
      </c>
      <c r="D999" s="9" t="inlineStr">
        <is>
          <t>Stickers to Spell Word</t>
        </is>
      </c>
      <c r="E999" s="4" t="inlineStr">
        <is>
          <t>Hard</t>
        </is>
      </c>
      <c r="F999" s="4" t="inlineStr">
        <is>
          <t>DP: Bitmask</t>
        </is>
      </c>
      <c r="G999" s="4" t="inlineStr">
        <is>
          <t>Wrong Answer</t>
        </is>
      </c>
      <c r="H999" s="4" t="inlineStr">
        <is>
          <t>Python3</t>
        </is>
      </c>
      <c r="I999" s="4" t="inlineStr">
        <is>
          <t>N/A</t>
        </is>
      </c>
      <c r="J999" s="4" t="inlineStr">
        <is>
          <t>N/A</t>
        </is>
      </c>
      <c r="K999" s="4" t="n"/>
      <c r="L999" s="4" t="inlineStr">
        <is>
          <t>100/101</t>
        </is>
      </c>
      <c r="M999" s="9" t="inlineStr">
        <is>
          <t>Submission 1111997465</t>
        </is>
      </c>
      <c r="N999" s="4" t="inlineStr">
        <is>
          <t>No</t>
        </is>
      </c>
    </row>
    <row r="1000">
      <c r="A1000" s="11" t="n">
        <v>45264.53451388889</v>
      </c>
      <c r="B1000" s="4" t="inlineStr">
        <is>
          <t>2023-12</t>
        </is>
      </c>
      <c r="C1000" s="4" t="n">
        <v>691</v>
      </c>
      <c r="D1000" s="9" t="inlineStr">
        <is>
          <t>Stickers to Spell Word</t>
        </is>
      </c>
      <c r="E1000" s="4" t="inlineStr">
        <is>
          <t>Hard</t>
        </is>
      </c>
      <c r="F1000" s="4" t="inlineStr">
        <is>
          <t>DP: Bitmask</t>
        </is>
      </c>
      <c r="G1000" s="4" t="inlineStr">
        <is>
          <t>Wrong Answer</t>
        </is>
      </c>
      <c r="H1000" s="4" t="inlineStr">
        <is>
          <t>Python3</t>
        </is>
      </c>
      <c r="I1000" s="4" t="inlineStr">
        <is>
          <t>N/A</t>
        </is>
      </c>
      <c r="J1000" s="4" t="inlineStr">
        <is>
          <t>N/A</t>
        </is>
      </c>
      <c r="K1000" s="4" t="n"/>
      <c r="L1000" s="4" t="inlineStr">
        <is>
          <t>100/101</t>
        </is>
      </c>
      <c r="M1000" s="9" t="inlineStr">
        <is>
          <t>Submission 1111998348</t>
        </is>
      </c>
      <c r="N1000" s="4" t="inlineStr">
        <is>
          <t>No</t>
        </is>
      </c>
    </row>
    <row r="1001">
      <c r="A1001" s="11" t="n">
        <v>45264.53731481481</v>
      </c>
      <c r="B1001" s="4" t="inlineStr">
        <is>
          <t>2023-12</t>
        </is>
      </c>
      <c r="C1001" s="4" t="n">
        <v>691</v>
      </c>
      <c r="D1001" s="9" t="inlineStr">
        <is>
          <t>Stickers to Spell Word</t>
        </is>
      </c>
      <c r="E1001" s="4" t="inlineStr">
        <is>
          <t>Hard</t>
        </is>
      </c>
      <c r="F1001" s="4" t="inlineStr">
        <is>
          <t>DP: Bitmask</t>
        </is>
      </c>
      <c r="G1001" s="4" t="inlineStr">
        <is>
          <t>Wrong Answer</t>
        </is>
      </c>
      <c r="H1001" s="4" t="inlineStr">
        <is>
          <t>Python3</t>
        </is>
      </c>
      <c r="I1001" s="4" t="inlineStr">
        <is>
          <t>N/A</t>
        </is>
      </c>
      <c r="J1001" s="4" t="inlineStr">
        <is>
          <t>N/A</t>
        </is>
      </c>
      <c r="K1001" s="4" t="n"/>
      <c r="L1001" s="4" t="inlineStr">
        <is>
          <t>100/101</t>
        </is>
      </c>
      <c r="M1001" s="9" t="inlineStr">
        <is>
          <t>Submission 1112000451</t>
        </is>
      </c>
      <c r="N1001" s="4" t="inlineStr">
        <is>
          <t>No</t>
        </is>
      </c>
    </row>
    <row r="1002">
      <c r="A1002" s="11" t="n">
        <v>45264.53863425926</v>
      </c>
      <c r="B1002" s="4" t="inlineStr">
        <is>
          <t>2023-12</t>
        </is>
      </c>
      <c r="C1002" s="4" t="n">
        <v>691</v>
      </c>
      <c r="D1002" s="9" t="inlineStr">
        <is>
          <t>Stickers to Spell Word</t>
        </is>
      </c>
      <c r="E1002" s="4" t="inlineStr">
        <is>
          <t>Hard</t>
        </is>
      </c>
      <c r="F1002" s="4" t="inlineStr">
        <is>
          <t>DP: Bitmask</t>
        </is>
      </c>
      <c r="G1002" s="4" t="inlineStr">
        <is>
          <t>Wrong Answer</t>
        </is>
      </c>
      <c r="H1002" s="4" t="inlineStr">
        <is>
          <t>Python3</t>
        </is>
      </c>
      <c r="I1002" s="4" t="inlineStr">
        <is>
          <t>N/A</t>
        </is>
      </c>
      <c r="J1002" s="4" t="inlineStr">
        <is>
          <t>N/A</t>
        </is>
      </c>
      <c r="K1002" s="4" t="n"/>
      <c r="L1002" s="4" t="inlineStr">
        <is>
          <t>100/101</t>
        </is>
      </c>
      <c r="M1002" s="9" t="inlineStr">
        <is>
          <t>Submission 1112001424</t>
        </is>
      </c>
      <c r="N1002" s="4" t="inlineStr">
        <is>
          <t>No</t>
        </is>
      </c>
    </row>
    <row r="1003">
      <c r="A1003" s="11" t="n">
        <v>45264.53913194445</v>
      </c>
      <c r="B1003" s="4" t="inlineStr">
        <is>
          <t>2023-12</t>
        </is>
      </c>
      <c r="C1003" s="4" t="n">
        <v>691</v>
      </c>
      <c r="D1003" s="9" t="inlineStr">
        <is>
          <t>Stickers to Spell Word</t>
        </is>
      </c>
      <c r="E1003" s="4" t="inlineStr">
        <is>
          <t>Hard</t>
        </is>
      </c>
      <c r="F1003" s="4" t="inlineStr">
        <is>
          <t>DP: Bitmask</t>
        </is>
      </c>
      <c r="G1003" s="4" t="inlineStr">
        <is>
          <t>Accepted</t>
        </is>
      </c>
      <c r="H1003" s="4" t="inlineStr">
        <is>
          <t>Python3</t>
        </is>
      </c>
      <c r="I1003" s="4" t="inlineStr">
        <is>
          <t>951 ms</t>
        </is>
      </c>
      <c r="J1003" s="4" t="inlineStr">
        <is>
          <t>17.5 MB</t>
        </is>
      </c>
      <c r="K1003" s="4" t="n">
        <v>31.3</v>
      </c>
      <c r="L1003" s="4" t="inlineStr">
        <is>
          <t>101/101</t>
        </is>
      </c>
      <c r="M1003" s="9" t="inlineStr">
        <is>
          <t>Submission 1112001777</t>
        </is>
      </c>
      <c r="N1003" s="4" t="inlineStr">
        <is>
          <t>No</t>
        </is>
      </c>
    </row>
    <row r="1004">
      <c r="A1004" s="11" t="n">
        <v>45264.53929398148</v>
      </c>
      <c r="B1004" s="4" t="inlineStr">
        <is>
          <t>2023-12</t>
        </is>
      </c>
      <c r="C1004" s="4" t="n">
        <v>691</v>
      </c>
      <c r="D1004" s="9" t="inlineStr">
        <is>
          <t>Stickers to Spell Word</t>
        </is>
      </c>
      <c r="E1004" s="4" t="inlineStr">
        <is>
          <t>Hard</t>
        </is>
      </c>
      <c r="F1004" s="4" t="inlineStr">
        <is>
          <t>DP: Bitmask</t>
        </is>
      </c>
      <c r="G1004" s="4" t="inlineStr">
        <is>
          <t>Accepted</t>
        </is>
      </c>
      <c r="H1004" s="4" t="inlineStr">
        <is>
          <t>Python3</t>
        </is>
      </c>
      <c r="I1004" s="4" t="inlineStr">
        <is>
          <t>931 ms</t>
        </is>
      </c>
      <c r="J1004" s="4" t="inlineStr">
        <is>
          <t>17.5 MB</t>
        </is>
      </c>
      <c r="K1004" s="4" t="n">
        <v>31.3</v>
      </c>
      <c r="L1004" s="4" t="inlineStr">
        <is>
          <t>101/101</t>
        </is>
      </c>
      <c r="M1004" s="9" t="inlineStr">
        <is>
          <t>Submission 1112001890</t>
        </is>
      </c>
      <c r="N1004" s="4" t="inlineStr">
        <is>
          <t>No</t>
        </is>
      </c>
    </row>
    <row r="1005">
      <c r="A1005" s="11" t="n">
        <v>45264.87502314815</v>
      </c>
      <c r="B1005" s="4" t="inlineStr">
        <is>
          <t>2023-12</t>
        </is>
      </c>
      <c r="C1005" s="4" t="n">
        <v>249</v>
      </c>
      <c r="D1005" s="9" t="inlineStr">
        <is>
          <t>Group Shifted Strings</t>
        </is>
      </c>
      <c r="E1005" s="4" t="inlineStr">
        <is>
          <t>Medium</t>
        </is>
      </c>
      <c r="F1005" s="4" t="inlineStr">
        <is>
          <t>Arrays, Hashing &amp; Sorting</t>
        </is>
      </c>
      <c r="G1005" s="4" t="inlineStr">
        <is>
          <t>Accepted</t>
        </is>
      </c>
      <c r="H1005" s="4" t="inlineStr">
        <is>
          <t>Python3</t>
        </is>
      </c>
      <c r="I1005" s="4" t="inlineStr">
        <is>
          <t>62 ms</t>
        </is>
      </c>
      <c r="J1005" s="4" t="inlineStr">
        <is>
          <t>16.5 MB</t>
        </is>
      </c>
      <c r="K1005" s="4" t="n">
        <v>4.6</v>
      </c>
      <c r="L1005" s="4" t="inlineStr">
        <is>
          <t>25/25</t>
        </is>
      </c>
      <c r="M1005" s="9" t="inlineStr">
        <is>
          <t>Submission 1112242328</t>
        </is>
      </c>
      <c r="N1005" s="4" t="inlineStr">
        <is>
          <t>No</t>
        </is>
      </c>
    </row>
    <row r="1006">
      <c r="A1006" s="11" t="n">
        <v>45264.88563657407</v>
      </c>
      <c r="B1006" s="4" t="inlineStr">
        <is>
          <t>2023-12</t>
        </is>
      </c>
      <c r="C1006" s="4" t="n">
        <v>236</v>
      </c>
      <c r="D1006" s="9" t="inlineStr">
        <is>
          <t>Lowest Common Ancestor of a Binary Tree</t>
        </is>
      </c>
      <c r="E1006" s="4" t="inlineStr">
        <is>
          <t>Medium</t>
        </is>
      </c>
      <c r="F1006" s="4" t="inlineStr">
        <is>
          <t>Binary Tree (DFS &amp; Recursion)</t>
        </is>
      </c>
      <c r="G1006" s="4" t="inlineStr">
        <is>
          <t>Runtime Error</t>
        </is>
      </c>
      <c r="H1006" s="4" t="inlineStr">
        <is>
          <t>Python3</t>
        </is>
      </c>
      <c r="I1006" s="4" t="inlineStr">
        <is>
          <t>N/A</t>
        </is>
      </c>
      <c r="J1006" s="4" t="inlineStr">
        <is>
          <t>N/A</t>
        </is>
      </c>
      <c r="K1006" s="4" t="n"/>
      <c r="L1006" s="4" t="inlineStr">
        <is>
          <t>0/32</t>
        </is>
      </c>
      <c r="M1006" s="9" t="inlineStr">
        <is>
          <t>Submission 1112251672</t>
        </is>
      </c>
      <c r="N1006" s="4" t="inlineStr">
        <is>
          <t>Yes</t>
        </is>
      </c>
    </row>
    <row r="1007">
      <c r="A1007" s="11" t="n">
        <v>45264.88885416667</v>
      </c>
      <c r="B1007" s="4" t="inlineStr">
        <is>
          <t>2023-12</t>
        </is>
      </c>
      <c r="C1007" s="4" t="n">
        <v>56</v>
      </c>
      <c r="D1007" s="9" t="inlineStr">
        <is>
          <t>Merge Intervals</t>
        </is>
      </c>
      <c r="E1007" s="4" t="inlineStr">
        <is>
          <t>Medium</t>
        </is>
      </c>
      <c r="F1007" s="4" t="inlineStr">
        <is>
          <t>Intervals &amp; Sweep Line</t>
        </is>
      </c>
      <c r="G1007" s="4" t="inlineStr">
        <is>
          <t>Accepted</t>
        </is>
      </c>
      <c r="H1007" s="4" t="inlineStr">
        <is>
          <t>Python3</t>
        </is>
      </c>
      <c r="I1007" s="4" t="inlineStr">
        <is>
          <t>112 ms</t>
        </is>
      </c>
      <c r="J1007" s="4" t="inlineStr">
        <is>
          <t>21.2 MB</t>
        </is>
      </c>
      <c r="K1007" s="4" t="n">
        <v>5</v>
      </c>
      <c r="L1007" s="4" t="inlineStr">
        <is>
          <t>170/170</t>
        </is>
      </c>
      <c r="M1007" s="9" t="inlineStr">
        <is>
          <t>Submission 1112254485</t>
        </is>
      </c>
      <c r="N1007" s="4" t="inlineStr">
        <is>
          <t>Yes</t>
        </is>
      </c>
    </row>
    <row r="1008">
      <c r="A1008" s="11" t="n">
        <v>45264.88901620371</v>
      </c>
      <c r="B1008" s="4" t="inlineStr">
        <is>
          <t>2023-12</t>
        </is>
      </c>
      <c r="C1008" s="4" t="n">
        <v>56</v>
      </c>
      <c r="D1008" s="9" t="inlineStr">
        <is>
          <t>Merge Intervals</t>
        </is>
      </c>
      <c r="E1008" s="4" t="inlineStr">
        <is>
          <t>Medium</t>
        </is>
      </c>
      <c r="F1008" s="4" t="inlineStr">
        <is>
          <t>Intervals &amp; Sweep Line</t>
        </is>
      </c>
      <c r="G1008" s="4" t="inlineStr">
        <is>
          <t>Accepted</t>
        </is>
      </c>
      <c r="H1008" s="4" t="inlineStr">
        <is>
          <t>Python3</t>
        </is>
      </c>
      <c r="I1008" s="4" t="inlineStr">
        <is>
          <t>135 ms</t>
        </is>
      </c>
      <c r="J1008" s="4" t="inlineStr">
        <is>
          <t>21.1 MB</t>
        </is>
      </c>
      <c r="K1008" s="4" t="n">
        <v>5</v>
      </c>
      <c r="L1008" s="4" t="inlineStr">
        <is>
          <t>170/170</t>
        </is>
      </c>
      <c r="M1008" s="9" t="inlineStr">
        <is>
          <t>Submission 1112254617</t>
        </is>
      </c>
      <c r="N1008" s="4" t="inlineStr">
        <is>
          <t>Yes</t>
        </is>
      </c>
    </row>
    <row r="1009">
      <c r="A1009" s="11" t="n">
        <v>45264.90105324074</v>
      </c>
      <c r="B1009" s="4" t="inlineStr">
        <is>
          <t>2023-12</t>
        </is>
      </c>
      <c r="C1009" s="4" t="n">
        <v>50</v>
      </c>
      <c r="D1009" s="9" t="inlineStr">
        <is>
          <t>Pow(x, n)</t>
        </is>
      </c>
      <c r="E1009" s="4" t="inlineStr">
        <is>
          <t>Medium</t>
        </is>
      </c>
      <c r="F1009" s="4" t="inlineStr">
        <is>
          <t>Math &amp; Bit Manipulation</t>
        </is>
      </c>
      <c r="G1009" s="4" t="inlineStr">
        <is>
          <t>Accepted</t>
        </is>
      </c>
      <c r="H1009" s="4" t="inlineStr">
        <is>
          <t>Python3</t>
        </is>
      </c>
      <c r="I1009" s="4" t="inlineStr">
        <is>
          <t>46 ms</t>
        </is>
      </c>
      <c r="J1009" s="4" t="inlineStr">
        <is>
          <t>16.3 MB</t>
        </is>
      </c>
      <c r="K1009" s="4" t="n">
        <v>0.6</v>
      </c>
      <c r="L1009" s="4" t="inlineStr">
        <is>
          <t>306/306</t>
        </is>
      </c>
      <c r="M1009" s="9" t="inlineStr">
        <is>
          <t>Submission 1112265657</t>
        </is>
      </c>
      <c r="N1009" s="4" t="inlineStr">
        <is>
          <t>Yes</t>
        </is>
      </c>
    </row>
    <row r="1010">
      <c r="A1010" s="11" t="n">
        <v>45264.90706018519</v>
      </c>
      <c r="B1010" s="4" t="inlineStr">
        <is>
          <t>2023-12</t>
        </is>
      </c>
      <c r="C1010" s="4" t="n">
        <v>50</v>
      </c>
      <c r="D1010" s="9" t="inlineStr">
        <is>
          <t>Pow(x, n)</t>
        </is>
      </c>
      <c r="E1010" s="4" t="inlineStr">
        <is>
          <t>Medium</t>
        </is>
      </c>
      <c r="F1010" s="4" t="inlineStr">
        <is>
          <t>Math &amp; Bit Manipulation</t>
        </is>
      </c>
      <c r="G1010" s="4" t="inlineStr">
        <is>
          <t>Accepted</t>
        </is>
      </c>
      <c r="H1010" s="4" t="inlineStr">
        <is>
          <t>Python3</t>
        </is>
      </c>
      <c r="I1010" s="4" t="inlineStr">
        <is>
          <t>42 ms</t>
        </is>
      </c>
      <c r="J1010" s="4" t="inlineStr">
        <is>
          <t>16.5 MB</t>
        </is>
      </c>
      <c r="K1010" s="4" t="n">
        <v>0.6</v>
      </c>
      <c r="L1010" s="4" t="inlineStr">
        <is>
          <t>306/306</t>
        </is>
      </c>
      <c r="M1010" s="9" t="inlineStr">
        <is>
          <t>Submission 1112271277</t>
        </is>
      </c>
      <c r="N1010" s="4" t="inlineStr">
        <is>
          <t>Yes</t>
        </is>
      </c>
    </row>
    <row r="1011">
      <c r="A1011" s="11" t="n">
        <v>45264.90725694445</v>
      </c>
      <c r="B1011" s="4" t="inlineStr">
        <is>
          <t>2023-12</t>
        </is>
      </c>
      <c r="C1011" s="4" t="n">
        <v>50</v>
      </c>
      <c r="D1011" s="9" t="inlineStr">
        <is>
          <t>Pow(x, n)</t>
        </is>
      </c>
      <c r="E1011" s="4" t="inlineStr">
        <is>
          <t>Medium</t>
        </is>
      </c>
      <c r="F1011" s="4" t="inlineStr">
        <is>
          <t>Math &amp; Bit Manipulation</t>
        </is>
      </c>
      <c r="G1011" s="4" t="inlineStr">
        <is>
          <t>Accepted</t>
        </is>
      </c>
      <c r="H1011" s="4" t="inlineStr">
        <is>
          <t>Python3</t>
        </is>
      </c>
      <c r="I1011" s="4" t="inlineStr">
        <is>
          <t>39 ms</t>
        </is>
      </c>
      <c r="J1011" s="4" t="inlineStr">
        <is>
          <t>16.4 MB</t>
        </is>
      </c>
      <c r="K1011" s="4" t="n">
        <v>0.6</v>
      </c>
      <c r="L1011" s="4" t="inlineStr">
        <is>
          <t>306/306</t>
        </is>
      </c>
      <c r="M1011" s="9" t="inlineStr">
        <is>
          <t>Submission 1112271484</t>
        </is>
      </c>
      <c r="N1011" s="4" t="inlineStr">
        <is>
          <t>Yes</t>
        </is>
      </c>
    </row>
    <row r="1012">
      <c r="A1012" s="11" t="n">
        <v>45264.91695601852</v>
      </c>
      <c r="B1012" s="4" t="inlineStr">
        <is>
          <t>2023-12</t>
        </is>
      </c>
      <c r="C1012" s="4" t="n">
        <v>1091</v>
      </c>
      <c r="D1012" s="9" t="inlineStr">
        <is>
          <t>Shortest Path in Binary Matrix</t>
        </is>
      </c>
      <c r="E1012" s="4" t="inlineStr">
        <is>
          <t>Medium</t>
        </is>
      </c>
      <c r="F1012" s="4" t="inlineStr">
        <is>
          <t>Graph: Shortest Path</t>
        </is>
      </c>
      <c r="G1012" s="4" t="inlineStr">
        <is>
          <t>Accepted</t>
        </is>
      </c>
      <c r="H1012" s="4" t="inlineStr">
        <is>
          <t>Python3</t>
        </is>
      </c>
      <c r="I1012" s="4" t="inlineStr">
        <is>
          <t>565 ms</t>
        </is>
      </c>
      <c r="J1012" s="4" t="inlineStr">
        <is>
          <t>18 MB</t>
        </is>
      </c>
      <c r="K1012" s="4" t="n">
        <v>5.1</v>
      </c>
      <c r="L1012" s="4" t="inlineStr">
        <is>
          <t>90/90</t>
        </is>
      </c>
      <c r="M1012" s="9" t="inlineStr">
        <is>
          <t>Submission 1112280515</t>
        </is>
      </c>
      <c r="N1012" s="4" t="inlineStr">
        <is>
          <t>Yes</t>
        </is>
      </c>
    </row>
    <row r="1013">
      <c r="A1013" s="11" t="n">
        <v>45264.93899305556</v>
      </c>
      <c r="B1013" s="4" t="inlineStr">
        <is>
          <t>2023-12</t>
        </is>
      </c>
      <c r="C1013" s="4" t="n">
        <v>973</v>
      </c>
      <c r="D1013" s="9" t="inlineStr">
        <is>
          <t>K Closest Points to Origin</t>
        </is>
      </c>
      <c r="E1013" s="4" t="inlineStr">
        <is>
          <t>Medium</t>
        </is>
      </c>
      <c r="F1013" s="4" t="inlineStr">
        <is>
          <t>Heap / Top-K</t>
        </is>
      </c>
      <c r="G1013" s="4" t="inlineStr">
        <is>
          <t>Accepted</t>
        </is>
      </c>
      <c r="H1013" s="4" t="inlineStr">
        <is>
          <t>Python3</t>
        </is>
      </c>
      <c r="I1013" s="4" t="inlineStr">
        <is>
          <t>699 ms</t>
        </is>
      </c>
      <c r="J1013" s="4" t="inlineStr">
        <is>
          <t>22.3 MB</t>
        </is>
      </c>
      <c r="K1013" s="4" t="n">
        <v>5</v>
      </c>
      <c r="L1013" s="4" t="inlineStr">
        <is>
          <t>87/87</t>
        </is>
      </c>
      <c r="M1013" s="9" t="inlineStr">
        <is>
          <t>Submission 1112301809</t>
        </is>
      </c>
      <c r="N1013" s="4" t="inlineStr">
        <is>
          <t>Yes</t>
        </is>
      </c>
    </row>
    <row r="1014">
      <c r="A1014" s="11" t="n">
        <v>45264.99543981482</v>
      </c>
      <c r="B1014" s="4" t="inlineStr">
        <is>
          <t>2023-12</t>
        </is>
      </c>
      <c r="C1014" s="4" t="n">
        <v>129</v>
      </c>
      <c r="D1014" s="9" t="inlineStr">
        <is>
          <t>Sum Root to Leaf Numbers</t>
        </is>
      </c>
      <c r="E1014" s="4" t="inlineStr">
        <is>
          <t>Medium</t>
        </is>
      </c>
      <c r="F1014" s="4" t="inlineStr">
        <is>
          <t>Binary Tree (DFS &amp; Recursion)</t>
        </is>
      </c>
      <c r="G1014" s="4" t="inlineStr">
        <is>
          <t>Accepted</t>
        </is>
      </c>
      <c r="H1014" s="4" t="inlineStr">
        <is>
          <t>Python3</t>
        </is>
      </c>
      <c r="I1014" s="4" t="inlineStr">
        <is>
          <t>41 ms</t>
        </is>
      </c>
      <c r="J1014" s="4" t="inlineStr">
        <is>
          <t>16.3 MB</t>
        </is>
      </c>
      <c r="K1014" s="4" t="n">
        <v>0.2</v>
      </c>
      <c r="L1014" s="4" t="inlineStr">
        <is>
          <t>108/108</t>
        </is>
      </c>
      <c r="M1014" s="9" t="inlineStr">
        <is>
          <t>Submission 1112356748</t>
        </is>
      </c>
      <c r="N1014" s="4" t="inlineStr">
        <is>
          <t>Yes</t>
        </is>
      </c>
    </row>
    <row r="1015">
      <c r="A1015" s="11" t="n">
        <v>45265.00828703704</v>
      </c>
      <c r="B1015" s="4" t="inlineStr">
        <is>
          <t>2023-12</t>
        </is>
      </c>
      <c r="C1015" s="4" t="n">
        <v>138</v>
      </c>
      <c r="D1015" s="9" t="inlineStr">
        <is>
          <t>Copy List with Random Pointer</t>
        </is>
      </c>
      <c r="E1015" s="4" t="inlineStr">
        <is>
          <t>Medium</t>
        </is>
      </c>
      <c r="F1015" s="4" t="inlineStr">
        <is>
          <t>Linked List</t>
        </is>
      </c>
      <c r="G1015" s="4" t="inlineStr">
        <is>
          <t>Accepted</t>
        </is>
      </c>
      <c r="H1015" s="4" t="inlineStr">
        <is>
          <t>Python3</t>
        </is>
      </c>
      <c r="I1015" s="4" t="inlineStr">
        <is>
          <t>42 ms</t>
        </is>
      </c>
      <c r="J1015" s="4" t="inlineStr">
        <is>
          <t>17.4 MB</t>
        </is>
      </c>
      <c r="K1015" s="4" t="n">
        <v>88.2</v>
      </c>
      <c r="L1015" s="4" t="inlineStr">
        <is>
          <t>19/19</t>
        </is>
      </c>
      <c r="M1015" s="9" t="inlineStr">
        <is>
          <t>Submission 1112368671</t>
        </is>
      </c>
      <c r="N1015" s="4" t="inlineStr">
        <is>
          <t>Yes</t>
        </is>
      </c>
    </row>
    <row r="1016">
      <c r="A1016" s="11" t="n">
        <v>45265.0125462963</v>
      </c>
      <c r="B1016" s="4" t="inlineStr">
        <is>
          <t>2023-12</t>
        </is>
      </c>
      <c r="C1016" s="4" t="n">
        <v>766</v>
      </c>
      <c r="D1016" s="9" t="inlineStr">
        <is>
          <t>Toeplitz Matrix</t>
        </is>
      </c>
      <c r="E1016" s="4" t="inlineStr">
        <is>
          <t>Easy</t>
        </is>
      </c>
      <c r="F1016" s="4" t="inlineStr">
        <is>
          <t>Strings &amp; Simulation</t>
        </is>
      </c>
      <c r="G1016" s="4" t="inlineStr">
        <is>
          <t>Accepted</t>
        </is>
      </c>
      <c r="H1016" s="4" t="inlineStr">
        <is>
          <t>Python3</t>
        </is>
      </c>
      <c r="I1016" s="4" t="inlineStr">
        <is>
          <t>94 ms</t>
        </is>
      </c>
      <c r="J1016" s="4" t="inlineStr">
        <is>
          <t>16.3 MB</t>
        </is>
      </c>
      <c r="K1016" s="4" t="n">
        <v>4.7</v>
      </c>
      <c r="L1016" s="4" t="inlineStr">
        <is>
          <t>483/483</t>
        </is>
      </c>
      <c r="M1016" s="9" t="inlineStr">
        <is>
          <t>Submission 1112372456</t>
        </is>
      </c>
      <c r="N1016" s="4" t="inlineStr">
        <is>
          <t>No</t>
        </is>
      </c>
    </row>
    <row r="1017">
      <c r="A1017" s="11" t="n">
        <v>45265.02122685185</v>
      </c>
      <c r="B1017" s="4" t="inlineStr">
        <is>
          <t>2023-12</t>
        </is>
      </c>
      <c r="C1017" s="4" t="n">
        <v>560</v>
      </c>
      <c r="D1017" s="9" t="inlineStr">
        <is>
          <t>Subarray Sum Equals K</t>
        </is>
      </c>
      <c r="E1017" s="4" t="inlineStr">
        <is>
          <t>Medium</t>
        </is>
      </c>
      <c r="F1017" s="4" t="inlineStr">
        <is>
          <t>Prefix Sum &amp; Difference Array</t>
        </is>
      </c>
      <c r="G1017" s="4" t="inlineStr">
        <is>
          <t>Accepted</t>
        </is>
      </c>
      <c r="H1017" s="4" t="inlineStr">
        <is>
          <t>Python3</t>
        </is>
      </c>
      <c r="I1017" s="4" t="inlineStr">
        <is>
          <t>282 ms</t>
        </is>
      </c>
      <c r="J1017" s="4" t="inlineStr">
        <is>
          <t>19 MB</t>
        </is>
      </c>
      <c r="K1017" s="4" t="n">
        <v>5.9</v>
      </c>
      <c r="L1017" s="4" t="inlineStr">
        <is>
          <t>93/93</t>
        </is>
      </c>
      <c r="M1017" s="9" t="inlineStr">
        <is>
          <t>Submission 1112379899</t>
        </is>
      </c>
      <c r="N1017" s="4" t="inlineStr">
        <is>
          <t>Yes</t>
        </is>
      </c>
    </row>
    <row r="1018">
      <c r="A1018" s="11" t="n">
        <v>45265.02819444444</v>
      </c>
      <c r="B1018" s="4" t="inlineStr">
        <is>
          <t>2023-12</t>
        </is>
      </c>
      <c r="C1018" s="4" t="n">
        <v>199</v>
      </c>
      <c r="D1018" s="9" t="inlineStr">
        <is>
          <t>Binary Tree Right Side View</t>
        </is>
      </c>
      <c r="E1018" s="4" t="inlineStr">
        <is>
          <t>Medium</t>
        </is>
      </c>
      <c r="F1018" s="4" t="inlineStr">
        <is>
          <t>Binary Tree (BFS / Level Order)</t>
        </is>
      </c>
      <c r="G1018" s="4" t="inlineStr">
        <is>
          <t>Accepted</t>
        </is>
      </c>
      <c r="H1018" s="4" t="inlineStr">
        <is>
          <t>Python3</t>
        </is>
      </c>
      <c r="I1018" s="4" t="inlineStr">
        <is>
          <t>44 ms</t>
        </is>
      </c>
      <c r="J1018" s="4" t="inlineStr">
        <is>
          <t>16.4 MB</t>
        </is>
      </c>
      <c r="K1018" s="4" t="n">
        <v>0.5</v>
      </c>
      <c r="L1018" s="4" t="inlineStr">
        <is>
          <t>216/216</t>
        </is>
      </c>
      <c r="M1018" s="9" t="inlineStr">
        <is>
          <t>Submission 1112385693</t>
        </is>
      </c>
      <c r="N1018" s="4" t="inlineStr">
        <is>
          <t>No</t>
        </is>
      </c>
    </row>
    <row r="1019">
      <c r="A1019" s="11" t="n">
        <v>45265.02907407407</v>
      </c>
      <c r="B1019" s="4" t="inlineStr">
        <is>
          <t>2023-12</t>
        </is>
      </c>
      <c r="C1019" s="4" t="n">
        <v>921</v>
      </c>
      <c r="D1019" s="9" t="inlineStr">
        <is>
          <t>Minimum Add to Make Parentheses Valid</t>
        </is>
      </c>
      <c r="E1019" s="4" t="inlineStr">
        <is>
          <t>Medium</t>
        </is>
      </c>
      <c r="F1019" s="4" t="inlineStr">
        <is>
          <t>Greedy</t>
        </is>
      </c>
      <c r="G1019" s="4" t="inlineStr">
        <is>
          <t>Accepted</t>
        </is>
      </c>
      <c r="H1019" s="4" t="inlineStr">
        <is>
          <t>Python3</t>
        </is>
      </c>
      <c r="I1019" s="4" t="inlineStr">
        <is>
          <t>49 ms</t>
        </is>
      </c>
      <c r="J1019" s="4" t="inlineStr">
        <is>
          <t>16.3 MB</t>
        </is>
      </c>
      <c r="K1019" s="4" t="n">
        <v>0.6</v>
      </c>
      <c r="L1019" s="4" t="inlineStr">
        <is>
          <t>115/115</t>
        </is>
      </c>
      <c r="M1019" s="9" t="inlineStr">
        <is>
          <t>Submission 1112386349</t>
        </is>
      </c>
      <c r="N1019" s="4" t="inlineStr">
        <is>
          <t>No</t>
        </is>
      </c>
    </row>
    <row r="1020">
      <c r="A1020" s="11" t="n">
        <v>45265.02975694444</v>
      </c>
      <c r="B1020" s="4" t="inlineStr">
        <is>
          <t>2023-12</t>
        </is>
      </c>
      <c r="C1020" s="4" t="n">
        <v>921</v>
      </c>
      <c r="D1020" s="9" t="inlineStr">
        <is>
          <t>Minimum Add to Make Parentheses Valid</t>
        </is>
      </c>
      <c r="E1020" s="4" t="inlineStr">
        <is>
          <t>Medium</t>
        </is>
      </c>
      <c r="F1020" s="4" t="inlineStr">
        <is>
          <t>Greedy</t>
        </is>
      </c>
      <c r="G1020" s="4" t="inlineStr">
        <is>
          <t>Accepted</t>
        </is>
      </c>
      <c r="H1020" s="4" t="inlineStr">
        <is>
          <t>Python3</t>
        </is>
      </c>
      <c r="I1020" s="4" t="inlineStr">
        <is>
          <t>46 ms</t>
        </is>
      </c>
      <c r="J1020" s="4" t="inlineStr">
        <is>
          <t>16.2 MB</t>
        </is>
      </c>
      <c r="K1020" s="4" t="n">
        <v>0.6</v>
      </c>
      <c r="L1020" s="4" t="inlineStr">
        <is>
          <t>115/115</t>
        </is>
      </c>
      <c r="M1020" s="9" t="inlineStr">
        <is>
          <t>Submission 1112386888</t>
        </is>
      </c>
      <c r="N1020" s="4" t="inlineStr">
        <is>
          <t>No</t>
        </is>
      </c>
    </row>
    <row r="1021">
      <c r="A1021" s="11" t="n">
        <v>45265.03413194444</v>
      </c>
      <c r="B1021" s="4" t="inlineStr">
        <is>
          <t>2023-12</t>
        </is>
      </c>
      <c r="C1021" s="4" t="n">
        <v>162</v>
      </c>
      <c r="D1021" s="9" t="inlineStr">
        <is>
          <t>Find Peak Element</t>
        </is>
      </c>
      <c r="E1021" s="4" t="inlineStr">
        <is>
          <t>Medium</t>
        </is>
      </c>
      <c r="F1021" s="4" t="inlineStr">
        <is>
          <t>Binary Search</t>
        </is>
      </c>
      <c r="G1021" s="4" t="inlineStr">
        <is>
          <t>Accepted</t>
        </is>
      </c>
      <c r="H1021" s="4" t="inlineStr">
        <is>
          <t>Python3</t>
        </is>
      </c>
      <c r="I1021" s="4" t="inlineStr">
        <is>
          <t>43 ms</t>
        </is>
      </c>
      <c r="J1021" s="4" t="inlineStr">
        <is>
          <t>16.4 MB</t>
        </is>
      </c>
      <c r="K1021" s="4" t="n">
        <v>0.3</v>
      </c>
      <c r="L1021" s="4" t="inlineStr">
        <is>
          <t>66/66</t>
        </is>
      </c>
      <c r="M1021" s="9" t="inlineStr">
        <is>
          <t>Submission 1112390472</t>
        </is>
      </c>
      <c r="N1021" s="4" t="inlineStr">
        <is>
          <t>Yes</t>
        </is>
      </c>
    </row>
    <row r="1022">
      <c r="A1022" s="11" t="n">
        <v>45265.10082175926</v>
      </c>
      <c r="B1022" s="4" t="inlineStr">
        <is>
          <t>2023-12</t>
        </is>
      </c>
      <c r="C1022" s="4" t="n">
        <v>498</v>
      </c>
      <c r="D1022" s="9" t="inlineStr">
        <is>
          <t>Diagonal Traverse</t>
        </is>
      </c>
      <c r="E1022" s="4" t="inlineStr">
        <is>
          <t>Medium</t>
        </is>
      </c>
      <c r="F1022" s="4" t="inlineStr">
        <is>
          <t>Strings &amp; Simulation</t>
        </is>
      </c>
      <c r="G1022" s="4" t="inlineStr">
        <is>
          <t>Accepted</t>
        </is>
      </c>
      <c r="H1022" s="4" t="inlineStr">
        <is>
          <t>Python3</t>
        </is>
      </c>
      <c r="I1022" s="4" t="inlineStr">
        <is>
          <t>166 ms</t>
        </is>
      </c>
      <c r="J1022" s="4" t="inlineStr">
        <is>
          <t>20.1 MB</t>
        </is>
      </c>
      <c r="K1022" s="4" t="n">
        <v>8.4</v>
      </c>
      <c r="L1022" s="4" t="inlineStr">
        <is>
          <t>32/32</t>
        </is>
      </c>
      <c r="M1022" s="9" t="inlineStr">
        <is>
          <t>Submission 1112438365</t>
        </is>
      </c>
      <c r="N1022" s="4" t="inlineStr">
        <is>
          <t>No</t>
        </is>
      </c>
    </row>
    <row r="1023">
      <c r="A1023" s="11" t="n">
        <v>45265.10285879629</v>
      </c>
      <c r="B1023" s="4" t="inlineStr">
        <is>
          <t>2023-12</t>
        </is>
      </c>
      <c r="C1023" s="4" t="n">
        <v>415</v>
      </c>
      <c r="D1023" s="9" t="inlineStr">
        <is>
          <t>Add Strings</t>
        </is>
      </c>
      <c r="E1023" s="4" t="inlineStr">
        <is>
          <t>Easy</t>
        </is>
      </c>
      <c r="F1023" s="4" t="inlineStr">
        <is>
          <t>Strings &amp; Simulation</t>
        </is>
      </c>
      <c r="G1023" s="4" t="inlineStr">
        <is>
          <t>Runtime Error</t>
        </is>
      </c>
      <c r="H1023" s="4" t="inlineStr">
        <is>
          <t>Python3</t>
        </is>
      </c>
      <c r="I1023" s="4" t="inlineStr">
        <is>
          <t>N/A</t>
        </is>
      </c>
      <c r="J1023" s="4" t="inlineStr">
        <is>
          <t>N/A</t>
        </is>
      </c>
      <c r="K1023" s="4" t="n"/>
      <c r="L1023" s="4" t="inlineStr">
        <is>
          <t>0/317</t>
        </is>
      </c>
      <c r="M1023" s="9" t="inlineStr">
        <is>
          <t>Submission 1112439668</t>
        </is>
      </c>
      <c r="N1023" s="4" t="inlineStr">
        <is>
          <t>No</t>
        </is>
      </c>
    </row>
    <row r="1024">
      <c r="A1024" s="11" t="n">
        <v>45265.10295138889</v>
      </c>
      <c r="B1024" s="4" t="inlineStr">
        <is>
          <t>2023-12</t>
        </is>
      </c>
      <c r="C1024" s="4" t="n">
        <v>415</v>
      </c>
      <c r="D1024" s="9" t="inlineStr">
        <is>
          <t>Add Strings</t>
        </is>
      </c>
      <c r="E1024" s="4" t="inlineStr">
        <is>
          <t>Easy</t>
        </is>
      </c>
      <c r="F1024" s="4" t="inlineStr">
        <is>
          <t>Strings &amp; Simulation</t>
        </is>
      </c>
      <c r="G1024" s="4" t="inlineStr">
        <is>
          <t>Runtime Error</t>
        </is>
      </c>
      <c r="H1024" s="4" t="inlineStr">
        <is>
          <t>Python3</t>
        </is>
      </c>
      <c r="I1024" s="4" t="inlineStr">
        <is>
          <t>N/A</t>
        </is>
      </c>
      <c r="J1024" s="4" t="inlineStr">
        <is>
          <t>N/A</t>
        </is>
      </c>
      <c r="K1024" s="4" t="n"/>
      <c r="L1024" s="4" t="inlineStr">
        <is>
          <t>6/317</t>
        </is>
      </c>
      <c r="M1024" s="9" t="inlineStr">
        <is>
          <t>Submission 1112439723</t>
        </is>
      </c>
      <c r="N1024" s="4" t="inlineStr">
        <is>
          <t>No</t>
        </is>
      </c>
    </row>
    <row r="1025">
      <c r="A1025" s="11" t="n">
        <v>45265.10305555556</v>
      </c>
      <c r="B1025" s="4" t="inlineStr">
        <is>
          <t>2023-12</t>
        </is>
      </c>
      <c r="C1025" s="4" t="n">
        <v>415</v>
      </c>
      <c r="D1025" s="9" t="inlineStr">
        <is>
          <t>Add Strings</t>
        </is>
      </c>
      <c r="E1025" s="4" t="inlineStr">
        <is>
          <t>Easy</t>
        </is>
      </c>
      <c r="F1025" s="4" t="inlineStr">
        <is>
          <t>Strings &amp; Simulation</t>
        </is>
      </c>
      <c r="G1025" s="4" t="inlineStr">
        <is>
          <t>Accepted</t>
        </is>
      </c>
      <c r="H1025" s="4" t="inlineStr">
        <is>
          <t>Python3</t>
        </is>
      </c>
      <c r="I1025" s="4" t="inlineStr">
        <is>
          <t>67 ms</t>
        </is>
      </c>
      <c r="J1025" s="4" t="inlineStr">
        <is>
          <t>17.1 MB</t>
        </is>
      </c>
      <c r="K1025" s="4" t="n">
        <v>8.300000000000001</v>
      </c>
      <c r="L1025" s="4" t="inlineStr">
        <is>
          <t>317/317</t>
        </is>
      </c>
      <c r="M1025" s="9" t="inlineStr">
        <is>
          <t>Submission 1112439779</t>
        </is>
      </c>
      <c r="N1025" s="4" t="inlineStr">
        <is>
          <t>No</t>
        </is>
      </c>
    </row>
    <row r="1026">
      <c r="A1026" s="11" t="n">
        <v>45265.10940972222</v>
      </c>
      <c r="B1026" s="4" t="inlineStr">
        <is>
          <t>2023-12</t>
        </is>
      </c>
      <c r="C1026" s="4" t="n">
        <v>283</v>
      </c>
      <c r="D1026" s="9" t="inlineStr">
        <is>
          <t>Move Zeroes</t>
        </is>
      </c>
      <c r="E1026" s="4" t="inlineStr">
        <is>
          <t>Easy</t>
        </is>
      </c>
      <c r="F1026" s="4" t="inlineStr">
        <is>
          <t>Two Pointers</t>
        </is>
      </c>
      <c r="G1026" s="4" t="inlineStr">
        <is>
          <t>Accepted</t>
        </is>
      </c>
      <c r="H1026" s="4" t="inlineStr">
        <is>
          <t>Python3</t>
        </is>
      </c>
      <c r="I1026" s="4" t="inlineStr">
        <is>
          <t>146 ms</t>
        </is>
      </c>
      <c r="J1026" s="4" t="inlineStr">
        <is>
          <t>18 MB</t>
        </is>
      </c>
      <c r="K1026" s="4" t="n">
        <v>9.199999999999999</v>
      </c>
      <c r="L1026" s="4" t="inlineStr">
        <is>
          <t>74/74</t>
        </is>
      </c>
      <c r="M1026" s="9" t="inlineStr">
        <is>
          <t>Submission 1112443699</t>
        </is>
      </c>
      <c r="N1026" s="4" t="inlineStr">
        <is>
          <t>No</t>
        </is>
      </c>
    </row>
    <row r="1027">
      <c r="A1027" s="11" t="n">
        <v>45265.125625</v>
      </c>
      <c r="B1027" s="4" t="inlineStr">
        <is>
          <t>2023-12</t>
        </is>
      </c>
      <c r="C1027" s="4" t="n">
        <v>346</v>
      </c>
      <c r="D1027" s="9" t="inlineStr">
        <is>
          <t>Moving Average from Data Stream</t>
        </is>
      </c>
      <c r="E1027" s="4" t="inlineStr">
        <is>
          <t>Easy</t>
        </is>
      </c>
      <c r="F1027" s="4" t="inlineStr">
        <is>
          <t>Design</t>
        </is>
      </c>
      <c r="G1027" s="4" t="inlineStr">
        <is>
          <t>Accepted</t>
        </is>
      </c>
      <c r="H1027" s="4" t="inlineStr">
        <is>
          <t>Python3</t>
        </is>
      </c>
      <c r="I1027" s="4" t="inlineStr">
        <is>
          <t>66 ms</t>
        </is>
      </c>
      <c r="J1027" s="4" t="inlineStr">
        <is>
          <t>19.5 MB</t>
        </is>
      </c>
      <c r="K1027" s="4" t="n">
        <v>5.2</v>
      </c>
      <c r="L1027" s="4" t="inlineStr">
        <is>
          <t>11/11</t>
        </is>
      </c>
      <c r="M1027" s="9" t="inlineStr">
        <is>
          <t>Submission 1112453515</t>
        </is>
      </c>
      <c r="N1027" s="4" t="inlineStr">
        <is>
          <t>Yes</t>
        </is>
      </c>
    </row>
    <row r="1028">
      <c r="A1028" s="11" t="n">
        <v>45265.1515625</v>
      </c>
      <c r="B1028" s="4" t="inlineStr">
        <is>
          <t>2023-12</t>
        </is>
      </c>
      <c r="C1028" s="4" t="n">
        <v>296</v>
      </c>
      <c r="D1028" s="9" t="inlineStr">
        <is>
          <t>Best Meeting Point</t>
        </is>
      </c>
      <c r="E1028" s="4" t="inlineStr">
        <is>
          <t>Hard</t>
        </is>
      </c>
      <c r="F1028" s="4" t="inlineStr">
        <is>
          <t>Math &amp; Bit Manipulation</t>
        </is>
      </c>
      <c r="G1028" s="4" t="inlineStr">
        <is>
          <t>Accepted</t>
        </is>
      </c>
      <c r="H1028" s="4" t="inlineStr">
        <is>
          <t>Python3</t>
        </is>
      </c>
      <c r="I1028" s="4" t="inlineStr">
        <is>
          <t>111 ms</t>
        </is>
      </c>
      <c r="J1028" s="4" t="inlineStr">
        <is>
          <t>18.2 MB</t>
        </is>
      </c>
      <c r="K1028" s="4" t="n">
        <v>5.5</v>
      </c>
      <c r="L1028" s="4" t="inlineStr">
        <is>
          <t>58/58</t>
        </is>
      </c>
      <c r="M1028" s="9" t="inlineStr">
        <is>
          <t>Submission 1112468782</t>
        </is>
      </c>
      <c r="N1028" s="4" t="inlineStr">
        <is>
          <t>No</t>
        </is>
      </c>
    </row>
    <row r="1029">
      <c r="A1029" s="11" t="n">
        <v>45265.15640046296</v>
      </c>
      <c r="B1029" s="4" t="inlineStr">
        <is>
          <t>2023-12</t>
        </is>
      </c>
      <c r="C1029" s="4" t="n">
        <v>398</v>
      </c>
      <c r="D1029" s="9" t="inlineStr">
        <is>
          <t>Random Pick Index</t>
        </is>
      </c>
      <c r="E1029" s="4" t="inlineStr">
        <is>
          <t>Medium</t>
        </is>
      </c>
      <c r="F1029" s="4" t="inlineStr">
        <is>
          <t>Math &amp; Bit Manipulation</t>
        </is>
      </c>
      <c r="G1029" s="4" t="inlineStr">
        <is>
          <t>Time Limit Exceeded</t>
        </is>
      </c>
      <c r="H1029" s="4" t="inlineStr">
        <is>
          <t>Python3</t>
        </is>
      </c>
      <c r="I1029" s="4" t="inlineStr">
        <is>
          <t>N/A</t>
        </is>
      </c>
      <c r="J1029" s="4" t="inlineStr">
        <is>
          <t>N/A</t>
        </is>
      </c>
      <c r="K1029" s="4" t="n"/>
      <c r="L1029" s="4" t="inlineStr">
        <is>
          <t>14/15</t>
        </is>
      </c>
      <c r="M1029" s="9" t="inlineStr">
        <is>
          <t>Submission 1112471660</t>
        </is>
      </c>
      <c r="N1029" s="4" t="inlineStr">
        <is>
          <t>No</t>
        </is>
      </c>
    </row>
    <row r="1030">
      <c r="A1030" s="11" t="n">
        <v>45265.16935185185</v>
      </c>
      <c r="B1030" s="4" t="inlineStr">
        <is>
          <t>2023-12</t>
        </is>
      </c>
      <c r="C1030" s="4" t="n">
        <v>987</v>
      </c>
      <c r="D1030" s="9" t="inlineStr">
        <is>
          <t>Vertical Order Traversal of a Binary Tree</t>
        </is>
      </c>
      <c r="E1030" s="4" t="inlineStr">
        <is>
          <t>Hard</t>
        </is>
      </c>
      <c r="F1030" s="4" t="inlineStr">
        <is>
          <t>Binary Tree (BFS / Level Order)</t>
        </is>
      </c>
      <c r="G1030" s="4" t="inlineStr">
        <is>
          <t>Accepted</t>
        </is>
      </c>
      <c r="H1030" s="4" t="inlineStr">
        <is>
          <t>Python3</t>
        </is>
      </c>
      <c r="I1030" s="4" t="inlineStr">
        <is>
          <t>41 ms</t>
        </is>
      </c>
      <c r="J1030" s="4" t="inlineStr">
        <is>
          <t>16.6 MB</t>
        </is>
      </c>
      <c r="K1030" s="4" t="n">
        <v>1.1</v>
      </c>
      <c r="L1030" s="4" t="inlineStr">
        <is>
          <t>34/34</t>
        </is>
      </c>
      <c r="M1030" s="9" t="inlineStr">
        <is>
          <t>Submission 1112478686</t>
        </is>
      </c>
      <c r="N1030" s="4" t="inlineStr">
        <is>
          <t>Yes</t>
        </is>
      </c>
    </row>
    <row r="1031">
      <c r="A1031" s="11" t="n">
        <v>45265.1765162037</v>
      </c>
      <c r="B1031" s="4" t="inlineStr">
        <is>
          <t>2023-12</t>
        </is>
      </c>
      <c r="C1031" s="4" t="n">
        <v>1216</v>
      </c>
      <c r="D1031" s="9" t="inlineStr">
        <is>
          <t>Valid Palindrome III</t>
        </is>
      </c>
      <c r="E1031" s="4" t="inlineStr">
        <is>
          <t>Hard</t>
        </is>
      </c>
      <c r="F1031" s="4" t="inlineStr">
        <is>
          <t>DP: Strings (LCS, Edit, Matching)</t>
        </is>
      </c>
      <c r="G1031" s="4" t="inlineStr">
        <is>
          <t>Runtime Error</t>
        </is>
      </c>
      <c r="H1031" s="4" t="inlineStr">
        <is>
          <t>Python3</t>
        </is>
      </c>
      <c r="I1031" s="4" t="inlineStr">
        <is>
          <t>N/A</t>
        </is>
      </c>
      <c r="J1031" s="4" t="inlineStr">
        <is>
          <t>N/A</t>
        </is>
      </c>
      <c r="K1031" s="4" t="n"/>
      <c r="L1031" s="4" t="inlineStr">
        <is>
          <t>0/51</t>
        </is>
      </c>
      <c r="M1031" s="9" t="inlineStr">
        <is>
          <t>Submission 1112482563</t>
        </is>
      </c>
      <c r="N1031" s="4" t="inlineStr">
        <is>
          <t>No</t>
        </is>
      </c>
    </row>
    <row r="1032">
      <c r="A1032" s="11" t="n">
        <v>45265.1766087963</v>
      </c>
      <c r="B1032" s="4" t="inlineStr">
        <is>
          <t>2023-12</t>
        </is>
      </c>
      <c r="C1032" s="4" t="n">
        <v>1216</v>
      </c>
      <c r="D1032" s="9" t="inlineStr">
        <is>
          <t>Valid Palindrome III</t>
        </is>
      </c>
      <c r="E1032" s="4" t="inlineStr">
        <is>
          <t>Hard</t>
        </is>
      </c>
      <c r="F1032" s="4" t="inlineStr">
        <is>
          <t>DP: Strings (LCS, Edit, Matching)</t>
        </is>
      </c>
      <c r="G1032" s="4" t="inlineStr">
        <is>
          <t>Accepted</t>
        </is>
      </c>
      <c r="H1032" s="4" t="inlineStr">
        <is>
          <t>Python3</t>
        </is>
      </c>
      <c r="I1032" s="4" t="inlineStr">
        <is>
          <t>400 ms</t>
        </is>
      </c>
      <c r="J1032" s="4" t="inlineStr">
        <is>
          <t>90.5 MB</t>
        </is>
      </c>
      <c r="K1032" s="4" t="n">
        <v>36.3</v>
      </c>
      <c r="L1032" s="4" t="inlineStr">
        <is>
          <t>51/51</t>
        </is>
      </c>
      <c r="M1032" s="9" t="inlineStr">
        <is>
          <t>Submission 1112482609</t>
        </is>
      </c>
      <c r="N1032" s="4" t="inlineStr">
        <is>
          <t>No</t>
        </is>
      </c>
    </row>
    <row r="1033">
      <c r="A1033" s="11" t="n">
        <v>45265.1850462963</v>
      </c>
      <c r="B1033" s="4" t="inlineStr">
        <is>
          <t>2023-12</t>
        </is>
      </c>
      <c r="C1033" s="4" t="n">
        <v>282</v>
      </c>
      <c r="D1033" s="9" t="inlineStr">
        <is>
          <t>Expression Add Operators</t>
        </is>
      </c>
      <c r="E1033" s="4" t="inlineStr">
        <is>
          <t>Hard</t>
        </is>
      </c>
      <c r="F1033" s="4" t="inlineStr">
        <is>
          <t>Backtracking</t>
        </is>
      </c>
      <c r="G1033" s="4" t="inlineStr">
        <is>
          <t>Accepted</t>
        </is>
      </c>
      <c r="H1033" s="4" t="inlineStr">
        <is>
          <t>Python3</t>
        </is>
      </c>
      <c r="I1033" s="4" t="inlineStr">
        <is>
          <t>550 ms</t>
        </is>
      </c>
      <c r="J1033" s="4" t="inlineStr">
        <is>
          <t>17 MB</t>
        </is>
      </c>
      <c r="K1033" s="4" t="n">
        <v>9.699999999999999</v>
      </c>
      <c r="L1033" s="4" t="inlineStr">
        <is>
          <t>23/23</t>
        </is>
      </c>
      <c r="M1033" s="9" t="inlineStr">
        <is>
          <t>Submission 1112486977</t>
        </is>
      </c>
      <c r="N1033" s="4" t="inlineStr">
        <is>
          <t>No</t>
        </is>
      </c>
    </row>
    <row r="1034">
      <c r="A1034" s="11" t="n">
        <v>45265.18516203704</v>
      </c>
      <c r="B1034" s="4" t="inlineStr">
        <is>
          <t>2023-12</t>
        </is>
      </c>
      <c r="C1034" s="4" t="n">
        <v>282</v>
      </c>
      <c r="D1034" s="9" t="inlineStr">
        <is>
          <t>Expression Add Operators</t>
        </is>
      </c>
      <c r="E1034" s="4" t="inlineStr">
        <is>
          <t>Hard</t>
        </is>
      </c>
      <c r="F1034" s="4" t="inlineStr">
        <is>
          <t>Backtracking</t>
        </is>
      </c>
      <c r="G1034" s="4" t="inlineStr">
        <is>
          <t>Accepted</t>
        </is>
      </c>
      <c r="H1034" s="4" t="inlineStr">
        <is>
          <t>Python3</t>
        </is>
      </c>
      <c r="I1034" s="4" t="inlineStr">
        <is>
          <t>548 ms</t>
        </is>
      </c>
      <c r="J1034" s="4" t="inlineStr">
        <is>
          <t>17.1 MB</t>
        </is>
      </c>
      <c r="K1034" s="4" t="n">
        <v>9.800000000000001</v>
      </c>
      <c r="L1034" s="4" t="inlineStr">
        <is>
          <t>23/23</t>
        </is>
      </c>
      <c r="M1034" s="9" t="inlineStr">
        <is>
          <t>Submission 1112487028</t>
        </is>
      </c>
      <c r="N1034" s="4" t="inlineStr">
        <is>
          <t>No</t>
        </is>
      </c>
    </row>
    <row r="1035">
      <c r="A1035" s="11" t="n">
        <v>45265.18773148148</v>
      </c>
      <c r="B1035" s="4" t="inlineStr">
        <is>
          <t>2023-12</t>
        </is>
      </c>
      <c r="C1035" s="4" t="n">
        <v>282</v>
      </c>
      <c r="D1035" s="9" t="inlineStr">
        <is>
          <t>Expression Add Operators</t>
        </is>
      </c>
      <c r="E1035" s="4" t="inlineStr">
        <is>
          <t>Hard</t>
        </is>
      </c>
      <c r="F1035" s="4" t="inlineStr">
        <is>
          <t>Backtracking</t>
        </is>
      </c>
      <c r="G1035" s="4" t="inlineStr">
        <is>
          <t>Accepted</t>
        </is>
      </c>
      <c r="H1035" s="4" t="inlineStr">
        <is>
          <t>Python3</t>
        </is>
      </c>
      <c r="I1035" s="4" t="inlineStr">
        <is>
          <t>561 ms</t>
        </is>
      </c>
      <c r="J1035" s="4" t="inlineStr">
        <is>
          <t>16.9 MB</t>
        </is>
      </c>
      <c r="K1035" s="4" t="n">
        <v>9.4</v>
      </c>
      <c r="L1035" s="4" t="inlineStr">
        <is>
          <t>23/23</t>
        </is>
      </c>
      <c r="M1035" s="9" t="inlineStr">
        <is>
          <t>Submission 1112488328</t>
        </is>
      </c>
      <c r="N1035" s="4" t="inlineStr">
        <is>
          <t>No</t>
        </is>
      </c>
    </row>
    <row r="1036">
      <c r="A1036" s="11" t="n">
        <v>45265.19012731482</v>
      </c>
      <c r="B1036" s="4" t="inlineStr">
        <is>
          <t>2023-12</t>
        </is>
      </c>
      <c r="C1036" s="4" t="n">
        <v>88</v>
      </c>
      <c r="D1036" s="9" t="inlineStr">
        <is>
          <t>Merge Sorted Array</t>
        </is>
      </c>
      <c r="E1036" s="4" t="inlineStr">
        <is>
          <t>Easy</t>
        </is>
      </c>
      <c r="F1036" s="4" t="inlineStr">
        <is>
          <t>Two Pointers</t>
        </is>
      </c>
      <c r="G1036" s="4" t="inlineStr">
        <is>
          <t>Accepted</t>
        </is>
      </c>
      <c r="H1036" s="4" t="inlineStr">
        <is>
          <t>Python3</t>
        </is>
      </c>
      <c r="I1036" s="4" t="inlineStr">
        <is>
          <t>56 ms</t>
        </is>
      </c>
      <c r="J1036" s="4" t="inlineStr">
        <is>
          <t>16.6 MB</t>
        </is>
      </c>
      <c r="K1036" s="4" t="n">
        <v>1.8</v>
      </c>
      <c r="L1036" s="4" t="inlineStr">
        <is>
          <t>59/59</t>
        </is>
      </c>
      <c r="M1036" s="9" t="inlineStr">
        <is>
          <t>Submission 1112489517</t>
        </is>
      </c>
      <c r="N1036" s="4" t="inlineStr">
        <is>
          <t>No</t>
        </is>
      </c>
    </row>
    <row r="1037">
      <c r="A1037" s="11" t="n">
        <v>45265.19392361111</v>
      </c>
      <c r="B1037" s="4" t="inlineStr">
        <is>
          <t>2023-12</t>
        </is>
      </c>
      <c r="C1037" s="4" t="n">
        <v>270</v>
      </c>
      <c r="D1037" s="9" t="inlineStr">
        <is>
          <t>Closest Binary Search Tree Value</t>
        </is>
      </c>
      <c r="E1037" s="4" t="inlineStr">
        <is>
          <t>Easy</t>
        </is>
      </c>
      <c r="F1037" s="4" t="inlineStr">
        <is>
          <t>Binary Search Tree</t>
        </is>
      </c>
      <c r="G1037" s="4" t="inlineStr">
        <is>
          <t>Accepted</t>
        </is>
      </c>
      <c r="H1037" s="4" t="inlineStr">
        <is>
          <t>Python3</t>
        </is>
      </c>
      <c r="I1037" s="4" t="inlineStr">
        <is>
          <t>53 ms</t>
        </is>
      </c>
      <c r="J1037" s="4" t="inlineStr">
        <is>
          <t>18.5 MB</t>
        </is>
      </c>
      <c r="K1037" s="4" t="n">
        <v>2.5</v>
      </c>
      <c r="L1037" s="4" t="inlineStr">
        <is>
          <t>65/65</t>
        </is>
      </c>
      <c r="M1037" s="9" t="inlineStr">
        <is>
          <t>Submission 1112491562</t>
        </is>
      </c>
      <c r="N1037" s="4" t="inlineStr">
        <is>
          <t>Yes</t>
        </is>
      </c>
    </row>
    <row r="1038">
      <c r="A1038" s="11" t="n">
        <v>45265.23755787037</v>
      </c>
      <c r="B1038" s="4" t="inlineStr">
        <is>
          <t>2023-12</t>
        </is>
      </c>
      <c r="C1038" s="4" t="n">
        <v>270</v>
      </c>
      <c r="D1038" s="9" t="inlineStr">
        <is>
          <t>Closest Binary Search Tree Value</t>
        </is>
      </c>
      <c r="E1038" s="4" t="inlineStr">
        <is>
          <t>Easy</t>
        </is>
      </c>
      <c r="F1038" s="4" t="inlineStr">
        <is>
          <t>Binary Search Tree</t>
        </is>
      </c>
      <c r="G1038" s="4" t="inlineStr">
        <is>
          <t>Wrong Answer</t>
        </is>
      </c>
      <c r="H1038" s="4" t="inlineStr">
        <is>
          <t>Python3</t>
        </is>
      </c>
      <c r="I1038" s="4" t="inlineStr">
        <is>
          <t>N/A</t>
        </is>
      </c>
      <c r="J1038" s="4" t="inlineStr">
        <is>
          <t>N/A</t>
        </is>
      </c>
      <c r="K1038" s="4" t="n"/>
      <c r="L1038" s="4" t="inlineStr">
        <is>
          <t>62/65</t>
        </is>
      </c>
      <c r="M1038" s="9" t="inlineStr">
        <is>
          <t>Submission 1112513924</t>
        </is>
      </c>
      <c r="N1038" s="4" t="inlineStr">
        <is>
          <t>Yes</t>
        </is>
      </c>
    </row>
    <row r="1039">
      <c r="A1039" s="11" t="n">
        <v>45265.23862268519</v>
      </c>
      <c r="B1039" s="4" t="inlineStr">
        <is>
          <t>2023-12</t>
        </is>
      </c>
      <c r="C1039" s="4" t="n">
        <v>270</v>
      </c>
      <c r="D1039" s="9" t="inlineStr">
        <is>
          <t>Closest Binary Search Tree Value</t>
        </is>
      </c>
      <c r="E1039" s="4" t="inlineStr">
        <is>
          <t>Easy</t>
        </is>
      </c>
      <c r="F1039" s="4" t="inlineStr">
        <is>
          <t>Binary Search Tree</t>
        </is>
      </c>
      <c r="G1039" s="4" t="inlineStr">
        <is>
          <t>Accepted</t>
        </is>
      </c>
      <c r="H1039" s="4" t="inlineStr">
        <is>
          <t>Python3</t>
        </is>
      </c>
      <c r="I1039" s="4" t="inlineStr">
        <is>
          <t>49 ms</t>
        </is>
      </c>
      <c r="J1039" s="4" t="inlineStr">
        <is>
          <t>18.6 MB</t>
        </is>
      </c>
      <c r="K1039" s="4" t="n">
        <v>2.5</v>
      </c>
      <c r="L1039" s="4" t="inlineStr">
        <is>
          <t>65/65</t>
        </is>
      </c>
      <c r="M1039" s="9" t="inlineStr">
        <is>
          <t>Submission 1112514534</t>
        </is>
      </c>
      <c r="N1039" s="4" t="inlineStr">
        <is>
          <t>Yes</t>
        </is>
      </c>
    </row>
    <row r="1040">
      <c r="A1040" s="11" t="n">
        <v>45265.25745370371</v>
      </c>
      <c r="B1040" s="4" t="inlineStr">
        <is>
          <t>2023-12</t>
        </is>
      </c>
      <c r="C1040" s="4" t="n">
        <v>348</v>
      </c>
      <c r="D1040" s="9" t="inlineStr">
        <is>
          <t>Design Tic-Tac-Toe</t>
        </is>
      </c>
      <c r="E1040" s="4" t="inlineStr">
        <is>
          <t>Medium</t>
        </is>
      </c>
      <c r="F1040" s="4" t="inlineStr">
        <is>
          <t>Design</t>
        </is>
      </c>
      <c r="G1040" s="4" t="inlineStr">
        <is>
          <t>Accepted</t>
        </is>
      </c>
      <c r="H1040" s="4" t="inlineStr">
        <is>
          <t>Python</t>
        </is>
      </c>
      <c r="I1040" s="4" t="inlineStr">
        <is>
          <t>61 ms</t>
        </is>
      </c>
      <c r="J1040" s="4" t="inlineStr">
        <is>
          <t>15.7 MB</t>
        </is>
      </c>
      <c r="K1040" s="4" t="n">
        <v>82.8</v>
      </c>
      <c r="L1040" s="4" t="inlineStr">
        <is>
          <t>33/33</t>
        </is>
      </c>
      <c r="M1040" s="9" t="inlineStr">
        <is>
          <t>Submission 1112525137</t>
        </is>
      </c>
      <c r="N1040" s="4" t="inlineStr">
        <is>
          <t>No</t>
        </is>
      </c>
    </row>
    <row r="1041">
      <c r="A1041" s="11" t="n">
        <v>45265.27270833333</v>
      </c>
      <c r="B1041" s="4" t="inlineStr">
        <is>
          <t>2023-12</t>
        </is>
      </c>
      <c r="C1041" s="4" t="n">
        <v>23</v>
      </c>
      <c r="D1041" s="9" t="inlineStr">
        <is>
          <t>Merge k Sorted Lists</t>
        </is>
      </c>
      <c r="E1041" s="4" t="inlineStr">
        <is>
          <t>Hard</t>
        </is>
      </c>
      <c r="F1041" s="4" t="inlineStr">
        <is>
          <t>Heap / Top-K</t>
        </is>
      </c>
      <c r="G1041" s="4" t="inlineStr">
        <is>
          <t>Runtime Error</t>
        </is>
      </c>
      <c r="H1041" s="4" t="inlineStr">
        <is>
          <t>Python3</t>
        </is>
      </c>
      <c r="I1041" s="4" t="inlineStr">
        <is>
          <t>N/A</t>
        </is>
      </c>
      <c r="J1041" s="4" t="inlineStr">
        <is>
          <t>N/A</t>
        </is>
      </c>
      <c r="K1041" s="4" t="n"/>
      <c r="L1041" s="4" t="inlineStr">
        <is>
          <t>0/133</t>
        </is>
      </c>
      <c r="M1041" s="9" t="inlineStr">
        <is>
          <t>Submission 1112533366</t>
        </is>
      </c>
      <c r="N1041" s="4" t="inlineStr">
        <is>
          <t>Yes</t>
        </is>
      </c>
    </row>
    <row r="1042">
      <c r="A1042" s="11" t="n">
        <v>45265.29849537037</v>
      </c>
      <c r="B1042" s="4" t="inlineStr">
        <is>
          <t>2023-12</t>
        </is>
      </c>
      <c r="C1042" s="4" t="n">
        <v>17</v>
      </c>
      <c r="D1042" s="9" t="inlineStr">
        <is>
          <t>Letter Combinations of a Phone Number</t>
        </is>
      </c>
      <c r="E1042" s="4" t="inlineStr">
        <is>
          <t>Medium</t>
        </is>
      </c>
      <c r="F1042" s="4" t="inlineStr">
        <is>
          <t>Backtracking</t>
        </is>
      </c>
      <c r="G1042" s="4" t="inlineStr">
        <is>
          <t>Accepted</t>
        </is>
      </c>
      <c r="H1042" s="4" t="inlineStr">
        <is>
          <t>Python3</t>
        </is>
      </c>
      <c r="I1042" s="4" t="inlineStr">
        <is>
          <t>37 ms</t>
        </is>
      </c>
      <c r="J1042" s="4" t="inlineStr">
        <is>
          <t>16.3 MB</t>
        </is>
      </c>
      <c r="K1042" s="4" t="n">
        <v>0.1</v>
      </c>
      <c r="L1042" s="4" t="inlineStr">
        <is>
          <t>25/25</t>
        </is>
      </c>
      <c r="M1042" s="9" t="inlineStr">
        <is>
          <t>Submission 1112548089</t>
        </is>
      </c>
      <c r="N1042" s="4" t="inlineStr">
        <is>
          <t>Yes</t>
        </is>
      </c>
    </row>
    <row r="1043">
      <c r="A1043" s="11" t="n">
        <v>45271.09268518518</v>
      </c>
      <c r="B1043" s="4" t="inlineStr">
        <is>
          <t>2023-12</t>
        </is>
      </c>
      <c r="C1043" s="4" t="n">
        <v>636</v>
      </c>
      <c r="D1043" s="9" t="inlineStr">
        <is>
          <t>Exclusive Time of Functions</t>
        </is>
      </c>
      <c r="E1043" s="4" t="inlineStr">
        <is>
          <t>Medium</t>
        </is>
      </c>
      <c r="F1043" s="4" t="inlineStr">
        <is>
          <t>Stack</t>
        </is>
      </c>
      <c r="G1043" s="4" t="inlineStr">
        <is>
          <t>Accepted</t>
        </is>
      </c>
      <c r="H1043" s="4" t="inlineStr">
        <is>
          <t>Python3</t>
        </is>
      </c>
      <c r="I1043" s="4" t="inlineStr">
        <is>
          <t>72 ms</t>
        </is>
      </c>
      <c r="J1043" s="4" t="inlineStr">
        <is>
          <t>16.5 MB</t>
        </is>
      </c>
      <c r="K1043" s="4" t="n">
        <v>5</v>
      </c>
      <c r="L1043" s="4" t="inlineStr">
        <is>
          <t>120/120</t>
        </is>
      </c>
      <c r="M1043" s="9" t="inlineStr">
        <is>
          <t>Submission 1116724578</t>
        </is>
      </c>
      <c r="N1043" s="4" t="inlineStr">
        <is>
          <t>Yes</t>
        </is>
      </c>
    </row>
    <row r="1044">
      <c r="A1044" s="11" t="n">
        <v>45271.13446759259</v>
      </c>
      <c r="B1044" s="4" t="inlineStr">
        <is>
          <t>2023-12</t>
        </is>
      </c>
      <c r="C1044" s="4" t="n">
        <v>329</v>
      </c>
      <c r="D1044" s="9" t="inlineStr">
        <is>
          <t>Longest Increasing Path in a Matrix</t>
        </is>
      </c>
      <c r="E1044" s="4" t="inlineStr">
        <is>
          <t>Hard</t>
        </is>
      </c>
      <c r="F1044" s="4" t="inlineStr">
        <is>
          <t>DP: Grid / 2D</t>
        </is>
      </c>
      <c r="G1044" s="4" t="inlineStr">
        <is>
          <t>Accepted</t>
        </is>
      </c>
      <c r="H1044" s="4" t="inlineStr">
        <is>
          <t>Python3</t>
        </is>
      </c>
      <c r="I1044" s="4" t="inlineStr">
        <is>
          <t>329 ms</t>
        </is>
      </c>
      <c r="J1044" s="4" t="inlineStr">
        <is>
          <t>17.4 MB</t>
        </is>
      </c>
      <c r="K1044" s="4" t="n">
        <v>5</v>
      </c>
      <c r="L1044" s="4" t="inlineStr">
        <is>
          <t>138/138</t>
        </is>
      </c>
      <c r="M1044" s="9" t="inlineStr">
        <is>
          <t>Submission 1116748603</t>
        </is>
      </c>
      <c r="N1044" s="4" t="inlineStr">
        <is>
          <t>Yes</t>
        </is>
      </c>
    </row>
    <row r="1045">
      <c r="A1045" s="11" t="n">
        <v>45271.17001157408</v>
      </c>
      <c r="B1045" s="4" t="inlineStr">
        <is>
          <t>2023-12</t>
        </is>
      </c>
      <c r="C1045" s="4" t="n">
        <v>38</v>
      </c>
      <c r="D1045" s="9" t="inlineStr">
        <is>
          <t>Count and Say</t>
        </is>
      </c>
      <c r="E1045" s="4" t="inlineStr">
        <is>
          <t>Medium</t>
        </is>
      </c>
      <c r="F1045" s="4" t="inlineStr">
        <is>
          <t>Strings &amp; Simulation</t>
        </is>
      </c>
      <c r="G1045" s="4" t="inlineStr">
        <is>
          <t>Runtime Error</t>
        </is>
      </c>
      <c r="H1045" s="4" t="inlineStr">
        <is>
          <t>Python3</t>
        </is>
      </c>
      <c r="I1045" s="4" t="inlineStr">
        <is>
          <t>N/A</t>
        </is>
      </c>
      <c r="J1045" s="4" t="inlineStr">
        <is>
          <t>N/A</t>
        </is>
      </c>
      <c r="K1045" s="4" t="n"/>
      <c r="L1045" s="4" t="inlineStr">
        <is>
          <t>0/30</t>
        </is>
      </c>
      <c r="M1045" s="9" t="inlineStr">
        <is>
          <t>Submission 1116767756</t>
        </is>
      </c>
      <c r="N1045" s="4" t="inlineStr">
        <is>
          <t>No</t>
        </is>
      </c>
    </row>
    <row r="1046">
      <c r="A1046" s="11" t="n">
        <v>45271.17028935185</v>
      </c>
      <c r="B1046" s="4" t="inlineStr">
        <is>
          <t>2023-12</t>
        </is>
      </c>
      <c r="C1046" s="4" t="n">
        <v>38</v>
      </c>
      <c r="D1046" s="9" t="inlineStr">
        <is>
          <t>Count and Say</t>
        </is>
      </c>
      <c r="E1046" s="4" t="inlineStr">
        <is>
          <t>Medium</t>
        </is>
      </c>
      <c r="F1046" s="4" t="inlineStr">
        <is>
          <t>Strings &amp; Simulation</t>
        </is>
      </c>
      <c r="G1046" s="4" t="inlineStr">
        <is>
          <t>Accepted</t>
        </is>
      </c>
      <c r="H1046" s="4" t="inlineStr">
        <is>
          <t>Python3</t>
        </is>
      </c>
      <c r="I1046" s="4" t="inlineStr">
        <is>
          <t>43 ms</t>
        </is>
      </c>
      <c r="J1046" s="4" t="inlineStr">
        <is>
          <t>16.3 MB</t>
        </is>
      </c>
      <c r="K1046" s="4" t="n">
        <v>18.8</v>
      </c>
      <c r="L1046" s="4" t="inlineStr">
        <is>
          <t>30/30</t>
        </is>
      </c>
      <c r="M1046" s="9" t="inlineStr">
        <is>
          <t>Submission 1116767903</t>
        </is>
      </c>
      <c r="N1046" s="4" t="inlineStr">
        <is>
          <t>No</t>
        </is>
      </c>
    </row>
    <row r="1047">
      <c r="A1047" s="11" t="n">
        <v>45271.22221064815</v>
      </c>
      <c r="B1047" s="4" t="inlineStr">
        <is>
          <t>2023-12</t>
        </is>
      </c>
      <c r="C1047" s="4" t="n">
        <v>1424</v>
      </c>
      <c r="D1047" s="9" t="inlineStr">
        <is>
          <t>Diagonal Traverse II</t>
        </is>
      </c>
      <c r="E1047" s="4" t="inlineStr">
        <is>
          <t>Medium</t>
        </is>
      </c>
      <c r="F1047" s="4" t="inlineStr">
        <is>
          <t>Arrays, Hashing &amp; Sorting</t>
        </is>
      </c>
      <c r="G1047" s="4" t="inlineStr">
        <is>
          <t>Accepted</t>
        </is>
      </c>
      <c r="H1047" s="4" t="inlineStr">
        <is>
          <t>Python3</t>
        </is>
      </c>
      <c r="I1047" s="4" t="inlineStr">
        <is>
          <t>783 ms</t>
        </is>
      </c>
      <c r="J1047" s="4" t="inlineStr">
        <is>
          <t>41.3 MB</t>
        </is>
      </c>
      <c r="K1047" s="4" t="n">
        <v>5.3</v>
      </c>
      <c r="L1047" s="4" t="inlineStr">
        <is>
          <t>56/56</t>
        </is>
      </c>
      <c r="M1047" s="9" t="inlineStr">
        <is>
          <t>Submission 1116793579</t>
        </is>
      </c>
      <c r="N1047" s="4" t="inlineStr">
        <is>
          <t>No</t>
        </is>
      </c>
    </row>
    <row r="1048">
      <c r="A1048" s="11" t="n">
        <v>45271.88506944444</v>
      </c>
      <c r="B1048" s="4" t="inlineStr">
        <is>
          <t>2023-12</t>
        </is>
      </c>
      <c r="C1048" s="4" t="n">
        <v>1522</v>
      </c>
      <c r="D1048" s="9" t="inlineStr">
        <is>
          <t>Diameter of N-Ary Tree</t>
        </is>
      </c>
      <c r="E1048" s="4" t="inlineStr">
        <is>
          <t>Medium</t>
        </is>
      </c>
      <c r="F1048" s="4" t="inlineStr">
        <is>
          <t>DP: On Trees</t>
        </is>
      </c>
      <c r="G1048" s="4" t="inlineStr">
        <is>
          <t>Accepted</t>
        </is>
      </c>
      <c r="H1048" s="4" t="inlineStr">
        <is>
          <t>Python3</t>
        </is>
      </c>
      <c r="I1048" s="4" t="inlineStr">
        <is>
          <t>45 ms</t>
        </is>
      </c>
      <c r="J1048" s="4" t="inlineStr">
        <is>
          <t>18.3 MB</t>
        </is>
      </c>
      <c r="K1048" s="4" t="n">
        <v>92.2</v>
      </c>
      <c r="L1048" s="4" t="inlineStr">
        <is>
          <t>38/38</t>
        </is>
      </c>
      <c r="M1048" s="9" t="inlineStr">
        <is>
          <t>Submission 1117330803</t>
        </is>
      </c>
      <c r="N1048" s="4" t="inlineStr">
        <is>
          <t>No</t>
        </is>
      </c>
    </row>
    <row r="1049">
      <c r="A1049" s="11" t="n">
        <v>45272.04393518518</v>
      </c>
      <c r="B1049" s="4" t="inlineStr">
        <is>
          <t>2023-12</t>
        </is>
      </c>
      <c r="C1049" s="4" t="n">
        <v>1060</v>
      </c>
      <c r="D1049" s="9" t="inlineStr">
        <is>
          <t>Missing Element in Sorted Array</t>
        </is>
      </c>
      <c r="E1049" s="4" t="inlineStr">
        <is>
          <t>Medium</t>
        </is>
      </c>
      <c r="F1049" s="4" t="inlineStr">
        <is>
          <t>Binary Search</t>
        </is>
      </c>
      <c r="G1049" s="4" t="inlineStr">
        <is>
          <t>Wrong Answer</t>
        </is>
      </c>
      <c r="H1049" s="4" t="inlineStr">
        <is>
          <t>Python3</t>
        </is>
      </c>
      <c r="I1049" s="4" t="inlineStr">
        <is>
          <t>N/A</t>
        </is>
      </c>
      <c r="J1049" s="4" t="inlineStr">
        <is>
          <t>N/A</t>
        </is>
      </c>
      <c r="K1049" s="4" t="n"/>
      <c r="L1049" s="4" t="inlineStr">
        <is>
          <t>8/37</t>
        </is>
      </c>
      <c r="M1049" s="9" t="inlineStr">
        <is>
          <t>Submission 1117497054</t>
        </is>
      </c>
      <c r="N1049" s="4" t="inlineStr">
        <is>
          <t>No</t>
        </is>
      </c>
    </row>
    <row r="1050">
      <c r="A1050" s="11" t="n">
        <v>45272.04415509259</v>
      </c>
      <c r="B1050" s="4" t="inlineStr">
        <is>
          <t>2023-12</t>
        </is>
      </c>
      <c r="C1050" s="4" t="n">
        <v>1060</v>
      </c>
      <c r="D1050" s="9" t="inlineStr">
        <is>
          <t>Missing Element in Sorted Array</t>
        </is>
      </c>
      <c r="E1050" s="4" t="inlineStr">
        <is>
          <t>Medium</t>
        </is>
      </c>
      <c r="F1050" s="4" t="inlineStr">
        <is>
          <t>Binary Search</t>
        </is>
      </c>
      <c r="G1050" s="4" t="inlineStr">
        <is>
          <t>Accepted</t>
        </is>
      </c>
      <c r="H1050" s="4" t="inlineStr">
        <is>
          <t>Python3</t>
        </is>
      </c>
      <c r="I1050" s="4" t="inlineStr">
        <is>
          <t>266 ms</t>
        </is>
      </c>
      <c r="J1050" s="4" t="inlineStr">
        <is>
          <t>22.5 MB</t>
        </is>
      </c>
      <c r="K1050" s="4" t="n">
        <v>5.8</v>
      </c>
      <c r="L1050" s="4" t="inlineStr">
        <is>
          <t>37/37</t>
        </is>
      </c>
      <c r="M1050" s="9" t="inlineStr">
        <is>
          <t>Submission 1117497243</t>
        </is>
      </c>
      <c r="N1050" s="4" t="inlineStr">
        <is>
          <t>No</t>
        </is>
      </c>
    </row>
    <row r="1051">
      <c r="A1051" s="11" t="n">
        <v>45272.14898148148</v>
      </c>
      <c r="B1051" s="4" t="inlineStr">
        <is>
          <t>2023-12</t>
        </is>
      </c>
      <c r="C1051" s="4" t="n">
        <v>1209</v>
      </c>
      <c r="D1051" s="9" t="inlineStr">
        <is>
          <t>Remove All Adjacent Duplicates in String II</t>
        </is>
      </c>
      <c r="E1051" s="4" t="inlineStr">
        <is>
          <t>Medium</t>
        </is>
      </c>
      <c r="F1051" s="4" t="inlineStr">
        <is>
          <t>Stack</t>
        </is>
      </c>
      <c r="G1051" s="4" t="inlineStr">
        <is>
          <t>Accepted</t>
        </is>
      </c>
      <c r="H1051" s="4" t="inlineStr">
        <is>
          <t>Python3</t>
        </is>
      </c>
      <c r="I1051" s="4" t="inlineStr">
        <is>
          <t>85 ms</t>
        </is>
      </c>
      <c r="J1051" s="4" t="inlineStr">
        <is>
          <t>21 MB</t>
        </is>
      </c>
      <c r="K1051" s="4" t="n"/>
      <c r="L1051" s="4" t="inlineStr"/>
      <c r="M1051" s="9" t="inlineStr">
        <is>
          <t>Submission 1117569269</t>
        </is>
      </c>
      <c r="N1051" s="4" t="inlineStr">
        <is>
          <t>No</t>
        </is>
      </c>
    </row>
    <row r="1052">
      <c r="A1052" s="11" t="n">
        <v>45280.22164351852</v>
      </c>
      <c r="B1052" s="4" t="inlineStr">
        <is>
          <t>2023-12</t>
        </is>
      </c>
      <c r="C1052" s="4" t="n">
        <v>207</v>
      </c>
      <c r="D1052" s="9" t="inlineStr">
        <is>
          <t>Course Schedule</t>
        </is>
      </c>
      <c r="E1052" s="4" t="inlineStr">
        <is>
          <t>Medium</t>
        </is>
      </c>
      <c r="F1052" s="4" t="inlineStr">
        <is>
          <t>Graph: Topological Sort</t>
        </is>
      </c>
      <c r="G1052" s="4" t="inlineStr">
        <is>
          <t>Accepted</t>
        </is>
      </c>
      <c r="H1052" s="4" t="inlineStr">
        <is>
          <t>Python3</t>
        </is>
      </c>
      <c r="I1052" s="4" t="inlineStr">
        <is>
          <t>112 ms</t>
        </is>
      </c>
      <c r="J1052" s="4" t="inlineStr">
        <is>
          <t>18 MB</t>
        </is>
      </c>
      <c r="K1052" s="4" t="n">
        <v>5.1</v>
      </c>
      <c r="L1052" s="4" t="inlineStr">
        <is>
          <t>52/52</t>
        </is>
      </c>
      <c r="M1052" s="9" t="inlineStr">
        <is>
          <t>Submission 1123781267</t>
        </is>
      </c>
      <c r="N1052" s="4" t="inlineStr">
        <is>
          <t>Yes</t>
        </is>
      </c>
    </row>
    <row r="1053">
      <c r="A1053" s="11" t="n">
        <v>45280.24528935185</v>
      </c>
      <c r="B1053" s="4" t="inlineStr">
        <is>
          <t>2023-12</t>
        </is>
      </c>
      <c r="C1053" s="4" t="n">
        <v>207</v>
      </c>
      <c r="D1053" s="9" t="inlineStr">
        <is>
          <t>Course Schedule</t>
        </is>
      </c>
      <c r="E1053" s="4" t="inlineStr">
        <is>
          <t>Medium</t>
        </is>
      </c>
      <c r="F1053" s="4" t="inlineStr">
        <is>
          <t>Graph: Topological Sort</t>
        </is>
      </c>
      <c r="G1053" s="4" t="inlineStr">
        <is>
          <t>Accepted</t>
        </is>
      </c>
      <c r="H1053" s="4" t="inlineStr">
        <is>
          <t>Python3</t>
        </is>
      </c>
      <c r="I1053" s="4" t="inlineStr">
        <is>
          <t>94 ms</t>
        </is>
      </c>
      <c r="J1053" s="4" t="inlineStr">
        <is>
          <t>20 MB</t>
        </is>
      </c>
      <c r="K1053" s="4" t="n">
        <v>5.1</v>
      </c>
      <c r="L1053" s="4" t="inlineStr">
        <is>
          <t>52/52</t>
        </is>
      </c>
      <c r="M1053" s="9" t="inlineStr">
        <is>
          <t>Submission 1123795027</t>
        </is>
      </c>
      <c r="N1053" s="4" t="inlineStr">
        <is>
          <t>Yes</t>
        </is>
      </c>
    </row>
    <row r="1054">
      <c r="A1054" s="11" t="n">
        <v>45280.24582175926</v>
      </c>
      <c r="B1054" s="4" t="inlineStr">
        <is>
          <t>2023-12</t>
        </is>
      </c>
      <c r="C1054" s="4" t="n">
        <v>207</v>
      </c>
      <c r="D1054" s="9" t="inlineStr">
        <is>
          <t>Course Schedule</t>
        </is>
      </c>
      <c r="E1054" s="4" t="inlineStr">
        <is>
          <t>Medium</t>
        </is>
      </c>
      <c r="F1054" s="4" t="inlineStr">
        <is>
          <t>Graph: Topological Sort</t>
        </is>
      </c>
      <c r="G1054" s="4" t="inlineStr">
        <is>
          <t>Wrong Answer</t>
        </is>
      </c>
      <c r="H1054" s="4" t="inlineStr">
        <is>
          <t>Python3</t>
        </is>
      </c>
      <c r="I1054" s="4" t="inlineStr">
        <is>
          <t>N/A</t>
        </is>
      </c>
      <c r="J1054" s="4" t="inlineStr">
        <is>
          <t>N/A</t>
        </is>
      </c>
      <c r="K1054" s="4" t="n"/>
      <c r="L1054" s="4" t="inlineStr">
        <is>
          <t>30/52</t>
        </is>
      </c>
      <c r="M1054" s="9" t="inlineStr">
        <is>
          <t>Submission 1123795365</t>
        </is>
      </c>
      <c r="N1054" s="4" t="inlineStr">
        <is>
          <t>Yes</t>
        </is>
      </c>
    </row>
    <row r="1055">
      <c r="A1055" s="11" t="n">
        <v>45280.24596064815</v>
      </c>
      <c r="B1055" s="4" t="inlineStr">
        <is>
          <t>2023-12</t>
        </is>
      </c>
      <c r="C1055" s="4" t="n">
        <v>207</v>
      </c>
      <c r="D1055" s="9" t="inlineStr">
        <is>
          <t>Course Schedule</t>
        </is>
      </c>
      <c r="E1055" s="4" t="inlineStr">
        <is>
          <t>Medium</t>
        </is>
      </c>
      <c r="F1055" s="4" t="inlineStr">
        <is>
          <t>Graph: Topological Sort</t>
        </is>
      </c>
      <c r="G1055" s="4" t="inlineStr">
        <is>
          <t>Accepted</t>
        </is>
      </c>
      <c r="H1055" s="4" t="inlineStr">
        <is>
          <t>Python3</t>
        </is>
      </c>
      <c r="I1055" s="4" t="inlineStr">
        <is>
          <t>98 ms</t>
        </is>
      </c>
      <c r="J1055" s="4" t="inlineStr">
        <is>
          <t>19.9 MB</t>
        </is>
      </c>
      <c r="K1055" s="4" t="n">
        <v>5.1</v>
      </c>
      <c r="L1055" s="4" t="inlineStr">
        <is>
          <t>52/52</t>
        </is>
      </c>
      <c r="M1055" s="9" t="inlineStr">
        <is>
          <t>Submission 1123795445</t>
        </is>
      </c>
      <c r="N1055" s="4" t="inlineStr">
        <is>
          <t>Yes</t>
        </is>
      </c>
    </row>
    <row r="1056">
      <c r="A1056" s="11" t="n">
        <v>45281.21053240741</v>
      </c>
      <c r="B1056" s="4" t="inlineStr">
        <is>
          <t>2023-12</t>
        </is>
      </c>
      <c r="C1056" s="4" t="n">
        <v>227</v>
      </c>
      <c r="D1056" s="9" t="inlineStr">
        <is>
          <t>Basic Calculator II</t>
        </is>
      </c>
      <c r="E1056" s="4" t="inlineStr">
        <is>
          <t>Medium</t>
        </is>
      </c>
      <c r="F1056" s="4" t="inlineStr">
        <is>
          <t>Stack</t>
        </is>
      </c>
      <c r="G1056" s="4" t="inlineStr">
        <is>
          <t>Wrong Answer</t>
        </is>
      </c>
      <c r="H1056" s="4" t="inlineStr">
        <is>
          <t>Python3</t>
        </is>
      </c>
      <c r="I1056" s="4" t="inlineStr">
        <is>
          <t>N/A</t>
        </is>
      </c>
      <c r="J1056" s="4" t="inlineStr">
        <is>
          <t>N/A</t>
        </is>
      </c>
      <c r="K1056" s="4" t="n"/>
      <c r="L1056" s="4" t="inlineStr">
        <is>
          <t>49/111</t>
        </is>
      </c>
      <c r="M1056" s="9" t="inlineStr">
        <is>
          <t>Submission 1124633796</t>
        </is>
      </c>
      <c r="N1056" s="4" t="inlineStr">
        <is>
          <t>Yes</t>
        </is>
      </c>
    </row>
    <row r="1057">
      <c r="A1057" s="11" t="n">
        <v>45281.21083333333</v>
      </c>
      <c r="B1057" s="4" t="inlineStr">
        <is>
          <t>2023-12</t>
        </is>
      </c>
      <c r="C1057" s="4" t="n">
        <v>227</v>
      </c>
      <c r="D1057" s="9" t="inlineStr">
        <is>
          <t>Basic Calculator II</t>
        </is>
      </c>
      <c r="E1057" s="4" t="inlineStr">
        <is>
          <t>Medium</t>
        </is>
      </c>
      <c r="F1057" s="4" t="inlineStr">
        <is>
          <t>Stack</t>
        </is>
      </c>
      <c r="G1057" s="4" t="inlineStr">
        <is>
          <t>Accepted</t>
        </is>
      </c>
      <c r="H1057" s="4" t="inlineStr">
        <is>
          <t>Python3</t>
        </is>
      </c>
      <c r="I1057" s="4" t="inlineStr">
        <is>
          <t>97 ms</t>
        </is>
      </c>
      <c r="J1057" s="4" t="inlineStr">
        <is>
          <t>20 MB</t>
        </is>
      </c>
      <c r="K1057" s="4" t="n">
        <v>11.7</v>
      </c>
      <c r="L1057" s="4" t="inlineStr">
        <is>
          <t>111/111</t>
        </is>
      </c>
      <c r="M1057" s="9" t="inlineStr">
        <is>
          <t>Submission 1124633974</t>
        </is>
      </c>
      <c r="N1057" s="4" t="inlineStr">
        <is>
          <t>Yes</t>
        </is>
      </c>
    </row>
    <row r="1058">
      <c r="A1058" s="11" t="n">
        <v>45281.21896990741</v>
      </c>
      <c r="B1058" s="4" t="inlineStr">
        <is>
          <t>2023-12</t>
        </is>
      </c>
      <c r="C1058" s="4" t="n">
        <v>680</v>
      </c>
      <c r="D1058" s="9" t="inlineStr">
        <is>
          <t>Valid Palindrome II</t>
        </is>
      </c>
      <c r="E1058" s="4" t="inlineStr">
        <is>
          <t>Easy</t>
        </is>
      </c>
      <c r="F1058" s="4" t="inlineStr">
        <is>
          <t>Two Pointers</t>
        </is>
      </c>
      <c r="G1058" s="4" t="inlineStr">
        <is>
          <t>Wrong Answer</t>
        </is>
      </c>
      <c r="H1058" s="4" t="inlineStr">
        <is>
          <t>Python3</t>
        </is>
      </c>
      <c r="I1058" s="4" t="inlineStr">
        <is>
          <t>N/A</t>
        </is>
      </c>
      <c r="J1058" s="4" t="inlineStr">
        <is>
          <t>N/A</t>
        </is>
      </c>
      <c r="K1058" s="4" t="n"/>
      <c r="L1058" s="4" t="inlineStr">
        <is>
          <t>370/469</t>
        </is>
      </c>
      <c r="M1058" s="9" t="inlineStr">
        <is>
          <t>Submission 1124638597</t>
        </is>
      </c>
      <c r="N1058" s="4" t="inlineStr">
        <is>
          <t>Yes</t>
        </is>
      </c>
    </row>
    <row r="1059">
      <c r="A1059" s="11" t="n">
        <v>45281.2190162037</v>
      </c>
      <c r="B1059" s="4" t="inlineStr">
        <is>
          <t>2023-12</t>
        </is>
      </c>
      <c r="C1059" s="4" t="n">
        <v>680</v>
      </c>
      <c r="D1059" s="9" t="inlineStr">
        <is>
          <t>Valid Palindrome II</t>
        </is>
      </c>
      <c r="E1059" s="4" t="inlineStr">
        <is>
          <t>Easy</t>
        </is>
      </c>
      <c r="F1059" s="4" t="inlineStr">
        <is>
          <t>Two Pointers</t>
        </is>
      </c>
      <c r="G1059" s="4" t="inlineStr">
        <is>
          <t>Wrong Answer</t>
        </is>
      </c>
      <c r="H1059" s="4" t="inlineStr">
        <is>
          <t>Python3</t>
        </is>
      </c>
      <c r="I1059" s="4" t="inlineStr">
        <is>
          <t>N/A</t>
        </is>
      </c>
      <c r="J1059" s="4" t="inlineStr">
        <is>
          <t>N/A</t>
        </is>
      </c>
      <c r="K1059" s="4" t="n"/>
      <c r="L1059" s="4" t="inlineStr">
        <is>
          <t>370/469</t>
        </is>
      </c>
      <c r="M1059" s="9" t="inlineStr">
        <is>
          <t>Submission 1124638629</t>
        </is>
      </c>
      <c r="N1059" s="4" t="inlineStr">
        <is>
          <t>Yes</t>
        </is>
      </c>
    </row>
    <row r="1060">
      <c r="A1060" s="11" t="n">
        <v>45281.21935185185</v>
      </c>
      <c r="B1060" s="4" t="inlineStr">
        <is>
          <t>2023-12</t>
        </is>
      </c>
      <c r="C1060" s="4" t="n">
        <v>680</v>
      </c>
      <c r="D1060" s="9" t="inlineStr">
        <is>
          <t>Valid Palindrome II</t>
        </is>
      </c>
      <c r="E1060" s="4" t="inlineStr">
        <is>
          <t>Easy</t>
        </is>
      </c>
      <c r="F1060" s="4" t="inlineStr">
        <is>
          <t>Two Pointers</t>
        </is>
      </c>
      <c r="G1060" s="4" t="inlineStr">
        <is>
          <t>Wrong Answer</t>
        </is>
      </c>
      <c r="H1060" s="4" t="inlineStr">
        <is>
          <t>Python3</t>
        </is>
      </c>
      <c r="I1060" s="4" t="inlineStr">
        <is>
          <t>N/A</t>
        </is>
      </c>
      <c r="J1060" s="4" t="inlineStr">
        <is>
          <t>N/A</t>
        </is>
      </c>
      <c r="K1060" s="4" t="n"/>
      <c r="L1060" s="4" t="inlineStr">
        <is>
          <t>370/469</t>
        </is>
      </c>
      <c r="M1060" s="9" t="inlineStr">
        <is>
          <t>Submission 1124638810</t>
        </is>
      </c>
      <c r="N1060" s="4" t="inlineStr">
        <is>
          <t>Yes</t>
        </is>
      </c>
    </row>
    <row r="1061">
      <c r="A1061" s="11" t="n">
        <v>45281.22083333333</v>
      </c>
      <c r="B1061" s="4" t="inlineStr">
        <is>
          <t>2023-12</t>
        </is>
      </c>
      <c r="C1061" s="4" t="n">
        <v>680</v>
      </c>
      <c r="D1061" s="9" t="inlineStr">
        <is>
          <t>Valid Palindrome II</t>
        </is>
      </c>
      <c r="E1061" s="4" t="inlineStr">
        <is>
          <t>Easy</t>
        </is>
      </c>
      <c r="F1061" s="4" t="inlineStr">
        <is>
          <t>Two Pointers</t>
        </is>
      </c>
      <c r="G1061" s="4" t="inlineStr">
        <is>
          <t>Accepted</t>
        </is>
      </c>
      <c r="H1061" s="4" t="inlineStr">
        <is>
          <t>Python3</t>
        </is>
      </c>
      <c r="I1061" s="4" t="inlineStr">
        <is>
          <t>93 ms</t>
        </is>
      </c>
      <c r="J1061" s="4" t="inlineStr">
        <is>
          <t>18 MB</t>
        </is>
      </c>
      <c r="K1061" s="4" t="n">
        <v>5.6</v>
      </c>
      <c r="L1061" s="4" t="inlineStr">
        <is>
          <t>469/469</t>
        </is>
      </c>
      <c r="M1061" s="9" t="inlineStr">
        <is>
          <t>Submission 1124639635</t>
        </is>
      </c>
      <c r="N1061" s="4" t="inlineStr">
        <is>
          <t>Yes</t>
        </is>
      </c>
    </row>
    <row r="1062">
      <c r="A1062" s="11" t="n">
        <v>45281.23299768518</v>
      </c>
      <c r="B1062" s="4" t="inlineStr">
        <is>
          <t>2023-12</t>
        </is>
      </c>
      <c r="C1062" s="4" t="n">
        <v>543</v>
      </c>
      <c r="D1062" s="9" t="inlineStr">
        <is>
          <t>Diameter of Binary Tree</t>
        </is>
      </c>
      <c r="E1062" s="4" t="inlineStr">
        <is>
          <t>Easy</t>
        </is>
      </c>
      <c r="F1062" s="4" t="inlineStr">
        <is>
          <t>DP: On Trees</t>
        </is>
      </c>
      <c r="G1062" s="4" t="inlineStr">
        <is>
          <t>Accepted</t>
        </is>
      </c>
      <c r="H1062" s="4" t="inlineStr">
        <is>
          <t>Python3</t>
        </is>
      </c>
      <c r="I1062" s="4" t="inlineStr">
        <is>
          <t>60 ms</t>
        </is>
      </c>
      <c r="J1062" s="4" t="inlineStr">
        <is>
          <t>18.5 MB</t>
        </is>
      </c>
      <c r="K1062" s="4" t="n">
        <v>5.1</v>
      </c>
      <c r="L1062" s="4" t="inlineStr">
        <is>
          <t>105/105</t>
        </is>
      </c>
      <c r="M1062" s="9" t="inlineStr">
        <is>
          <t>Submission 1124645907</t>
        </is>
      </c>
      <c r="N1062" s="4" t="inlineStr">
        <is>
          <t>No</t>
        </is>
      </c>
    </row>
    <row r="1063">
      <c r="A1063" s="11" t="n">
        <v>45281.44233796297</v>
      </c>
      <c r="B1063" s="4" t="inlineStr">
        <is>
          <t>2023-12</t>
        </is>
      </c>
      <c r="C1063" s="4" t="n">
        <v>543</v>
      </c>
      <c r="D1063" s="9" t="inlineStr">
        <is>
          <t>Diameter of Binary Tree</t>
        </is>
      </c>
      <c r="E1063" s="4" t="inlineStr">
        <is>
          <t>Easy</t>
        </is>
      </c>
      <c r="F1063" s="4" t="inlineStr">
        <is>
          <t>DP: On Trees</t>
        </is>
      </c>
      <c r="G1063" s="4" t="inlineStr">
        <is>
          <t>Accepted</t>
        </is>
      </c>
      <c r="H1063" s="4" t="inlineStr">
        <is>
          <t>Python3</t>
        </is>
      </c>
      <c r="I1063" s="4" t="inlineStr">
        <is>
          <t>37 ms</t>
        </is>
      </c>
      <c r="J1063" s="4" t="inlineStr">
        <is>
          <t>18.9 MB</t>
        </is>
      </c>
      <c r="K1063" s="4" t="n">
        <v>5.1</v>
      </c>
      <c r="L1063" s="4" t="inlineStr">
        <is>
          <t>105/105</t>
        </is>
      </c>
      <c r="M1063" s="9" t="inlineStr">
        <is>
          <t>Submission 1124787020</t>
        </is>
      </c>
      <c r="N1063" s="4" t="inlineStr">
        <is>
          <t>No</t>
        </is>
      </c>
    </row>
    <row r="1064">
      <c r="A1064" s="11" t="n">
        <v>45281.93094907407</v>
      </c>
      <c r="B1064" s="4" t="inlineStr">
        <is>
          <t>2023-12</t>
        </is>
      </c>
      <c r="C1064" s="4" t="n">
        <v>173</v>
      </c>
      <c r="D1064" s="9" t="inlineStr">
        <is>
          <t>Binary Search Tree Iterator</t>
        </is>
      </c>
      <c r="E1064" s="4" t="inlineStr">
        <is>
          <t>Medium</t>
        </is>
      </c>
      <c r="F1064" s="4" t="inlineStr">
        <is>
          <t>Binary Search Tree</t>
        </is>
      </c>
      <c r="G1064" s="4" t="inlineStr">
        <is>
          <t>Accepted</t>
        </is>
      </c>
      <c r="H1064" s="4" t="inlineStr">
        <is>
          <t>Python3</t>
        </is>
      </c>
      <c r="I1064" s="4" t="inlineStr">
        <is>
          <t>65 ms</t>
        </is>
      </c>
      <c r="J1064" s="4" t="inlineStr">
        <is>
          <t>23.2 MB</t>
        </is>
      </c>
      <c r="K1064" s="4" t="n">
        <v>5.8</v>
      </c>
      <c r="L1064" s="4" t="inlineStr">
        <is>
          <t>61/61</t>
        </is>
      </c>
      <c r="M1064" s="9" t="inlineStr">
        <is>
          <t>Submission 1125232440</t>
        </is>
      </c>
      <c r="N1064" s="4" t="inlineStr">
        <is>
          <t>No</t>
        </is>
      </c>
    </row>
    <row r="1065">
      <c r="A1065" s="11" t="n">
        <v>45282.03037037037</v>
      </c>
      <c r="B1065" s="4" t="inlineStr">
        <is>
          <t>2023-12</t>
        </is>
      </c>
      <c r="C1065" s="4" t="n">
        <v>691</v>
      </c>
      <c r="D1065" s="9" t="inlineStr">
        <is>
          <t>Stickers to Spell Word</t>
        </is>
      </c>
      <c r="E1065" s="4" t="inlineStr">
        <is>
          <t>Hard</t>
        </is>
      </c>
      <c r="F1065" s="4" t="inlineStr">
        <is>
          <t>DP: Bitmask</t>
        </is>
      </c>
      <c r="G1065" s="4" t="inlineStr">
        <is>
          <t>Accepted</t>
        </is>
      </c>
      <c r="H1065" s="4" t="inlineStr">
        <is>
          <t>Python3</t>
        </is>
      </c>
      <c r="I1065" s="4" t="inlineStr">
        <is>
          <t>856 ms</t>
        </is>
      </c>
      <c r="J1065" s="4" t="inlineStr">
        <is>
          <t>18.3 MB</t>
        </is>
      </c>
      <c r="K1065" s="4" t="n">
        <v>31.5</v>
      </c>
      <c r="L1065" s="4" t="inlineStr">
        <is>
          <t>101/101</t>
        </is>
      </c>
      <c r="M1065" s="9" t="inlineStr">
        <is>
          <t>Submission 1125331930</t>
        </is>
      </c>
      <c r="N1065" s="4" t="inlineStr">
        <is>
          <t>No</t>
        </is>
      </c>
    </row>
    <row r="1066">
      <c r="A1066" s="11" t="n">
        <v>45282.12063657407</v>
      </c>
      <c r="B1066" s="4" t="inlineStr">
        <is>
          <t>2023-12</t>
        </is>
      </c>
      <c r="C1066" s="4" t="n">
        <v>691</v>
      </c>
      <c r="D1066" s="9" t="inlineStr">
        <is>
          <t>Stickers to Spell Word</t>
        </is>
      </c>
      <c r="E1066" s="4" t="inlineStr">
        <is>
          <t>Hard</t>
        </is>
      </c>
      <c r="F1066" s="4" t="inlineStr">
        <is>
          <t>DP: Bitmask</t>
        </is>
      </c>
      <c r="G1066" s="4" t="inlineStr">
        <is>
          <t>Output Limit Exceeded</t>
        </is>
      </c>
      <c r="H1066" s="4" t="inlineStr">
        <is>
          <t>Python3</t>
        </is>
      </c>
      <c r="I1066" s="4" t="inlineStr">
        <is>
          <t>N/A</t>
        </is>
      </c>
      <c r="J1066" s="4" t="inlineStr">
        <is>
          <t>N/A</t>
        </is>
      </c>
      <c r="K1066" s="4" t="n"/>
      <c r="L1066" s="4" t="inlineStr">
        <is>
          <t>66/101</t>
        </is>
      </c>
      <c r="M1066" s="9" t="inlineStr">
        <is>
          <t>Submission 1125395706</t>
        </is>
      </c>
      <c r="N1066" s="4" t="inlineStr">
        <is>
          <t>No</t>
        </is>
      </c>
    </row>
    <row r="1067">
      <c r="A1067" s="11" t="n">
        <v>45282.12083333333</v>
      </c>
      <c r="B1067" s="4" t="inlineStr">
        <is>
          <t>2023-12</t>
        </is>
      </c>
      <c r="C1067" s="4" t="n">
        <v>691</v>
      </c>
      <c r="D1067" s="9" t="inlineStr">
        <is>
          <t>Stickers to Spell Word</t>
        </is>
      </c>
      <c r="E1067" s="4" t="inlineStr">
        <is>
          <t>Hard</t>
        </is>
      </c>
      <c r="F1067" s="4" t="inlineStr">
        <is>
          <t>DP: Bitmask</t>
        </is>
      </c>
      <c r="G1067" s="4" t="inlineStr">
        <is>
          <t>Accepted</t>
        </is>
      </c>
      <c r="H1067" s="4" t="inlineStr">
        <is>
          <t>Python3</t>
        </is>
      </c>
      <c r="I1067" s="4" t="inlineStr">
        <is>
          <t>2864 ms</t>
        </is>
      </c>
      <c r="J1067" s="4" t="inlineStr">
        <is>
          <t>20.5 MB</t>
        </is>
      </c>
      <c r="K1067" s="4" t="n">
        <v>16.9</v>
      </c>
      <c r="L1067" s="4" t="inlineStr">
        <is>
          <t>101/101</t>
        </is>
      </c>
      <c r="M1067" s="9" t="inlineStr">
        <is>
          <t>Submission 1125395839</t>
        </is>
      </c>
      <c r="N1067" s="4" t="inlineStr">
        <is>
          <t>No</t>
        </is>
      </c>
    </row>
    <row r="1068">
      <c r="A1068" s="11" t="n">
        <v>45282.1209375</v>
      </c>
      <c r="B1068" s="4" t="inlineStr">
        <is>
          <t>2023-12</t>
        </is>
      </c>
      <c r="C1068" s="4" t="n">
        <v>691</v>
      </c>
      <c r="D1068" s="9" t="inlineStr">
        <is>
          <t>Stickers to Spell Word</t>
        </is>
      </c>
      <c r="E1068" s="4" t="inlineStr">
        <is>
          <t>Hard</t>
        </is>
      </c>
      <c r="F1068" s="4" t="inlineStr">
        <is>
          <t>DP: Bitmask</t>
        </is>
      </c>
      <c r="G1068" s="4" t="inlineStr">
        <is>
          <t>Output Limit Exceeded</t>
        </is>
      </c>
      <c r="H1068" s="4" t="inlineStr">
        <is>
          <t>Python3</t>
        </is>
      </c>
      <c r="I1068" s="4" t="inlineStr">
        <is>
          <t>N/A</t>
        </is>
      </c>
      <c r="J1068" s="4" t="inlineStr">
        <is>
          <t>N/A</t>
        </is>
      </c>
      <c r="K1068" s="4" t="n"/>
      <c r="L1068" s="4" t="inlineStr">
        <is>
          <t>66/101</t>
        </is>
      </c>
      <c r="M1068" s="9" t="inlineStr">
        <is>
          <t>Submission 1125395919</t>
        </is>
      </c>
      <c r="N1068" s="4" t="inlineStr">
        <is>
          <t>No</t>
        </is>
      </c>
    </row>
    <row r="1069">
      <c r="A1069" s="11" t="n">
        <v>45282.12135416667</v>
      </c>
      <c r="B1069" s="4" t="inlineStr">
        <is>
          <t>2023-12</t>
        </is>
      </c>
      <c r="C1069" s="4" t="n">
        <v>691</v>
      </c>
      <c r="D1069" s="9" t="inlineStr">
        <is>
          <t>Stickers to Spell Word</t>
        </is>
      </c>
      <c r="E1069" s="4" t="inlineStr">
        <is>
          <t>Hard</t>
        </is>
      </c>
      <c r="F1069" s="4" t="inlineStr">
        <is>
          <t>DP: Bitmask</t>
        </is>
      </c>
      <c r="G1069" s="4" t="inlineStr">
        <is>
          <t>Output Limit Exceeded</t>
        </is>
      </c>
      <c r="H1069" s="4" t="inlineStr">
        <is>
          <t>Python3</t>
        </is>
      </c>
      <c r="I1069" s="4" t="inlineStr">
        <is>
          <t>N/A</t>
        </is>
      </c>
      <c r="J1069" s="4" t="inlineStr">
        <is>
          <t>N/A</t>
        </is>
      </c>
      <c r="K1069" s="4" t="n"/>
      <c r="L1069" s="4" t="inlineStr">
        <is>
          <t>66/101</t>
        </is>
      </c>
      <c r="M1069" s="9" t="inlineStr">
        <is>
          <t>Submission 1125396185</t>
        </is>
      </c>
      <c r="N1069" s="4" t="inlineStr">
        <is>
          <t>No</t>
        </is>
      </c>
    </row>
    <row r="1070">
      <c r="A1070" s="11" t="n">
        <v>45282.1214699074</v>
      </c>
      <c r="B1070" s="4" t="inlineStr">
        <is>
          <t>2023-12</t>
        </is>
      </c>
      <c r="C1070" s="4" t="n">
        <v>691</v>
      </c>
      <c r="D1070" s="9" t="inlineStr">
        <is>
          <t>Stickers to Spell Word</t>
        </is>
      </c>
      <c r="E1070" s="4" t="inlineStr">
        <is>
          <t>Hard</t>
        </is>
      </c>
      <c r="F1070" s="4" t="inlineStr">
        <is>
          <t>DP: Bitmask</t>
        </is>
      </c>
      <c r="G1070" s="4" t="inlineStr">
        <is>
          <t>Accepted</t>
        </is>
      </c>
      <c r="H1070" s="4" t="inlineStr">
        <is>
          <t>Python3</t>
        </is>
      </c>
      <c r="I1070" s="4" t="inlineStr">
        <is>
          <t>2636 ms</t>
        </is>
      </c>
      <c r="J1070" s="4" t="inlineStr">
        <is>
          <t>20.6 MB</t>
        </is>
      </c>
      <c r="K1070" s="4" t="n">
        <v>18.4</v>
      </c>
      <c r="L1070" s="4" t="inlineStr">
        <is>
          <t>101/101</t>
        </is>
      </c>
      <c r="M1070" s="9" t="inlineStr">
        <is>
          <t>Submission 1125396254</t>
        </is>
      </c>
      <c r="N1070" s="4" t="inlineStr">
        <is>
          <t>No</t>
        </is>
      </c>
    </row>
    <row r="1071">
      <c r="A1071" s="11" t="n">
        <v>45282.12194444444</v>
      </c>
      <c r="B1071" s="4" t="inlineStr">
        <is>
          <t>2023-12</t>
        </is>
      </c>
      <c r="C1071" s="4" t="n">
        <v>691</v>
      </c>
      <c r="D1071" s="9" t="inlineStr">
        <is>
          <t>Stickers to Spell Word</t>
        </is>
      </c>
      <c r="E1071" s="4" t="inlineStr">
        <is>
          <t>Hard</t>
        </is>
      </c>
      <c r="F1071" s="4" t="inlineStr">
        <is>
          <t>DP: Bitmask</t>
        </is>
      </c>
      <c r="G1071" s="4" t="inlineStr">
        <is>
          <t>Accepted</t>
        </is>
      </c>
      <c r="H1071" s="4" t="inlineStr">
        <is>
          <t>Python3</t>
        </is>
      </c>
      <c r="I1071" s="4" t="inlineStr">
        <is>
          <t>828 ms</t>
        </is>
      </c>
      <c r="J1071" s="4" t="inlineStr">
        <is>
          <t>18.6 MB</t>
        </is>
      </c>
      <c r="K1071" s="4" t="n">
        <v>31.5</v>
      </c>
      <c r="L1071" s="4" t="inlineStr">
        <is>
          <t>101/101</t>
        </is>
      </c>
      <c r="M1071" s="9" t="inlineStr">
        <is>
          <t>Submission 1125396531</t>
        </is>
      </c>
      <c r="N1071" s="4" t="inlineStr">
        <is>
          <t>No</t>
        </is>
      </c>
    </row>
    <row r="1072">
      <c r="A1072" s="11" t="n">
        <v>45282.12200231481</v>
      </c>
      <c r="B1072" s="4" t="inlineStr">
        <is>
          <t>2023-12</t>
        </is>
      </c>
      <c r="C1072" s="4" t="n">
        <v>691</v>
      </c>
      <c r="D1072" s="9" t="inlineStr">
        <is>
          <t>Stickers to Spell Word</t>
        </is>
      </c>
      <c r="E1072" s="4" t="inlineStr">
        <is>
          <t>Hard</t>
        </is>
      </c>
      <c r="F1072" s="4" t="inlineStr">
        <is>
          <t>DP: Bitmask</t>
        </is>
      </c>
      <c r="G1072" s="4" t="inlineStr">
        <is>
          <t>Accepted</t>
        </is>
      </c>
      <c r="H1072" s="4" t="inlineStr">
        <is>
          <t>Python3</t>
        </is>
      </c>
      <c r="I1072" s="4" t="inlineStr">
        <is>
          <t>847 ms</t>
        </is>
      </c>
      <c r="J1072" s="4" t="inlineStr">
        <is>
          <t>18.6 MB</t>
        </is>
      </c>
      <c r="K1072" s="4" t="n">
        <v>31.5</v>
      </c>
      <c r="L1072" s="4" t="inlineStr">
        <is>
          <t>101/101</t>
        </is>
      </c>
      <c r="M1072" s="9" t="inlineStr">
        <is>
          <t>Submission 1125396563</t>
        </is>
      </c>
      <c r="N1072" s="4" t="inlineStr">
        <is>
          <t>No</t>
        </is>
      </c>
    </row>
    <row r="1073">
      <c r="A1073" s="11" t="n">
        <v>45282.32530092593</v>
      </c>
      <c r="B1073" s="4" t="inlineStr">
        <is>
          <t>2023-12</t>
        </is>
      </c>
      <c r="C1073" s="4" t="n">
        <v>301</v>
      </c>
      <c r="D1073" s="9" t="inlineStr">
        <is>
          <t>Remove Invalid Parentheses</t>
        </is>
      </c>
      <c r="E1073" s="4" t="inlineStr">
        <is>
          <t>Hard</t>
        </is>
      </c>
      <c r="F1073" s="4" t="inlineStr">
        <is>
          <t>Backtracking</t>
        </is>
      </c>
      <c r="G1073" s="4" t="inlineStr">
        <is>
          <t>Accepted</t>
        </is>
      </c>
      <c r="H1073" s="4" t="inlineStr">
        <is>
          <t>Python3</t>
        </is>
      </c>
      <c r="I1073" s="4" t="inlineStr">
        <is>
          <t>244 ms</t>
        </is>
      </c>
      <c r="J1073" s="4" t="inlineStr">
        <is>
          <t>18.2 MB</t>
        </is>
      </c>
      <c r="K1073" s="4" t="n">
        <v>42.7</v>
      </c>
      <c r="L1073" s="4" t="inlineStr">
        <is>
          <t>127/127</t>
        </is>
      </c>
      <c r="M1073" s="9" t="inlineStr">
        <is>
          <t>Submission 1125507833</t>
        </is>
      </c>
      <c r="N1073" s="4" t="inlineStr">
        <is>
          <t>Yes</t>
        </is>
      </c>
    </row>
    <row r="1074">
      <c r="A1074" s="11" t="n">
        <v>45285.10984953704</v>
      </c>
      <c r="B1074" s="4" t="inlineStr">
        <is>
          <t>2023-12</t>
        </is>
      </c>
      <c r="C1074" s="4" t="n">
        <v>348</v>
      </c>
      <c r="D1074" s="9" t="inlineStr">
        <is>
          <t>Design Tic-Tac-Toe</t>
        </is>
      </c>
      <c r="E1074" s="4" t="inlineStr">
        <is>
          <t>Medium</t>
        </is>
      </c>
      <c r="F1074" s="4" t="inlineStr">
        <is>
          <t>Design</t>
        </is>
      </c>
      <c r="G1074" s="4" t="inlineStr">
        <is>
          <t>Accepted</t>
        </is>
      </c>
      <c r="H1074" s="4" t="inlineStr">
        <is>
          <t>Python3</t>
        </is>
      </c>
      <c r="I1074" s="4" t="inlineStr">
        <is>
          <t>82 ms</t>
        </is>
      </c>
      <c r="J1074" s="4" t="inlineStr">
        <is>
          <t>19.8 MB</t>
        </is>
      </c>
      <c r="K1074" s="4" t="n">
        <v>59.5</v>
      </c>
      <c r="L1074" s="4" t="inlineStr">
        <is>
          <t>33/33</t>
        </is>
      </c>
      <c r="M1074" s="9" t="inlineStr">
        <is>
          <t>Submission 1127697547</t>
        </is>
      </c>
      <c r="N1074" s="4" t="inlineStr">
        <is>
          <t>No</t>
        </is>
      </c>
    </row>
    <row r="1075">
      <c r="A1075" s="11" t="n">
        <v>45285.12549768519</v>
      </c>
      <c r="B1075" s="4" t="inlineStr">
        <is>
          <t>2023-12</t>
        </is>
      </c>
      <c r="C1075" s="4" t="n">
        <v>348</v>
      </c>
      <c r="D1075" s="9" t="inlineStr">
        <is>
          <t>Design Tic-Tac-Toe</t>
        </is>
      </c>
      <c r="E1075" s="4" t="inlineStr">
        <is>
          <t>Medium</t>
        </is>
      </c>
      <c r="F1075" s="4" t="inlineStr">
        <is>
          <t>Design</t>
        </is>
      </c>
      <c r="G1075" s="4" t="inlineStr">
        <is>
          <t>Wrong Answer</t>
        </is>
      </c>
      <c r="H1075" s="4" t="inlineStr">
        <is>
          <t>Python3</t>
        </is>
      </c>
      <c r="I1075" s="4" t="inlineStr">
        <is>
          <t>N/A</t>
        </is>
      </c>
      <c r="J1075" s="4" t="inlineStr">
        <is>
          <t>N/A</t>
        </is>
      </c>
      <c r="K1075" s="4" t="n"/>
      <c r="L1075" s="4" t="inlineStr">
        <is>
          <t>31/33</t>
        </is>
      </c>
      <c r="M1075" s="9" t="inlineStr">
        <is>
          <t>Submission 1127705937</t>
        </is>
      </c>
      <c r="N1075" s="4" t="inlineStr">
        <is>
          <t>No</t>
        </is>
      </c>
    </row>
    <row r="1076">
      <c r="A1076" s="11" t="n">
        <v>45285.12717592593</v>
      </c>
      <c r="B1076" s="4" t="inlineStr">
        <is>
          <t>2023-12</t>
        </is>
      </c>
      <c r="C1076" s="4" t="n">
        <v>348</v>
      </c>
      <c r="D1076" s="9" t="inlineStr">
        <is>
          <t>Design Tic-Tac-Toe</t>
        </is>
      </c>
      <c r="E1076" s="4" t="inlineStr">
        <is>
          <t>Medium</t>
        </is>
      </c>
      <c r="F1076" s="4" t="inlineStr">
        <is>
          <t>Design</t>
        </is>
      </c>
      <c r="G1076" s="4" t="inlineStr">
        <is>
          <t>Runtime Error</t>
        </is>
      </c>
      <c r="H1076" s="4" t="inlineStr">
        <is>
          <t>Python3</t>
        </is>
      </c>
      <c r="I1076" s="4" t="inlineStr">
        <is>
          <t>N/A</t>
        </is>
      </c>
      <c r="J1076" s="4" t="inlineStr">
        <is>
          <t>N/A</t>
        </is>
      </c>
      <c r="K1076" s="4" t="n"/>
      <c r="L1076" s="4" t="inlineStr">
        <is>
          <t>0/33</t>
        </is>
      </c>
      <c r="M1076" s="9" t="inlineStr">
        <is>
          <t>Submission 1127706807</t>
        </is>
      </c>
      <c r="N1076" s="4" t="inlineStr">
        <is>
          <t>No</t>
        </is>
      </c>
    </row>
    <row r="1077">
      <c r="A1077" s="11" t="n">
        <v>45285.12721064815</v>
      </c>
      <c r="B1077" s="4" t="inlineStr">
        <is>
          <t>2023-12</t>
        </is>
      </c>
      <c r="C1077" s="4" t="n">
        <v>348</v>
      </c>
      <c r="D1077" s="9" t="inlineStr">
        <is>
          <t>Design Tic-Tac-Toe</t>
        </is>
      </c>
      <c r="E1077" s="4" t="inlineStr">
        <is>
          <t>Medium</t>
        </is>
      </c>
      <c r="F1077" s="4" t="inlineStr">
        <is>
          <t>Design</t>
        </is>
      </c>
      <c r="G1077" s="4" t="inlineStr">
        <is>
          <t>Accepted</t>
        </is>
      </c>
      <c r="H1077" s="4" t="inlineStr">
        <is>
          <t>Python3</t>
        </is>
      </c>
      <c r="I1077" s="4" t="inlineStr">
        <is>
          <t>76 ms</t>
        </is>
      </c>
      <c r="J1077" s="4" t="inlineStr">
        <is>
          <t>20 MB</t>
        </is>
      </c>
      <c r="K1077" s="4" t="n">
        <v>84.3</v>
      </c>
      <c r="L1077" s="4" t="inlineStr">
        <is>
          <t>33/33</t>
        </is>
      </c>
      <c r="M1077" s="9" t="inlineStr">
        <is>
          <t>Submission 1127706827</t>
        </is>
      </c>
      <c r="N1077" s="4" t="inlineStr">
        <is>
          <t>No</t>
        </is>
      </c>
    </row>
    <row r="1078">
      <c r="A1078" s="11" t="n">
        <v>45285.15893518519</v>
      </c>
      <c r="B1078" s="4" t="inlineStr">
        <is>
          <t>2023-12</t>
        </is>
      </c>
      <c r="C1078" s="4" t="n">
        <v>200</v>
      </c>
      <c r="D1078" s="9" t="inlineStr">
        <is>
          <t>Number of Islands</t>
        </is>
      </c>
      <c r="E1078" s="4" t="inlineStr">
        <is>
          <t>Medium</t>
        </is>
      </c>
      <c r="F1078" s="4" t="inlineStr">
        <is>
          <t>Graph: Grid BFS/DFS</t>
        </is>
      </c>
      <c r="G1078" s="4" t="inlineStr">
        <is>
          <t>Accepted</t>
        </is>
      </c>
      <c r="H1078" s="4" t="inlineStr">
        <is>
          <t>Python3</t>
        </is>
      </c>
      <c r="I1078" s="4" t="inlineStr">
        <is>
          <t>227 ms</t>
        </is>
      </c>
      <c r="J1078" s="4" t="inlineStr">
        <is>
          <t>19.7 MB</t>
        </is>
      </c>
      <c r="K1078" s="4" t="n">
        <v>91.09999999999999</v>
      </c>
      <c r="L1078" s="4" t="inlineStr">
        <is>
          <t>49/49</t>
        </is>
      </c>
      <c r="M1078" s="9" t="inlineStr">
        <is>
          <t>Submission 1127722455</t>
        </is>
      </c>
      <c r="N1078" s="4" t="inlineStr">
        <is>
          <t>Yes</t>
        </is>
      </c>
    </row>
    <row r="1079">
      <c r="A1079" s="11" t="n">
        <v>45286.00288194444</v>
      </c>
      <c r="B1079" s="4" t="inlineStr">
        <is>
          <t>2023-12</t>
        </is>
      </c>
      <c r="C1079" s="4" t="n">
        <v>489</v>
      </c>
      <c r="D1079" s="9" t="inlineStr">
        <is>
          <t>Robot Room Cleaner</t>
        </is>
      </c>
      <c r="E1079" s="4" t="inlineStr">
        <is>
          <t>Hard</t>
        </is>
      </c>
      <c r="F1079" s="4" t="inlineStr">
        <is>
          <t>Backtracking</t>
        </is>
      </c>
      <c r="G1079" s="4" t="inlineStr">
        <is>
          <t>Accepted</t>
        </is>
      </c>
      <c r="H1079" s="4" t="inlineStr">
        <is>
          <t>Python3</t>
        </is>
      </c>
      <c r="I1079" s="4" t="inlineStr">
        <is>
          <t>57 ms</t>
        </is>
      </c>
      <c r="J1079" s="4" t="inlineStr">
        <is>
          <t>18.4 MB</t>
        </is>
      </c>
      <c r="K1079" s="4" t="n">
        <v>81.59999999999999</v>
      </c>
      <c r="L1079" s="4" t="inlineStr">
        <is>
          <t>29/29</t>
        </is>
      </c>
      <c r="M1079" s="9" t="inlineStr">
        <is>
          <t>Submission 1128338242</t>
        </is>
      </c>
      <c r="N1079" s="4" t="inlineStr">
        <is>
          <t>No</t>
        </is>
      </c>
    </row>
    <row r="1080">
      <c r="A1080" s="11" t="n">
        <v>45286.85429398148</v>
      </c>
      <c r="B1080" s="4" t="inlineStr">
        <is>
          <t>2023-12</t>
        </is>
      </c>
      <c r="C1080" s="4" t="n">
        <v>691</v>
      </c>
      <c r="D1080" s="9" t="inlineStr">
        <is>
          <t>Stickers to Spell Word</t>
        </is>
      </c>
      <c r="E1080" s="4" t="inlineStr">
        <is>
          <t>Hard</t>
        </is>
      </c>
      <c r="F1080" s="4" t="inlineStr">
        <is>
          <t>DP: Bitmask</t>
        </is>
      </c>
      <c r="G1080" s="4" t="inlineStr">
        <is>
          <t>Accepted</t>
        </is>
      </c>
      <c r="H1080" s="4" t="inlineStr">
        <is>
          <t>Python3</t>
        </is>
      </c>
      <c r="I1080" s="4" t="inlineStr">
        <is>
          <t>2781 ms</t>
        </is>
      </c>
      <c r="J1080" s="4" t="inlineStr">
        <is>
          <t>20.6 MB</t>
        </is>
      </c>
      <c r="K1080" s="4" t="n">
        <v>18</v>
      </c>
      <c r="L1080" s="4" t="inlineStr">
        <is>
          <t>101/101</t>
        </is>
      </c>
      <c r="M1080" s="9" t="inlineStr">
        <is>
          <t>Submission 1128940457</t>
        </is>
      </c>
      <c r="N1080" s="4" t="inlineStr">
        <is>
          <t>No</t>
        </is>
      </c>
    </row>
    <row r="1081">
      <c r="A1081" s="11" t="n">
        <v>45287.35822916667</v>
      </c>
      <c r="B1081" s="4" t="inlineStr">
        <is>
          <t>2023-12</t>
        </is>
      </c>
      <c r="C1081" s="4" t="n">
        <v>301</v>
      </c>
      <c r="D1081" s="9" t="inlineStr">
        <is>
          <t>Remove Invalid Parentheses</t>
        </is>
      </c>
      <c r="E1081" s="4" t="inlineStr">
        <is>
          <t>Hard</t>
        </is>
      </c>
      <c r="F1081" s="4" t="inlineStr">
        <is>
          <t>Backtracking</t>
        </is>
      </c>
      <c r="G1081" s="4" t="inlineStr">
        <is>
          <t>Output Limit Exceeded</t>
        </is>
      </c>
      <c r="H1081" s="4" t="inlineStr">
        <is>
          <t>Python3</t>
        </is>
      </c>
      <c r="I1081" s="4" t="inlineStr">
        <is>
          <t>N/A</t>
        </is>
      </c>
      <c r="J1081" s="4" t="inlineStr">
        <is>
          <t>N/A</t>
        </is>
      </c>
      <c r="K1081" s="4" t="n"/>
      <c r="L1081" s="4" t="inlineStr">
        <is>
          <t>86/127</t>
        </is>
      </c>
      <c r="M1081" s="9" t="inlineStr">
        <is>
          <t>Submission 1129326954</t>
        </is>
      </c>
      <c r="N1081" s="4" t="inlineStr">
        <is>
          <t>Yes</t>
        </is>
      </c>
    </row>
    <row r="1082">
      <c r="A1082" s="11" t="n">
        <v>45287.35839120371</v>
      </c>
      <c r="B1082" s="4" t="inlineStr">
        <is>
          <t>2023-12</t>
        </is>
      </c>
      <c r="C1082" s="4" t="n">
        <v>301</v>
      </c>
      <c r="D1082" s="9" t="inlineStr">
        <is>
          <t>Remove Invalid Parentheses</t>
        </is>
      </c>
      <c r="E1082" s="4" t="inlineStr">
        <is>
          <t>Hard</t>
        </is>
      </c>
      <c r="F1082" s="4" t="inlineStr">
        <is>
          <t>Backtracking</t>
        </is>
      </c>
      <c r="G1082" s="4" t="inlineStr">
        <is>
          <t>Time Limit Exceeded</t>
        </is>
      </c>
      <c r="H1082" s="4" t="inlineStr">
        <is>
          <t>Python3</t>
        </is>
      </c>
      <c r="I1082" s="4" t="inlineStr">
        <is>
          <t>N/A</t>
        </is>
      </c>
      <c r="J1082" s="4" t="inlineStr">
        <is>
          <t>N/A</t>
        </is>
      </c>
      <c r="K1082" s="4" t="n"/>
      <c r="L1082" s="4" t="inlineStr">
        <is>
          <t>98/127</t>
        </is>
      </c>
      <c r="M1082" s="9" t="inlineStr">
        <is>
          <t>Submission 1129327075</t>
        </is>
      </c>
      <c r="N1082" s="4" t="inlineStr">
        <is>
          <t>Yes</t>
        </is>
      </c>
    </row>
    <row r="1083">
      <c r="A1083" s="11" t="n">
        <v>45287.35868055555</v>
      </c>
      <c r="B1083" s="4" t="inlineStr">
        <is>
          <t>2023-12</t>
        </is>
      </c>
      <c r="C1083" s="4" t="n">
        <v>301</v>
      </c>
      <c r="D1083" s="9" t="inlineStr">
        <is>
          <t>Remove Invalid Parentheses</t>
        </is>
      </c>
      <c r="E1083" s="4" t="inlineStr">
        <is>
          <t>Hard</t>
        </is>
      </c>
      <c r="F1083" s="4" t="inlineStr">
        <is>
          <t>Backtracking</t>
        </is>
      </c>
      <c r="G1083" s="4" t="inlineStr">
        <is>
          <t>Accepted</t>
        </is>
      </c>
      <c r="H1083" s="4" t="inlineStr">
        <is>
          <t>Python3</t>
        </is>
      </c>
      <c r="I1083" s="4" t="inlineStr">
        <is>
          <t>53 ms</t>
        </is>
      </c>
      <c r="J1083" s="4" t="inlineStr">
        <is>
          <t>17.6 MB</t>
        </is>
      </c>
      <c r="K1083" s="4" t="n">
        <v>70.90000000000001</v>
      </c>
      <c r="L1083" s="4" t="inlineStr">
        <is>
          <t>127/127</t>
        </is>
      </c>
      <c r="M1083" s="9" t="inlineStr">
        <is>
          <t>Submission 1129327268</t>
        </is>
      </c>
      <c r="N1083" s="4" t="inlineStr">
        <is>
          <t>Yes</t>
        </is>
      </c>
    </row>
    <row r="1084">
      <c r="A1084" s="11" t="n">
        <v>45287.8794212963</v>
      </c>
      <c r="B1084" s="4" t="inlineStr">
        <is>
          <t>2023-12</t>
        </is>
      </c>
      <c r="C1084" s="4" t="n">
        <v>140</v>
      </c>
      <c r="D1084" s="9" t="inlineStr">
        <is>
          <t>Word Break II</t>
        </is>
      </c>
      <c r="E1084" s="4" t="inlineStr">
        <is>
          <t>Hard</t>
        </is>
      </c>
      <c r="F1084" s="4" t="inlineStr">
        <is>
          <t>Backtracking</t>
        </is>
      </c>
      <c r="G1084" s="4" t="inlineStr">
        <is>
          <t>Wrong Answer</t>
        </is>
      </c>
      <c r="H1084" s="4" t="inlineStr">
        <is>
          <t>Python3</t>
        </is>
      </c>
      <c r="I1084" s="4" t="inlineStr">
        <is>
          <t>N/A</t>
        </is>
      </c>
      <c r="J1084" s="4" t="inlineStr">
        <is>
          <t>N/A</t>
        </is>
      </c>
      <c r="K1084" s="4" t="n"/>
      <c r="L1084" s="4" t="inlineStr">
        <is>
          <t>23/27</t>
        </is>
      </c>
      <c r="M1084" s="9" t="inlineStr">
        <is>
          <t>Submission 1129792195</t>
        </is>
      </c>
      <c r="N1084" s="4" t="inlineStr">
        <is>
          <t>Yes</t>
        </is>
      </c>
    </row>
    <row r="1085">
      <c r="A1085" s="11" t="n">
        <v>45287.87961805556</v>
      </c>
      <c r="B1085" s="4" t="inlineStr">
        <is>
          <t>2023-12</t>
        </is>
      </c>
      <c r="C1085" s="4" t="n">
        <v>140</v>
      </c>
      <c r="D1085" s="9" t="inlineStr">
        <is>
          <t>Word Break II</t>
        </is>
      </c>
      <c r="E1085" s="4" t="inlineStr">
        <is>
          <t>Hard</t>
        </is>
      </c>
      <c r="F1085" s="4" t="inlineStr">
        <is>
          <t>Backtracking</t>
        </is>
      </c>
      <c r="G1085" s="4" t="inlineStr">
        <is>
          <t>Accepted</t>
        </is>
      </c>
      <c r="H1085" s="4" t="inlineStr">
        <is>
          <t>Python3</t>
        </is>
      </c>
      <c r="I1085" s="4" t="inlineStr">
        <is>
          <t>41 ms</t>
        </is>
      </c>
      <c r="J1085" s="4" t="inlineStr">
        <is>
          <t>17.4 MB</t>
        </is>
      </c>
      <c r="K1085" s="4" t="n">
        <v>0.3</v>
      </c>
      <c r="L1085" s="4" t="inlineStr">
        <is>
          <t>27/27</t>
        </is>
      </c>
      <c r="M1085" s="9" t="inlineStr">
        <is>
          <t>Submission 1129792391</t>
        </is>
      </c>
      <c r="N1085" s="4" t="inlineStr">
        <is>
          <t>Yes</t>
        </is>
      </c>
    </row>
    <row r="1086">
      <c r="A1086" s="11" t="n">
        <v>45287.87998842593</v>
      </c>
      <c r="B1086" s="4" t="inlineStr">
        <is>
          <t>2023-12</t>
        </is>
      </c>
      <c r="C1086" s="4" t="n">
        <v>140</v>
      </c>
      <c r="D1086" s="9" t="inlineStr">
        <is>
          <t>Word Break II</t>
        </is>
      </c>
      <c r="E1086" s="4" t="inlineStr">
        <is>
          <t>Hard</t>
        </is>
      </c>
      <c r="F1086" s="4" t="inlineStr">
        <is>
          <t>Backtracking</t>
        </is>
      </c>
      <c r="G1086" s="4" t="inlineStr">
        <is>
          <t>Wrong Answer</t>
        </is>
      </c>
      <c r="H1086" s="4" t="inlineStr">
        <is>
          <t>Python3</t>
        </is>
      </c>
      <c r="I1086" s="4" t="inlineStr">
        <is>
          <t>N/A</t>
        </is>
      </c>
      <c r="J1086" s="4" t="inlineStr">
        <is>
          <t>N/A</t>
        </is>
      </c>
      <c r="K1086" s="4" t="n"/>
      <c r="L1086" s="4" t="inlineStr">
        <is>
          <t>18/27</t>
        </is>
      </c>
      <c r="M1086" s="9" t="inlineStr">
        <is>
          <t>Submission 1129792787</t>
        </is>
      </c>
      <c r="N1086" s="4" t="inlineStr">
        <is>
          <t>Yes</t>
        </is>
      </c>
    </row>
    <row r="1087">
      <c r="A1087" s="11" t="n">
        <v>45287.88115740741</v>
      </c>
      <c r="B1087" s="4" t="inlineStr">
        <is>
          <t>2023-12</t>
        </is>
      </c>
      <c r="C1087" s="4" t="n">
        <v>140</v>
      </c>
      <c r="D1087" s="9" t="inlineStr">
        <is>
          <t>Word Break II</t>
        </is>
      </c>
      <c r="E1087" s="4" t="inlineStr">
        <is>
          <t>Hard</t>
        </is>
      </c>
      <c r="F1087" s="4" t="inlineStr">
        <is>
          <t>Backtracking</t>
        </is>
      </c>
      <c r="G1087" s="4" t="inlineStr">
        <is>
          <t>Accepted</t>
        </is>
      </c>
      <c r="H1087" s="4" t="inlineStr">
        <is>
          <t>Python3</t>
        </is>
      </c>
      <c r="I1087" s="4" t="inlineStr">
        <is>
          <t>32 ms</t>
        </is>
      </c>
      <c r="J1087" s="4" t="inlineStr">
        <is>
          <t>17.3 MB</t>
        </is>
      </c>
      <c r="K1087" s="4" t="n">
        <v>0.3</v>
      </c>
      <c r="L1087" s="4" t="inlineStr">
        <is>
          <t>27/27</t>
        </is>
      </c>
      <c r="M1087" s="9" t="inlineStr">
        <is>
          <t>Submission 1129793937</t>
        </is>
      </c>
      <c r="N1087" s="4" t="inlineStr">
        <is>
          <t>Yes</t>
        </is>
      </c>
    </row>
    <row r="1088">
      <c r="A1088" s="11" t="n">
        <v>45287.88138888889</v>
      </c>
      <c r="B1088" s="4" t="inlineStr">
        <is>
          <t>2023-12</t>
        </is>
      </c>
      <c r="C1088" s="4" t="n">
        <v>140</v>
      </c>
      <c r="D1088" s="9" t="inlineStr">
        <is>
          <t>Word Break II</t>
        </is>
      </c>
      <c r="E1088" s="4" t="inlineStr">
        <is>
          <t>Hard</t>
        </is>
      </c>
      <c r="F1088" s="4" t="inlineStr">
        <is>
          <t>Backtracking</t>
        </is>
      </c>
      <c r="G1088" s="4" t="inlineStr">
        <is>
          <t>Accepted</t>
        </is>
      </c>
      <c r="H1088" s="4" t="inlineStr">
        <is>
          <t>Python3</t>
        </is>
      </c>
      <c r="I1088" s="4" t="inlineStr">
        <is>
          <t>27 ms</t>
        </is>
      </c>
      <c r="J1088" s="4" t="inlineStr">
        <is>
          <t>17.4 MB</t>
        </is>
      </c>
      <c r="K1088" s="4" t="n">
        <v>0.3</v>
      </c>
      <c r="L1088" s="4" t="inlineStr">
        <is>
          <t>27/27</t>
        </is>
      </c>
      <c r="M1088" s="9" t="inlineStr">
        <is>
          <t>Submission 1129794153</t>
        </is>
      </c>
      <c r="N1088" s="4" t="inlineStr">
        <is>
          <t>Yes</t>
        </is>
      </c>
    </row>
    <row r="1089">
      <c r="A1089" s="11" t="n">
        <v>45288.83891203703</v>
      </c>
      <c r="B1089" s="4" t="inlineStr">
        <is>
          <t>2023-12</t>
        </is>
      </c>
      <c r="C1089" s="4" t="n">
        <v>329</v>
      </c>
      <c r="D1089" s="9" t="inlineStr">
        <is>
          <t>Longest Increasing Path in a Matrix</t>
        </is>
      </c>
      <c r="E1089" s="4" t="inlineStr">
        <is>
          <t>Hard</t>
        </is>
      </c>
      <c r="F1089" s="4" t="inlineStr">
        <is>
          <t>DP: Grid / 2D</t>
        </is>
      </c>
      <c r="G1089" s="4" t="inlineStr">
        <is>
          <t>Wrong Answer</t>
        </is>
      </c>
      <c r="H1089" s="4" t="inlineStr">
        <is>
          <t>Python3</t>
        </is>
      </c>
      <c r="I1089" s="4" t="inlineStr">
        <is>
          <t>N/A</t>
        </is>
      </c>
      <c r="J1089" s="4" t="inlineStr">
        <is>
          <t>N/A</t>
        </is>
      </c>
      <c r="K1089" s="4" t="n"/>
      <c r="L1089" s="4" t="inlineStr">
        <is>
          <t>30/138</t>
        </is>
      </c>
      <c r="M1089" s="9" t="inlineStr">
        <is>
          <t>Submission 1130607430</t>
        </is>
      </c>
      <c r="N1089" s="4" t="inlineStr">
        <is>
          <t>Yes</t>
        </is>
      </c>
    </row>
    <row r="1090">
      <c r="A1090" s="11" t="n">
        <v>45288.84253472222</v>
      </c>
      <c r="B1090" s="4" t="inlineStr">
        <is>
          <t>2023-12</t>
        </is>
      </c>
      <c r="C1090" s="4" t="n">
        <v>329</v>
      </c>
      <c r="D1090" s="9" t="inlineStr">
        <is>
          <t>Longest Increasing Path in a Matrix</t>
        </is>
      </c>
      <c r="E1090" s="4" t="inlineStr">
        <is>
          <t>Hard</t>
        </is>
      </c>
      <c r="F1090" s="4" t="inlineStr">
        <is>
          <t>DP: Grid / 2D</t>
        </is>
      </c>
      <c r="G1090" s="4" t="inlineStr">
        <is>
          <t>Time Limit Exceeded</t>
        </is>
      </c>
      <c r="H1090" s="4" t="inlineStr">
        <is>
          <t>Python3</t>
        </is>
      </c>
      <c r="I1090" s="4" t="inlineStr">
        <is>
          <t>N/A</t>
        </is>
      </c>
      <c r="J1090" s="4" t="inlineStr">
        <is>
          <t>N/A</t>
        </is>
      </c>
      <c r="K1090" s="4" t="n"/>
      <c r="L1090" s="4" t="inlineStr">
        <is>
          <t>135/138</t>
        </is>
      </c>
      <c r="M1090" s="9" t="inlineStr">
        <is>
          <t>Submission 1130610793</t>
        </is>
      </c>
      <c r="N1090" s="4" t="inlineStr">
        <is>
          <t>Yes</t>
        </is>
      </c>
    </row>
    <row r="1091">
      <c r="A1091" s="11" t="n">
        <v>45288.84359953704</v>
      </c>
      <c r="B1091" s="4" t="inlineStr">
        <is>
          <t>2023-12</t>
        </is>
      </c>
      <c r="C1091" s="4" t="n">
        <v>329</v>
      </c>
      <c r="D1091" s="9" t="inlineStr">
        <is>
          <t>Longest Increasing Path in a Matrix</t>
        </is>
      </c>
      <c r="E1091" s="4" t="inlineStr">
        <is>
          <t>Hard</t>
        </is>
      </c>
      <c r="F1091" s="4" t="inlineStr">
        <is>
          <t>DP: Grid / 2D</t>
        </is>
      </c>
      <c r="G1091" s="4" t="inlineStr">
        <is>
          <t>Time Limit Exceeded</t>
        </is>
      </c>
      <c r="H1091" s="4" t="inlineStr">
        <is>
          <t>Python3</t>
        </is>
      </c>
      <c r="I1091" s="4" t="inlineStr">
        <is>
          <t>N/A</t>
        </is>
      </c>
      <c r="J1091" s="4" t="inlineStr">
        <is>
          <t>N/A</t>
        </is>
      </c>
      <c r="K1091" s="4" t="n"/>
      <c r="L1091" s="4" t="inlineStr">
        <is>
          <t>135/138</t>
        </is>
      </c>
      <c r="M1091" s="9" t="inlineStr">
        <is>
          <t>Submission 1130611844</t>
        </is>
      </c>
      <c r="N1091" s="4" t="inlineStr">
        <is>
          <t>Yes</t>
        </is>
      </c>
    </row>
    <row r="1092">
      <c r="A1092" s="11" t="n">
        <v>45288.94925925926</v>
      </c>
      <c r="B1092" s="4" t="inlineStr">
        <is>
          <t>2023-12</t>
        </is>
      </c>
      <c r="C1092" s="4" t="n">
        <v>1631</v>
      </c>
      <c r="D1092" s="9" t="inlineStr">
        <is>
          <t>Path With Minimum Effort</t>
        </is>
      </c>
      <c r="E1092" s="4" t="inlineStr">
        <is>
          <t>Medium</t>
        </is>
      </c>
      <c r="F1092" s="4" t="inlineStr">
        <is>
          <t>Graph: Shortest Path</t>
        </is>
      </c>
      <c r="G1092" s="4" t="inlineStr">
        <is>
          <t>Accepted</t>
        </is>
      </c>
      <c r="H1092" s="4" t="inlineStr">
        <is>
          <t>Python3</t>
        </is>
      </c>
      <c r="I1092" s="4" t="inlineStr">
        <is>
          <t>642 ms</t>
        </is>
      </c>
      <c r="J1092" s="4" t="inlineStr">
        <is>
          <t>18.9 MB</t>
        </is>
      </c>
      <c r="K1092" s="4" t="n">
        <v>13.2</v>
      </c>
      <c r="L1092" s="4" t="inlineStr">
        <is>
          <t>75/75</t>
        </is>
      </c>
      <c r="M1092" s="9" t="inlineStr">
        <is>
          <t>Submission 1130722345</t>
        </is>
      </c>
      <c r="N1092" s="4" t="inlineStr">
        <is>
          <t>Yes</t>
        </is>
      </c>
    </row>
    <row r="1093">
      <c r="A1093" s="11" t="n">
        <v>45288.95716435185</v>
      </c>
      <c r="B1093" s="4" t="inlineStr">
        <is>
          <t>2023-12</t>
        </is>
      </c>
      <c r="C1093" s="4" t="n">
        <v>1631</v>
      </c>
      <c r="D1093" s="9" t="inlineStr">
        <is>
          <t>Path With Minimum Effort</t>
        </is>
      </c>
      <c r="E1093" s="4" t="inlineStr">
        <is>
          <t>Medium</t>
        </is>
      </c>
      <c r="F1093" s="4" t="inlineStr">
        <is>
          <t>Graph: Shortest Path</t>
        </is>
      </c>
      <c r="G1093" s="4" t="inlineStr">
        <is>
          <t>Output Limit Exceeded</t>
        </is>
      </c>
      <c r="H1093" s="4" t="inlineStr">
        <is>
          <t>Python3</t>
        </is>
      </c>
      <c r="I1093" s="4" t="inlineStr">
        <is>
          <t>N/A</t>
        </is>
      </c>
      <c r="J1093" s="4" t="inlineStr">
        <is>
          <t>N/A</t>
        </is>
      </c>
      <c r="K1093" s="4" t="n"/>
      <c r="L1093" s="4" t="inlineStr">
        <is>
          <t>15/75</t>
        </is>
      </c>
      <c r="M1093" s="9" t="inlineStr">
        <is>
          <t>Submission 1130731608</t>
        </is>
      </c>
      <c r="N1093" s="4" t="inlineStr">
        <is>
          <t>Yes</t>
        </is>
      </c>
    </row>
    <row r="1094">
      <c r="A1094" s="11" t="n">
        <v>45288.95729166667</v>
      </c>
      <c r="B1094" s="4" t="inlineStr">
        <is>
          <t>2023-12</t>
        </is>
      </c>
      <c r="C1094" s="4" t="n">
        <v>1631</v>
      </c>
      <c r="D1094" s="9" t="inlineStr">
        <is>
          <t>Path With Minimum Effort</t>
        </is>
      </c>
      <c r="E1094" s="4" t="inlineStr">
        <is>
          <t>Medium</t>
        </is>
      </c>
      <c r="F1094" s="4" t="inlineStr">
        <is>
          <t>Graph: Shortest Path</t>
        </is>
      </c>
      <c r="G1094" s="4" t="inlineStr">
        <is>
          <t>Accepted</t>
        </is>
      </c>
      <c r="H1094" s="4" t="inlineStr">
        <is>
          <t>Python3</t>
        </is>
      </c>
      <c r="I1094" s="4" t="inlineStr">
        <is>
          <t>598 ms</t>
        </is>
      </c>
      <c r="J1094" s="4" t="inlineStr">
        <is>
          <t>18.7 MB</t>
        </is>
      </c>
      <c r="K1094" s="4" t="n">
        <v>13.7</v>
      </c>
      <c r="L1094" s="4" t="inlineStr">
        <is>
          <t>75/75</t>
        </is>
      </c>
      <c r="M1094" s="9" t="inlineStr">
        <is>
          <t>Submission 1130731765</t>
        </is>
      </c>
      <c r="N1094" s="4" t="inlineStr">
        <is>
          <t>Yes</t>
        </is>
      </c>
    </row>
    <row r="1095">
      <c r="A1095" s="11" t="n">
        <v>45289.17943287037</v>
      </c>
      <c r="B1095" s="4" t="inlineStr">
        <is>
          <t>2023-12</t>
        </is>
      </c>
      <c r="C1095" s="4" t="n">
        <v>332</v>
      </c>
      <c r="D1095" s="9" t="inlineStr">
        <is>
          <t>Reconstruct Itinerary</t>
        </is>
      </c>
      <c r="E1095" s="4" t="inlineStr">
        <is>
          <t>Hard</t>
        </is>
      </c>
      <c r="F1095" s="4" t="inlineStr">
        <is>
          <t>Graph: General BFS/DFS</t>
        </is>
      </c>
      <c r="G1095" s="4" t="inlineStr">
        <is>
          <t>Accepted</t>
        </is>
      </c>
      <c r="H1095" s="4" t="inlineStr">
        <is>
          <t>Python3</t>
        </is>
      </c>
      <c r="I1095" s="4" t="inlineStr">
        <is>
          <t>84 ms</t>
        </is>
      </c>
      <c r="J1095" s="4" t="inlineStr">
        <is>
          <t>17.9 MB</t>
        </is>
      </c>
      <c r="K1095" s="4" t="n">
        <v>15.7</v>
      </c>
      <c r="L1095" s="4" t="inlineStr">
        <is>
          <t>81/81</t>
        </is>
      </c>
      <c r="M1095" s="9" t="inlineStr">
        <is>
          <t>Submission 1130928739</t>
        </is>
      </c>
      <c r="N1095" s="4" t="inlineStr">
        <is>
          <t>Yes</t>
        </is>
      </c>
    </row>
    <row r="1096">
      <c r="A1096" s="11" t="n">
        <v>45289.20842592593</v>
      </c>
      <c r="B1096" s="4" t="inlineStr">
        <is>
          <t>2023-12</t>
        </is>
      </c>
      <c r="C1096" s="4" t="n">
        <v>76</v>
      </c>
      <c r="D1096" s="9" t="inlineStr">
        <is>
          <t>Minimum Window Substring</t>
        </is>
      </c>
      <c r="E1096" s="4" t="inlineStr">
        <is>
          <t>Hard</t>
        </is>
      </c>
      <c r="F1096" s="4" t="inlineStr">
        <is>
          <t>Sliding Window</t>
        </is>
      </c>
      <c r="G1096" s="4" t="inlineStr">
        <is>
          <t>Accepted</t>
        </is>
      </c>
      <c r="H1096" s="4" t="inlineStr">
        <is>
          <t>Python3</t>
        </is>
      </c>
      <c r="I1096" s="4" t="inlineStr">
        <is>
          <t>769 ms</t>
        </is>
      </c>
      <c r="J1096" s="4" t="inlineStr">
        <is>
          <t>18.5 MB</t>
        </is>
      </c>
      <c r="K1096" s="4" t="n">
        <v>5</v>
      </c>
      <c r="L1096" s="4" t="inlineStr">
        <is>
          <t>267/267</t>
        </is>
      </c>
      <c r="M1096" s="9" t="inlineStr">
        <is>
          <t>Submission 1130947759</t>
        </is>
      </c>
      <c r="N1096" s="4" t="inlineStr">
        <is>
          <t>Yes</t>
        </is>
      </c>
    </row>
    <row r="1097">
      <c r="A1097" s="11" t="n">
        <v>45289.21081018518</v>
      </c>
      <c r="B1097" s="4" t="inlineStr">
        <is>
          <t>2023-12</t>
        </is>
      </c>
      <c r="C1097" s="4" t="n">
        <v>76</v>
      </c>
      <c r="D1097" s="9" t="inlineStr">
        <is>
          <t>Minimum Window Substring</t>
        </is>
      </c>
      <c r="E1097" s="4" t="inlineStr">
        <is>
          <t>Hard</t>
        </is>
      </c>
      <c r="F1097" s="4" t="inlineStr">
        <is>
          <t>Sliding Window</t>
        </is>
      </c>
      <c r="G1097" s="4" t="inlineStr">
        <is>
          <t>Accepted</t>
        </is>
      </c>
      <c r="H1097" s="4" t="inlineStr">
        <is>
          <t>Python3</t>
        </is>
      </c>
      <c r="I1097" s="4" t="inlineStr">
        <is>
          <t>755 ms</t>
        </is>
      </c>
      <c r="J1097" s="4" t="inlineStr">
        <is>
          <t>18.5 MB</t>
        </is>
      </c>
      <c r="K1097" s="4" t="n">
        <v>5</v>
      </c>
      <c r="L1097" s="4" t="inlineStr">
        <is>
          <t>267/267</t>
        </is>
      </c>
      <c r="M1097" s="9" t="inlineStr">
        <is>
          <t>Submission 1130949292</t>
        </is>
      </c>
      <c r="N1097" s="4" t="inlineStr">
        <is>
          <t>Yes</t>
        </is>
      </c>
    </row>
    <row r="1098">
      <c r="A1098" s="11" t="n">
        <v>45289.21112268518</v>
      </c>
      <c r="B1098" s="4" t="inlineStr">
        <is>
          <t>2023-12</t>
        </is>
      </c>
      <c r="C1098" s="4" t="n">
        <v>76</v>
      </c>
      <c r="D1098" s="9" t="inlineStr">
        <is>
          <t>Minimum Window Substring</t>
        </is>
      </c>
      <c r="E1098" s="4" t="inlineStr">
        <is>
          <t>Hard</t>
        </is>
      </c>
      <c r="F1098" s="4" t="inlineStr">
        <is>
          <t>Sliding Window</t>
        </is>
      </c>
      <c r="G1098" s="4" t="inlineStr">
        <is>
          <t>Accepted</t>
        </is>
      </c>
      <c r="H1098" s="4" t="inlineStr">
        <is>
          <t>Python3</t>
        </is>
      </c>
      <c r="I1098" s="4" t="inlineStr">
        <is>
          <t>265 ms</t>
        </is>
      </c>
      <c r="J1098" s="4" t="inlineStr">
        <is>
          <t>18.2 MB</t>
        </is>
      </c>
      <c r="K1098" s="4" t="n">
        <v>15.2</v>
      </c>
      <c r="L1098" s="4" t="inlineStr">
        <is>
          <t>267/267</t>
        </is>
      </c>
      <c r="M1098" s="9" t="inlineStr">
        <is>
          <t>Submission 1130949492</t>
        </is>
      </c>
      <c r="N1098" s="4" t="inlineStr">
        <is>
          <t>Yes</t>
        </is>
      </c>
    </row>
    <row r="1099">
      <c r="A1099" s="11" t="n">
        <v>45289.21123842592</v>
      </c>
      <c r="B1099" s="4" t="inlineStr">
        <is>
          <t>2023-12</t>
        </is>
      </c>
      <c r="C1099" s="4" t="n">
        <v>76</v>
      </c>
      <c r="D1099" s="9" t="inlineStr">
        <is>
          <t>Minimum Window Substring</t>
        </is>
      </c>
      <c r="E1099" s="4" t="inlineStr">
        <is>
          <t>Hard</t>
        </is>
      </c>
      <c r="F1099" s="4" t="inlineStr">
        <is>
          <t>Sliding Window</t>
        </is>
      </c>
      <c r="G1099" s="4" t="inlineStr">
        <is>
          <t>Accepted</t>
        </is>
      </c>
      <c r="H1099" s="4" t="inlineStr">
        <is>
          <t>Python3</t>
        </is>
      </c>
      <c r="I1099" s="4" t="inlineStr">
        <is>
          <t>146 ms</t>
        </is>
      </c>
      <c r="J1099" s="4" t="inlineStr">
        <is>
          <t>18.1 MB</t>
        </is>
      </c>
      <c r="K1099" s="4" t="n">
        <v>21.7</v>
      </c>
      <c r="L1099" s="4" t="inlineStr">
        <is>
          <t>267/267</t>
        </is>
      </c>
      <c r="M1099" s="9" t="inlineStr">
        <is>
          <t>Submission 1130949566</t>
        </is>
      </c>
      <c r="N1099" s="4" t="inlineStr">
        <is>
          <t>Yes</t>
        </is>
      </c>
    </row>
    <row r="1100">
      <c r="A1100" s="11" t="n">
        <v>45289.24039351852</v>
      </c>
      <c r="B1100" s="4" t="inlineStr">
        <is>
          <t>2023-12</t>
        </is>
      </c>
      <c r="C1100" s="4" t="n">
        <v>297</v>
      </c>
      <c r="D1100" s="9" t="inlineStr">
        <is>
          <t>Serialize and Deserialize Binary Tree</t>
        </is>
      </c>
      <c r="E1100" s="4" t="inlineStr">
        <is>
          <t>Hard</t>
        </is>
      </c>
      <c r="F1100" s="4" t="inlineStr">
        <is>
          <t>Binary Tree (DFS &amp; Recursion)</t>
        </is>
      </c>
      <c r="G1100" s="4" t="inlineStr">
        <is>
          <t>Accepted</t>
        </is>
      </c>
      <c r="H1100" s="4" t="inlineStr">
        <is>
          <t>Python3</t>
        </is>
      </c>
      <c r="I1100" s="4" t="inlineStr">
        <is>
          <t>187 ms</t>
        </is>
      </c>
      <c r="J1100" s="4" t="inlineStr">
        <is>
          <t>21.3 MB</t>
        </is>
      </c>
      <c r="K1100" s="4" t="n">
        <v>5.1</v>
      </c>
      <c r="L1100" s="4" t="inlineStr">
        <is>
          <t>53/53</t>
        </is>
      </c>
      <c r="M1100" s="9" t="inlineStr">
        <is>
          <t>Submission 1130967362</t>
        </is>
      </c>
      <c r="N1100" s="4" t="inlineStr">
        <is>
          <t>Yes</t>
        </is>
      </c>
    </row>
    <row r="1101">
      <c r="A1101" s="11" t="n">
        <v>45289.24421296296</v>
      </c>
      <c r="B1101" s="4" t="inlineStr">
        <is>
          <t>2023-12</t>
        </is>
      </c>
      <c r="C1101" s="4" t="n">
        <v>297</v>
      </c>
      <c r="D1101" s="9" t="inlineStr">
        <is>
          <t>Serialize and Deserialize Binary Tree</t>
        </is>
      </c>
      <c r="E1101" s="4" t="inlineStr">
        <is>
          <t>Hard</t>
        </is>
      </c>
      <c r="F1101" s="4" t="inlineStr">
        <is>
          <t>Binary Tree (DFS &amp; Recursion)</t>
        </is>
      </c>
      <c r="G1101" s="4" t="inlineStr">
        <is>
          <t>Accepted</t>
        </is>
      </c>
      <c r="H1101" s="4" t="inlineStr">
        <is>
          <t>Python3</t>
        </is>
      </c>
      <c r="I1101" s="4" t="inlineStr">
        <is>
          <t>88 ms</t>
        </is>
      </c>
      <c r="J1101" s="4" t="inlineStr">
        <is>
          <t>21.5 MB</t>
        </is>
      </c>
      <c r="K1101" s="4" t="n">
        <v>60.8</v>
      </c>
      <c r="L1101" s="4" t="inlineStr">
        <is>
          <t>53/53</t>
        </is>
      </c>
      <c r="M1101" s="9" t="inlineStr">
        <is>
          <t>Submission 1130969649</t>
        </is>
      </c>
      <c r="N1101" s="4" t="inlineStr">
        <is>
          <t>Yes</t>
        </is>
      </c>
    </row>
    <row r="1102">
      <c r="A1102" s="11" t="n">
        <v>45289.25740740741</v>
      </c>
      <c r="B1102" s="4" t="inlineStr">
        <is>
          <t>2023-12</t>
        </is>
      </c>
      <c r="C1102" s="4" t="n">
        <v>1095</v>
      </c>
      <c r="D1102" s="9" t="inlineStr">
        <is>
          <t>Find in Mountain Array</t>
        </is>
      </c>
      <c r="E1102" s="4" t="inlineStr">
        <is>
          <t>Hard</t>
        </is>
      </c>
      <c r="F1102" s="4" t="inlineStr">
        <is>
          <t>Binary Search</t>
        </is>
      </c>
      <c r="G1102" s="4" t="inlineStr">
        <is>
          <t>Wrong Answer</t>
        </is>
      </c>
      <c r="H1102" s="4" t="inlineStr">
        <is>
          <t>Python3</t>
        </is>
      </c>
      <c r="I1102" s="4" t="inlineStr">
        <is>
          <t>N/A</t>
        </is>
      </c>
      <c r="J1102" s="4" t="inlineStr">
        <is>
          <t>N/A</t>
        </is>
      </c>
      <c r="K1102" s="4" t="n"/>
      <c r="L1102" s="4" t="inlineStr">
        <is>
          <t>77/79</t>
        </is>
      </c>
      <c r="M1102" s="9" t="inlineStr">
        <is>
          <t>Submission 1130977442</t>
        </is>
      </c>
      <c r="N1102" s="4" t="inlineStr">
        <is>
          <t>Yes</t>
        </is>
      </c>
    </row>
    <row r="1103">
      <c r="A1103" s="11" t="n">
        <v>45289.25803240741</v>
      </c>
      <c r="B1103" s="4" t="inlineStr">
        <is>
          <t>2023-12</t>
        </is>
      </c>
      <c r="C1103" s="4" t="n">
        <v>1095</v>
      </c>
      <c r="D1103" s="9" t="inlineStr">
        <is>
          <t>Find in Mountain Array</t>
        </is>
      </c>
      <c r="E1103" s="4" t="inlineStr">
        <is>
          <t>Hard</t>
        </is>
      </c>
      <c r="F1103" s="4" t="inlineStr">
        <is>
          <t>Binary Search</t>
        </is>
      </c>
      <c r="G1103" s="4" t="inlineStr">
        <is>
          <t>Accepted</t>
        </is>
      </c>
      <c r="H1103" s="4" t="inlineStr">
        <is>
          <t>Python3</t>
        </is>
      </c>
      <c r="I1103" s="4" t="inlineStr">
        <is>
          <t>56 ms</t>
        </is>
      </c>
      <c r="J1103" s="4" t="inlineStr">
        <is>
          <t>18.2 MB</t>
        </is>
      </c>
      <c r="K1103" s="4" t="n">
        <v>5.8</v>
      </c>
      <c r="L1103" s="4" t="inlineStr">
        <is>
          <t>79/79</t>
        </is>
      </c>
      <c r="M1103" s="9" t="inlineStr">
        <is>
          <t>Submission 1130977791</t>
        </is>
      </c>
      <c r="N1103" s="4" t="inlineStr">
        <is>
          <t>Yes</t>
        </is>
      </c>
    </row>
    <row r="1104">
      <c r="A1104" s="11" t="n">
        <v>45289.25864583333</v>
      </c>
      <c r="B1104" s="4" t="inlineStr">
        <is>
          <t>2023-12</t>
        </is>
      </c>
      <c r="C1104" s="4" t="n">
        <v>1095</v>
      </c>
      <c r="D1104" s="9" t="inlineStr">
        <is>
          <t>Find in Mountain Array</t>
        </is>
      </c>
      <c r="E1104" s="4" t="inlineStr">
        <is>
          <t>Hard</t>
        </is>
      </c>
      <c r="F1104" s="4" t="inlineStr">
        <is>
          <t>Binary Search</t>
        </is>
      </c>
      <c r="G1104" s="4" t="inlineStr">
        <is>
          <t>Accepted</t>
        </is>
      </c>
      <c r="H1104" s="4" t="inlineStr">
        <is>
          <t>Python3</t>
        </is>
      </c>
      <c r="I1104" s="4" t="inlineStr">
        <is>
          <t>75 ms</t>
        </is>
      </c>
      <c r="J1104" s="4" t="inlineStr">
        <is>
          <t>18.3 MB</t>
        </is>
      </c>
      <c r="K1104" s="4" t="n">
        <v>5.8</v>
      </c>
      <c r="L1104" s="4" t="inlineStr">
        <is>
          <t>79/79</t>
        </is>
      </c>
      <c r="M1104" s="9" t="inlineStr">
        <is>
          <t>Submission 1130978155</t>
        </is>
      </c>
      <c r="N1104" s="4" t="inlineStr">
        <is>
          <t>Yes</t>
        </is>
      </c>
    </row>
    <row r="1105">
      <c r="A1105" s="11" t="n">
        <v>45289.35700231481</v>
      </c>
      <c r="B1105" s="4" t="inlineStr">
        <is>
          <t>2023-12</t>
        </is>
      </c>
      <c r="C1105" s="4" t="n">
        <v>84</v>
      </c>
      <c r="D1105" s="9" t="inlineStr">
        <is>
          <t>Largest Rectangle in Histogram</t>
        </is>
      </c>
      <c r="E1105" s="4" t="inlineStr">
        <is>
          <t>Hard</t>
        </is>
      </c>
      <c r="F1105" s="4" t="inlineStr">
        <is>
          <t>Monotonic Stack / Deque</t>
        </is>
      </c>
      <c r="G1105" s="4" t="inlineStr">
        <is>
          <t>Accepted</t>
        </is>
      </c>
      <c r="H1105" s="4" t="inlineStr">
        <is>
          <t>Python3</t>
        </is>
      </c>
      <c r="I1105" s="4" t="inlineStr">
        <is>
          <t>1353 ms</t>
        </is>
      </c>
      <c r="J1105" s="4" t="inlineStr">
        <is>
          <t>31.1 MB</t>
        </is>
      </c>
      <c r="K1105" s="4" t="n">
        <v>5.1</v>
      </c>
      <c r="L1105" s="4" t="inlineStr">
        <is>
          <t>98/98</t>
        </is>
      </c>
      <c r="M1105" s="9" t="inlineStr">
        <is>
          <t>Submission 1131038362</t>
        </is>
      </c>
      <c r="N1105" s="4" t="inlineStr">
        <is>
          <t>Yes</t>
        </is>
      </c>
    </row>
    <row r="1106">
      <c r="A1106" s="11" t="n">
        <v>45289.35997685185</v>
      </c>
      <c r="B1106" s="4" t="inlineStr">
        <is>
          <t>2023-12</t>
        </is>
      </c>
      <c r="C1106" s="4" t="n">
        <v>84</v>
      </c>
      <c r="D1106" s="9" t="inlineStr">
        <is>
          <t>Largest Rectangle in Histogram</t>
        </is>
      </c>
      <c r="E1106" s="4" t="inlineStr">
        <is>
          <t>Hard</t>
        </is>
      </c>
      <c r="F1106" s="4" t="inlineStr">
        <is>
          <t>Monotonic Stack / Deque</t>
        </is>
      </c>
      <c r="G1106" s="4" t="inlineStr">
        <is>
          <t>Accepted</t>
        </is>
      </c>
      <c r="H1106" s="4" t="inlineStr">
        <is>
          <t>Python3</t>
        </is>
      </c>
      <c r="I1106" s="4" t="inlineStr">
        <is>
          <t>702 ms</t>
        </is>
      </c>
      <c r="J1106" s="4" t="inlineStr">
        <is>
          <t>31.2 MB</t>
        </is>
      </c>
      <c r="K1106" s="4" t="n">
        <v>5.1</v>
      </c>
      <c r="L1106" s="4" t="inlineStr">
        <is>
          <t>98/98</t>
        </is>
      </c>
      <c r="M1106" s="9" t="inlineStr">
        <is>
          <t>Submission 1131040251</t>
        </is>
      </c>
      <c r="N1106" s="4" t="inlineStr">
        <is>
          <t>Yes</t>
        </is>
      </c>
    </row>
    <row r="1107">
      <c r="A1107" s="11" t="n">
        <v>45289.97253472222</v>
      </c>
      <c r="B1107" s="4" t="inlineStr">
        <is>
          <t>2023-12</t>
        </is>
      </c>
      <c r="C1107" s="4" t="n">
        <v>282</v>
      </c>
      <c r="D1107" s="9" t="inlineStr">
        <is>
          <t>Expression Add Operators</t>
        </is>
      </c>
      <c r="E1107" s="4" t="inlineStr">
        <is>
          <t>Hard</t>
        </is>
      </c>
      <c r="F1107" s="4" t="inlineStr">
        <is>
          <t>Backtracking</t>
        </is>
      </c>
      <c r="G1107" s="4" t="inlineStr">
        <is>
          <t>Wrong Answer</t>
        </is>
      </c>
      <c r="H1107" s="4" t="inlineStr">
        <is>
          <t>Python3</t>
        </is>
      </c>
      <c r="I1107" s="4" t="inlineStr">
        <is>
          <t>N/A</t>
        </is>
      </c>
      <c r="J1107" s="4" t="inlineStr">
        <is>
          <t>N/A</t>
        </is>
      </c>
      <c r="K1107" s="4" t="n"/>
      <c r="L1107" s="4" t="inlineStr">
        <is>
          <t>20/23</t>
        </is>
      </c>
      <c r="M1107" s="9" t="inlineStr">
        <is>
          <t>Submission 1131581265</t>
        </is>
      </c>
      <c r="N1107" s="4" t="inlineStr">
        <is>
          <t>No</t>
        </is>
      </c>
    </row>
    <row r="1108">
      <c r="A1108" s="11" t="n">
        <v>45289.97336805556</v>
      </c>
      <c r="B1108" s="4" t="inlineStr">
        <is>
          <t>2023-12</t>
        </is>
      </c>
      <c r="C1108" s="4" t="n">
        <v>282</v>
      </c>
      <c r="D1108" s="9" t="inlineStr">
        <is>
          <t>Expression Add Operators</t>
        </is>
      </c>
      <c r="E1108" s="4" t="inlineStr">
        <is>
          <t>Hard</t>
        </is>
      </c>
      <c r="F1108" s="4" t="inlineStr">
        <is>
          <t>Backtracking</t>
        </is>
      </c>
      <c r="G1108" s="4" t="inlineStr">
        <is>
          <t>Accepted</t>
        </is>
      </c>
      <c r="H1108" s="4" t="inlineStr">
        <is>
          <t>Python3</t>
        </is>
      </c>
      <c r="I1108" s="4" t="inlineStr">
        <is>
          <t>443 ms</t>
        </is>
      </c>
      <c r="J1108" s="4" t="inlineStr">
        <is>
          <t>17.9 MB</t>
        </is>
      </c>
      <c r="K1108" s="4" t="n">
        <v>39.1</v>
      </c>
      <c r="L1108" s="4" t="inlineStr">
        <is>
          <t>23/23</t>
        </is>
      </c>
      <c r="M1108" s="9" t="inlineStr">
        <is>
          <t>Submission 1131582212</t>
        </is>
      </c>
      <c r="N1108" s="4" t="inlineStr">
        <is>
          <t>No</t>
        </is>
      </c>
    </row>
    <row r="1109">
      <c r="A1109" s="11" t="n">
        <v>45290.09109953704</v>
      </c>
      <c r="B1109" s="4" t="inlineStr">
        <is>
          <t>2023-12</t>
        </is>
      </c>
      <c r="C1109" s="4" t="n">
        <v>212</v>
      </c>
      <c r="D1109" s="9" t="inlineStr">
        <is>
          <t>Word Search II</t>
        </is>
      </c>
      <c r="E1109" s="4" t="inlineStr">
        <is>
          <t>Hard</t>
        </is>
      </c>
      <c r="F1109" s="4" t="inlineStr">
        <is>
          <t>Trie</t>
        </is>
      </c>
      <c r="G1109" s="4" t="inlineStr">
        <is>
          <t>Time Limit Exceeded</t>
        </is>
      </c>
      <c r="H1109" s="4" t="inlineStr">
        <is>
          <t>Python3</t>
        </is>
      </c>
      <c r="I1109" s="4" t="inlineStr">
        <is>
          <t>N/A</t>
        </is>
      </c>
      <c r="J1109" s="4" t="inlineStr">
        <is>
          <t>N/A</t>
        </is>
      </c>
      <c r="K1109" s="4" t="n"/>
      <c r="L1109" s="4" t="inlineStr">
        <is>
          <t>63/65</t>
        </is>
      </c>
      <c r="M1109" s="9" t="inlineStr">
        <is>
          <t>Submission 1131690819</t>
        </is>
      </c>
      <c r="N1109" s="4" t="inlineStr">
        <is>
          <t>Yes</t>
        </is>
      </c>
    </row>
    <row r="1110">
      <c r="A1110" s="11" t="n">
        <v>45290.0946412037</v>
      </c>
      <c r="B1110" s="4" t="inlineStr">
        <is>
          <t>2023-12</t>
        </is>
      </c>
      <c r="C1110" s="4" t="n">
        <v>212</v>
      </c>
      <c r="D1110" s="9" t="inlineStr">
        <is>
          <t>Word Search II</t>
        </is>
      </c>
      <c r="E1110" s="4" t="inlineStr">
        <is>
          <t>Hard</t>
        </is>
      </c>
      <c r="F1110" s="4" t="inlineStr">
        <is>
          <t>Trie</t>
        </is>
      </c>
      <c r="G1110" s="4" t="inlineStr">
        <is>
          <t>Time Limit Exceeded</t>
        </is>
      </c>
      <c r="H1110" s="4" t="inlineStr">
        <is>
          <t>Python3</t>
        </is>
      </c>
      <c r="I1110" s="4" t="inlineStr">
        <is>
          <t>N/A</t>
        </is>
      </c>
      <c r="J1110" s="4" t="inlineStr">
        <is>
          <t>N/A</t>
        </is>
      </c>
      <c r="K1110" s="4" t="n"/>
      <c r="L1110" s="4" t="inlineStr">
        <is>
          <t>63/65</t>
        </is>
      </c>
      <c r="M1110" s="9" t="inlineStr">
        <is>
          <t>Submission 1131693426</t>
        </is>
      </c>
      <c r="N1110" s="4" t="inlineStr">
        <is>
          <t>Yes</t>
        </is>
      </c>
    </row>
    <row r="1111">
      <c r="A1111" s="11" t="n">
        <v>45290.11505787037</v>
      </c>
      <c r="B1111" s="4" t="inlineStr">
        <is>
          <t>2023-12</t>
        </is>
      </c>
      <c r="C1111" s="4" t="n">
        <v>996</v>
      </c>
      <c r="D1111" s="9" t="inlineStr">
        <is>
          <t>Number of Squareful Arrays</t>
        </is>
      </c>
      <c r="E1111" s="4" t="inlineStr">
        <is>
          <t>Hard</t>
        </is>
      </c>
      <c r="F1111" s="4" t="inlineStr">
        <is>
          <t>Backtracking</t>
        </is>
      </c>
      <c r="G1111" s="4" t="inlineStr">
        <is>
          <t>Accepted</t>
        </is>
      </c>
      <c r="H1111" s="4" t="inlineStr">
        <is>
          <t>Python3</t>
        </is>
      </c>
      <c r="I1111" s="4" t="inlineStr">
        <is>
          <t>69 ms</t>
        </is>
      </c>
      <c r="J1111" s="4" t="inlineStr">
        <is>
          <t>17.4 MB</t>
        </is>
      </c>
      <c r="K1111" s="4" t="n">
        <v>9.199999999999999</v>
      </c>
      <c r="L1111" s="4" t="inlineStr">
        <is>
          <t>76/76</t>
        </is>
      </c>
      <c r="M1111" s="9" t="inlineStr">
        <is>
          <t>Submission 1131708431</t>
        </is>
      </c>
      <c r="N1111" s="4" t="inlineStr">
        <is>
          <t>No</t>
        </is>
      </c>
    </row>
    <row r="1112">
      <c r="A1112" s="11" t="n">
        <v>45290.11512731481</v>
      </c>
      <c r="B1112" s="4" t="inlineStr">
        <is>
          <t>2023-12</t>
        </is>
      </c>
      <c r="C1112" s="4" t="n">
        <v>996</v>
      </c>
      <c r="D1112" s="9" t="inlineStr">
        <is>
          <t>Number of Squareful Arrays</t>
        </is>
      </c>
      <c r="E1112" s="4" t="inlineStr">
        <is>
          <t>Hard</t>
        </is>
      </c>
      <c r="F1112" s="4" t="inlineStr">
        <is>
          <t>Backtracking</t>
        </is>
      </c>
      <c r="G1112" s="4" t="inlineStr">
        <is>
          <t>Accepted</t>
        </is>
      </c>
      <c r="H1112" s="4" t="inlineStr">
        <is>
          <t>Python3</t>
        </is>
      </c>
      <c r="I1112" s="4" t="inlineStr">
        <is>
          <t>37 ms</t>
        </is>
      </c>
      <c r="J1112" s="4" t="inlineStr">
        <is>
          <t>17.4 MB</t>
        </is>
      </c>
      <c r="K1112" s="4" t="n">
        <v>10.9</v>
      </c>
      <c r="L1112" s="4" t="inlineStr">
        <is>
          <t>76/76</t>
        </is>
      </c>
      <c r="M1112" s="9" t="inlineStr">
        <is>
          <t>Submission 1131708471</t>
        </is>
      </c>
      <c r="N1112" s="4" t="inlineStr">
        <is>
          <t>No</t>
        </is>
      </c>
    </row>
    <row r="1113">
      <c r="A1113" s="11" t="n">
        <v>45290.11695601852</v>
      </c>
      <c r="B1113" s="4" t="inlineStr">
        <is>
          <t>2023-12</t>
        </is>
      </c>
      <c r="C1113" s="4" t="n">
        <v>996</v>
      </c>
      <c r="D1113" s="9" t="inlineStr">
        <is>
          <t>Number of Squareful Arrays</t>
        </is>
      </c>
      <c r="E1113" s="4" t="inlineStr">
        <is>
          <t>Hard</t>
        </is>
      </c>
      <c r="F1113" s="4" t="inlineStr">
        <is>
          <t>Backtracking</t>
        </is>
      </c>
      <c r="G1113" s="4" t="inlineStr">
        <is>
          <t>Accepted</t>
        </is>
      </c>
      <c r="H1113" s="4" t="inlineStr">
        <is>
          <t>Python3</t>
        </is>
      </c>
      <c r="I1113" s="4" t="inlineStr">
        <is>
          <t>65 ms</t>
        </is>
      </c>
      <c r="J1113" s="4" t="inlineStr">
        <is>
          <t>17.4 MB</t>
        </is>
      </c>
      <c r="K1113" s="4" t="n">
        <v>9.199999999999999</v>
      </c>
      <c r="L1113" s="4" t="inlineStr">
        <is>
          <t>76/76</t>
        </is>
      </c>
      <c r="M1113" s="9" t="inlineStr">
        <is>
          <t>Submission 1131709849</t>
        </is>
      </c>
      <c r="N1113" s="4" t="inlineStr">
        <is>
          <t>No</t>
        </is>
      </c>
    </row>
    <row r="1114">
      <c r="A1114" s="11" t="n">
        <v>45290.1531712963</v>
      </c>
      <c r="B1114" s="4" t="inlineStr">
        <is>
          <t>2023-12</t>
        </is>
      </c>
      <c r="C1114" s="4" t="n">
        <v>224</v>
      </c>
      <c r="D1114" s="9" t="inlineStr">
        <is>
          <t>Basic Calculator</t>
        </is>
      </c>
      <c r="E1114" s="4" t="inlineStr">
        <is>
          <t>Hard</t>
        </is>
      </c>
      <c r="F1114" s="4" t="inlineStr">
        <is>
          <t>Stack</t>
        </is>
      </c>
      <c r="G1114" s="4" t="inlineStr">
        <is>
          <t>Accepted</t>
        </is>
      </c>
      <c r="H1114" s="4" t="inlineStr">
        <is>
          <t>Python3</t>
        </is>
      </c>
      <c r="I1114" s="4" t="inlineStr">
        <is>
          <t>54 ms</t>
        </is>
      </c>
      <c r="J1114" s="4" t="inlineStr">
        <is>
          <t>18.9 MB</t>
        </is>
      </c>
      <c r="K1114" s="4" t="n">
        <v>32.1</v>
      </c>
      <c r="L1114" s="4" t="inlineStr">
        <is>
          <t>45/45</t>
        </is>
      </c>
      <c r="M1114" s="9" t="inlineStr">
        <is>
          <t>Submission 1131734995</t>
        </is>
      </c>
      <c r="N1114" s="4" t="inlineStr">
        <is>
          <t>No</t>
        </is>
      </c>
    </row>
    <row r="1115">
      <c r="A1115" s="11" t="n">
        <v>45290.17515046296</v>
      </c>
      <c r="B1115" s="4" t="inlineStr">
        <is>
          <t>2023-12</t>
        </is>
      </c>
      <c r="C1115" s="4" t="n">
        <v>772</v>
      </c>
      <c r="D1115" s="9" t="inlineStr">
        <is>
          <t>Basic Calculator III</t>
        </is>
      </c>
      <c r="E1115" s="4" t="inlineStr">
        <is>
          <t>Hard</t>
        </is>
      </c>
      <c r="F1115" s="4" t="inlineStr">
        <is>
          <t>Stack</t>
        </is>
      </c>
      <c r="G1115" s="4" t="inlineStr">
        <is>
          <t>Wrong Answer</t>
        </is>
      </c>
      <c r="H1115" s="4" t="inlineStr">
        <is>
          <t>Python3</t>
        </is>
      </c>
      <c r="I1115" s="4" t="inlineStr">
        <is>
          <t>N/A</t>
        </is>
      </c>
      <c r="J1115" s="4" t="inlineStr">
        <is>
          <t>N/A</t>
        </is>
      </c>
      <c r="K1115" s="4" t="n"/>
      <c r="L1115" s="4" t="inlineStr">
        <is>
          <t>25/79</t>
        </is>
      </c>
      <c r="M1115" s="9" t="inlineStr">
        <is>
          <t>Submission 1131749449</t>
        </is>
      </c>
      <c r="N1115" s="4" t="inlineStr">
        <is>
          <t>Yes</t>
        </is>
      </c>
    </row>
    <row r="1116">
      <c r="A1116" s="11" t="n">
        <v>45290.1756712963</v>
      </c>
      <c r="B1116" s="4" t="inlineStr">
        <is>
          <t>2023-12</t>
        </is>
      </c>
      <c r="C1116" s="4" t="n">
        <v>772</v>
      </c>
      <c r="D1116" s="9" t="inlineStr">
        <is>
          <t>Basic Calculator III</t>
        </is>
      </c>
      <c r="E1116" s="4" t="inlineStr">
        <is>
          <t>Hard</t>
        </is>
      </c>
      <c r="F1116" s="4" t="inlineStr">
        <is>
          <t>Stack</t>
        </is>
      </c>
      <c r="G1116" s="4" t="inlineStr">
        <is>
          <t>Wrong Answer</t>
        </is>
      </c>
      <c r="H1116" s="4" t="inlineStr">
        <is>
          <t>Python3</t>
        </is>
      </c>
      <c r="I1116" s="4" t="inlineStr">
        <is>
          <t>N/A</t>
        </is>
      </c>
      <c r="J1116" s="4" t="inlineStr">
        <is>
          <t>N/A</t>
        </is>
      </c>
      <c r="K1116" s="4" t="n"/>
      <c r="L1116" s="4" t="inlineStr">
        <is>
          <t>28/79</t>
        </is>
      </c>
      <c r="M1116" s="9" t="inlineStr">
        <is>
          <t>Submission 1131749772</t>
        </is>
      </c>
      <c r="N1116" s="4" t="inlineStr">
        <is>
          <t>Yes</t>
        </is>
      </c>
    </row>
    <row r="1117">
      <c r="A1117" s="11" t="n">
        <v>45290.17645833334</v>
      </c>
      <c r="B1117" s="4" t="inlineStr">
        <is>
          <t>2023-12</t>
        </is>
      </c>
      <c r="C1117" s="4" t="n">
        <v>772</v>
      </c>
      <c r="D1117" s="9" t="inlineStr">
        <is>
          <t>Basic Calculator III</t>
        </is>
      </c>
      <c r="E1117" s="4" t="inlineStr">
        <is>
          <t>Hard</t>
        </is>
      </c>
      <c r="F1117" s="4" t="inlineStr">
        <is>
          <t>Stack</t>
        </is>
      </c>
      <c r="G1117" s="4" t="inlineStr">
        <is>
          <t>Wrong Answer</t>
        </is>
      </c>
      <c r="H1117" s="4" t="inlineStr">
        <is>
          <t>Python3</t>
        </is>
      </c>
      <c r="I1117" s="4" t="inlineStr">
        <is>
          <t>N/A</t>
        </is>
      </c>
      <c r="J1117" s="4" t="inlineStr">
        <is>
          <t>N/A</t>
        </is>
      </c>
      <c r="K1117" s="4" t="n"/>
      <c r="L1117" s="4" t="inlineStr">
        <is>
          <t>28/79</t>
        </is>
      </c>
      <c r="M1117" s="9" t="inlineStr">
        <is>
          <t>Submission 1131750265</t>
        </is>
      </c>
      <c r="N1117" s="4" t="inlineStr">
        <is>
          <t>Yes</t>
        </is>
      </c>
    </row>
    <row r="1118">
      <c r="A1118" s="11" t="n">
        <v>45290.17818287037</v>
      </c>
      <c r="B1118" s="4" t="inlineStr">
        <is>
          <t>2023-12</t>
        </is>
      </c>
      <c r="C1118" s="4" t="n">
        <v>772</v>
      </c>
      <c r="D1118" s="9" t="inlineStr">
        <is>
          <t>Basic Calculator III</t>
        </is>
      </c>
      <c r="E1118" s="4" t="inlineStr">
        <is>
          <t>Hard</t>
        </is>
      </c>
      <c r="F1118" s="4" t="inlineStr">
        <is>
          <t>Stack</t>
        </is>
      </c>
      <c r="G1118" s="4" t="inlineStr">
        <is>
          <t>Accepted</t>
        </is>
      </c>
      <c r="H1118" s="4" t="inlineStr">
        <is>
          <t>Python3</t>
        </is>
      </c>
      <c r="I1118" s="4" t="inlineStr">
        <is>
          <t>85 ms</t>
        </is>
      </c>
      <c r="J1118" s="4" t="inlineStr">
        <is>
          <t>17.4 MB</t>
        </is>
      </c>
      <c r="K1118" s="4" t="n">
        <v>5.7</v>
      </c>
      <c r="L1118" s="4" t="inlineStr">
        <is>
          <t>79/79</t>
        </is>
      </c>
      <c r="M1118" s="9" t="inlineStr">
        <is>
          <t>Submission 1131751327</t>
        </is>
      </c>
      <c r="N1118" s="4" t="inlineStr">
        <is>
          <t>Yes</t>
        </is>
      </c>
    </row>
    <row r="1119">
      <c r="A1119" s="11" t="n">
        <v>45290.17984953704</v>
      </c>
      <c r="B1119" s="4" t="inlineStr">
        <is>
          <t>2023-12</t>
        </is>
      </c>
      <c r="C1119" s="4" t="n">
        <v>772</v>
      </c>
      <c r="D1119" s="9" t="inlineStr">
        <is>
          <t>Basic Calculator III</t>
        </is>
      </c>
      <c r="E1119" s="4" t="inlineStr">
        <is>
          <t>Hard</t>
        </is>
      </c>
      <c r="F1119" s="4" t="inlineStr">
        <is>
          <t>Stack</t>
        </is>
      </c>
      <c r="G1119" s="4" t="inlineStr">
        <is>
          <t>Wrong Answer</t>
        </is>
      </c>
      <c r="H1119" s="4" t="inlineStr">
        <is>
          <t>Python3</t>
        </is>
      </c>
      <c r="I1119" s="4" t="inlineStr">
        <is>
          <t>N/A</t>
        </is>
      </c>
      <c r="J1119" s="4" t="inlineStr">
        <is>
          <t>N/A</t>
        </is>
      </c>
      <c r="K1119" s="4" t="n"/>
      <c r="L1119" s="4" t="inlineStr">
        <is>
          <t>23/79</t>
        </is>
      </c>
      <c r="M1119" s="9" t="inlineStr">
        <is>
          <t>Submission 1131752384</t>
        </is>
      </c>
      <c r="N1119" s="4" t="inlineStr">
        <is>
          <t>Yes</t>
        </is>
      </c>
    </row>
    <row r="1120">
      <c r="A1120" s="11" t="n">
        <v>45290.17989583333</v>
      </c>
      <c r="B1120" s="4" t="inlineStr">
        <is>
          <t>2023-12</t>
        </is>
      </c>
      <c r="C1120" s="4" t="n">
        <v>772</v>
      </c>
      <c r="D1120" s="9" t="inlineStr">
        <is>
          <t>Basic Calculator III</t>
        </is>
      </c>
      <c r="E1120" s="4" t="inlineStr">
        <is>
          <t>Hard</t>
        </is>
      </c>
      <c r="F1120" s="4" t="inlineStr">
        <is>
          <t>Stack</t>
        </is>
      </c>
      <c r="G1120" s="4" t="inlineStr">
        <is>
          <t>Wrong Answer</t>
        </is>
      </c>
      <c r="H1120" s="4" t="inlineStr">
        <is>
          <t>Python3</t>
        </is>
      </c>
      <c r="I1120" s="4" t="inlineStr">
        <is>
          <t>N/A</t>
        </is>
      </c>
      <c r="J1120" s="4" t="inlineStr">
        <is>
          <t>N/A</t>
        </is>
      </c>
      <c r="K1120" s="4" t="n"/>
      <c r="L1120" s="4" t="inlineStr">
        <is>
          <t>23/79</t>
        </is>
      </c>
      <c r="M1120" s="9" t="inlineStr">
        <is>
          <t>Submission 1131752416</t>
        </is>
      </c>
      <c r="N1120" s="4" t="inlineStr">
        <is>
          <t>Yes</t>
        </is>
      </c>
    </row>
    <row r="1121">
      <c r="A1121" s="11" t="n">
        <v>45290.1799537037</v>
      </c>
      <c r="B1121" s="4" t="inlineStr">
        <is>
          <t>2023-12</t>
        </is>
      </c>
      <c r="C1121" s="4" t="n">
        <v>772</v>
      </c>
      <c r="D1121" s="9" t="inlineStr">
        <is>
          <t>Basic Calculator III</t>
        </is>
      </c>
      <c r="E1121" s="4" t="inlineStr">
        <is>
          <t>Hard</t>
        </is>
      </c>
      <c r="F1121" s="4" t="inlineStr">
        <is>
          <t>Stack</t>
        </is>
      </c>
      <c r="G1121" s="4" t="inlineStr">
        <is>
          <t>Accepted</t>
        </is>
      </c>
      <c r="H1121" s="4" t="inlineStr">
        <is>
          <t>Python3</t>
        </is>
      </c>
      <c r="I1121" s="4" t="inlineStr">
        <is>
          <t>48 ms</t>
        </is>
      </c>
      <c r="J1121" s="4" t="inlineStr">
        <is>
          <t>17.3 MB</t>
        </is>
      </c>
      <c r="K1121" s="4" t="n">
        <v>5.7</v>
      </c>
      <c r="L1121" s="4" t="inlineStr">
        <is>
          <t>79/79</t>
        </is>
      </c>
      <c r="M1121" s="9" t="inlineStr">
        <is>
          <t>Submission 1131752448</t>
        </is>
      </c>
      <c r="N1121" s="4" t="inlineStr">
        <is>
          <t>Yes</t>
        </is>
      </c>
    </row>
    <row r="1122">
      <c r="A1122" s="11" t="n">
        <v>45290.19349537037</v>
      </c>
      <c r="B1122" s="4" t="inlineStr">
        <is>
          <t>2023-12</t>
        </is>
      </c>
      <c r="C1122" s="4" t="n">
        <v>296</v>
      </c>
      <c r="D1122" s="9" t="inlineStr">
        <is>
          <t>Best Meeting Point</t>
        </is>
      </c>
      <c r="E1122" s="4" t="inlineStr">
        <is>
          <t>Hard</t>
        </is>
      </c>
      <c r="F1122" s="4" t="inlineStr">
        <is>
          <t>Math &amp; Bit Manipulation</t>
        </is>
      </c>
      <c r="G1122" s="4" t="inlineStr">
        <is>
          <t>Time Limit Exceeded</t>
        </is>
      </c>
      <c r="H1122" s="4" t="inlineStr">
        <is>
          <t>Python3</t>
        </is>
      </c>
      <c r="I1122" s="4" t="inlineStr">
        <is>
          <t>N/A</t>
        </is>
      </c>
      <c r="J1122" s="4" t="inlineStr">
        <is>
          <t>N/A</t>
        </is>
      </c>
      <c r="K1122" s="4" t="n"/>
      <c r="L1122" s="4" t="inlineStr">
        <is>
          <t>57/58</t>
        </is>
      </c>
      <c r="M1122" s="9" t="inlineStr">
        <is>
          <t>Submission 1131760567</t>
        </is>
      </c>
      <c r="N1122" s="4" t="inlineStr">
        <is>
          <t>No</t>
        </is>
      </c>
    </row>
    <row r="1123">
      <c r="A1123" s="11" t="n">
        <v>45290.27266203704</v>
      </c>
      <c r="B1123" s="4" t="inlineStr">
        <is>
          <t>2023-12</t>
        </is>
      </c>
      <c r="C1123" s="4" t="n">
        <v>15</v>
      </c>
      <c r="D1123" s="9" t="inlineStr">
        <is>
          <t>3Sum</t>
        </is>
      </c>
      <c r="E1123" s="4" t="inlineStr">
        <is>
          <t>Medium</t>
        </is>
      </c>
      <c r="F1123" s="4" t="inlineStr">
        <is>
          <t>Two Pointers</t>
        </is>
      </c>
      <c r="G1123" s="4" t="inlineStr">
        <is>
          <t>Accepted</t>
        </is>
      </c>
      <c r="H1123" s="4" t="inlineStr">
        <is>
          <t>Python3</t>
        </is>
      </c>
      <c r="I1123" s="4" t="inlineStr">
        <is>
          <t>1146 ms</t>
        </is>
      </c>
      <c r="J1123" s="4" t="inlineStr">
        <is>
          <t>22 MB</t>
        </is>
      </c>
      <c r="K1123" s="4" t="n">
        <v>14.9</v>
      </c>
      <c r="L1123" s="4" t="inlineStr">
        <is>
          <t>312/312</t>
        </is>
      </c>
      <c r="M1123" s="9" t="inlineStr">
        <is>
          <t>Submission 1131807750</t>
        </is>
      </c>
      <c r="N1123" s="4" t="inlineStr">
        <is>
          <t>Yes</t>
        </is>
      </c>
    </row>
    <row r="1124">
      <c r="A1124" s="11" t="n">
        <v>45290.28565972222</v>
      </c>
      <c r="B1124" s="4" t="inlineStr">
        <is>
          <t>2023-12</t>
        </is>
      </c>
      <c r="C1124" s="4" t="n">
        <v>987</v>
      </c>
      <c r="D1124" s="9" t="inlineStr">
        <is>
          <t>Vertical Order Traversal of a Binary Tree</t>
        </is>
      </c>
      <c r="E1124" s="4" t="inlineStr">
        <is>
          <t>Hard</t>
        </is>
      </c>
      <c r="F1124" s="4" t="inlineStr">
        <is>
          <t>Binary Tree (BFS / Level Order)</t>
        </is>
      </c>
      <c r="G1124" s="4" t="inlineStr">
        <is>
          <t>Accepted</t>
        </is>
      </c>
      <c r="H1124" s="4" t="inlineStr">
        <is>
          <t>Python3</t>
        </is>
      </c>
      <c r="I1124" s="4" t="inlineStr">
        <is>
          <t>83 ms</t>
        </is>
      </c>
      <c r="J1124" s="4" t="inlineStr">
        <is>
          <t>17.7 MB</t>
        </is>
      </c>
      <c r="K1124" s="4" t="n">
        <v>1.1</v>
      </c>
      <c r="L1124" s="4" t="inlineStr">
        <is>
          <t>34/34</t>
        </is>
      </c>
      <c r="M1124" s="9" t="inlineStr">
        <is>
          <t>Submission 1131815366</t>
        </is>
      </c>
      <c r="N1124" s="4" t="inlineStr">
        <is>
          <t>Yes</t>
        </is>
      </c>
    </row>
    <row r="1125">
      <c r="A1125" s="11" t="n">
        <v>45290.28927083333</v>
      </c>
      <c r="B1125" s="4" t="inlineStr">
        <is>
          <t>2023-12</t>
        </is>
      </c>
      <c r="C1125" s="4" t="n">
        <v>987</v>
      </c>
      <c r="D1125" s="9" t="inlineStr">
        <is>
          <t>Vertical Order Traversal of a Binary Tree</t>
        </is>
      </c>
      <c r="E1125" s="4" t="inlineStr">
        <is>
          <t>Hard</t>
        </is>
      </c>
      <c r="F1125" s="4" t="inlineStr">
        <is>
          <t>Binary Tree (BFS / Level Order)</t>
        </is>
      </c>
      <c r="G1125" s="4" t="inlineStr">
        <is>
          <t>Accepted</t>
        </is>
      </c>
      <c r="H1125" s="4" t="inlineStr">
        <is>
          <t>Python3</t>
        </is>
      </c>
      <c r="I1125" s="4" t="inlineStr">
        <is>
          <t>74 ms</t>
        </is>
      </c>
      <c r="J1125" s="4" t="inlineStr">
        <is>
          <t>17.7 MB</t>
        </is>
      </c>
      <c r="K1125" s="4" t="n">
        <v>1.1</v>
      </c>
      <c r="L1125" s="4" t="inlineStr">
        <is>
          <t>34/34</t>
        </is>
      </c>
      <c r="M1125" s="9" t="inlineStr">
        <is>
          <t>Submission 1131817380</t>
        </is>
      </c>
      <c r="N1125" s="4" t="inlineStr">
        <is>
          <t>Yes</t>
        </is>
      </c>
    </row>
    <row r="1126">
      <c r="A1126" s="11" t="n">
        <v>45290.28969907408</v>
      </c>
      <c r="B1126" s="4" t="inlineStr">
        <is>
          <t>2023-12</t>
        </is>
      </c>
      <c r="C1126" s="4" t="n">
        <v>987</v>
      </c>
      <c r="D1126" s="9" t="inlineStr">
        <is>
          <t>Vertical Order Traversal of a Binary Tree</t>
        </is>
      </c>
      <c r="E1126" s="4" t="inlineStr">
        <is>
          <t>Hard</t>
        </is>
      </c>
      <c r="F1126" s="4" t="inlineStr">
        <is>
          <t>Binary Tree (BFS / Level Order)</t>
        </is>
      </c>
      <c r="G1126" s="4" t="inlineStr">
        <is>
          <t>Accepted</t>
        </is>
      </c>
      <c r="H1126" s="4" t="inlineStr">
        <is>
          <t>Python3</t>
        </is>
      </c>
      <c r="I1126" s="4" t="inlineStr">
        <is>
          <t>75 ms</t>
        </is>
      </c>
      <c r="J1126" s="4" t="inlineStr">
        <is>
          <t>17.5 MB</t>
        </is>
      </c>
      <c r="K1126" s="4" t="n">
        <v>1.1</v>
      </c>
      <c r="L1126" s="4" t="inlineStr">
        <is>
          <t>34/34</t>
        </is>
      </c>
      <c r="M1126" s="9" t="inlineStr">
        <is>
          <t>Submission 1131817657</t>
        </is>
      </c>
      <c r="N1126" s="4" t="inlineStr">
        <is>
          <t>Yes</t>
        </is>
      </c>
    </row>
    <row r="1127">
      <c r="A1127" s="11" t="n">
        <v>45290.90451388889</v>
      </c>
      <c r="B1127" s="4" t="inlineStr">
        <is>
          <t>2023-12</t>
        </is>
      </c>
      <c r="C1127" s="4" t="n">
        <v>31</v>
      </c>
      <c r="D1127" s="9" t="inlineStr">
        <is>
          <t>Next Permutation</t>
        </is>
      </c>
      <c r="E1127" s="4" t="inlineStr">
        <is>
          <t>Medium</t>
        </is>
      </c>
      <c r="F1127" s="4" t="inlineStr">
        <is>
          <t>Two Pointers</t>
        </is>
      </c>
      <c r="G1127" s="4" t="inlineStr">
        <is>
          <t>Accepted</t>
        </is>
      </c>
      <c r="H1127" s="4" t="inlineStr">
        <is>
          <t>Python3</t>
        </is>
      </c>
      <c r="I1127" s="4" t="inlineStr">
        <is>
          <t>46 ms</t>
        </is>
      </c>
      <c r="J1127" s="4" t="inlineStr">
        <is>
          <t>17.3 MB</t>
        </is>
      </c>
      <c r="K1127" s="4" t="n">
        <v>0.2</v>
      </c>
      <c r="L1127" s="4" t="inlineStr">
        <is>
          <t>266/266</t>
        </is>
      </c>
      <c r="M1127" s="9" t="inlineStr">
        <is>
          <t>Submission 1132312147</t>
        </is>
      </c>
      <c r="N1127" s="4" t="inlineStr">
        <is>
          <t>Yes</t>
        </is>
      </c>
    </row>
    <row r="1128">
      <c r="A1128" s="11" t="n">
        <v>45290.93208333333</v>
      </c>
      <c r="B1128" s="4" t="inlineStr">
        <is>
          <t>2023-12</t>
        </is>
      </c>
      <c r="C1128" s="4" t="n">
        <v>827</v>
      </c>
      <c r="D1128" s="9" t="inlineStr">
        <is>
          <t>Making A Large Island</t>
        </is>
      </c>
      <c r="E1128" s="4" t="inlineStr">
        <is>
          <t>Hard</t>
        </is>
      </c>
      <c r="F1128" s="4" t="inlineStr">
        <is>
          <t>Graph: Grid BFS/DFS</t>
        </is>
      </c>
      <c r="G1128" s="4" t="inlineStr">
        <is>
          <t>Wrong Answer</t>
        </is>
      </c>
      <c r="H1128" s="4" t="inlineStr">
        <is>
          <t>Python3</t>
        </is>
      </c>
      <c r="I1128" s="4" t="inlineStr">
        <is>
          <t>N/A</t>
        </is>
      </c>
      <c r="J1128" s="4" t="inlineStr">
        <is>
          <t>N/A</t>
        </is>
      </c>
      <c r="K1128" s="4" t="n"/>
      <c r="L1128" s="4" t="inlineStr">
        <is>
          <t>37/75</t>
        </is>
      </c>
      <c r="M1128" s="9" t="inlineStr">
        <is>
          <t>Submission 1132338413</t>
        </is>
      </c>
      <c r="N1128" s="4" t="inlineStr">
        <is>
          <t>No</t>
        </is>
      </c>
    </row>
    <row r="1129">
      <c r="A1129" s="11" t="n">
        <v>45290.9338425926</v>
      </c>
      <c r="B1129" s="4" t="inlineStr">
        <is>
          <t>2023-12</t>
        </is>
      </c>
      <c r="C1129" s="4" t="n">
        <v>827</v>
      </c>
      <c r="D1129" s="9" t="inlineStr">
        <is>
          <t>Making A Large Island</t>
        </is>
      </c>
      <c r="E1129" s="4" t="inlineStr">
        <is>
          <t>Hard</t>
        </is>
      </c>
      <c r="F1129" s="4" t="inlineStr">
        <is>
          <t>Graph: Grid BFS/DFS</t>
        </is>
      </c>
      <c r="G1129" s="4" t="inlineStr">
        <is>
          <t>Wrong Answer</t>
        </is>
      </c>
      <c r="H1129" s="4" t="inlineStr">
        <is>
          <t>Python3</t>
        </is>
      </c>
      <c r="I1129" s="4" t="inlineStr">
        <is>
          <t>N/A</t>
        </is>
      </c>
      <c r="J1129" s="4" t="inlineStr">
        <is>
          <t>N/A</t>
        </is>
      </c>
      <c r="K1129" s="4" t="n"/>
      <c r="L1129" s="4" t="inlineStr">
        <is>
          <t>37/75</t>
        </is>
      </c>
      <c r="M1129" s="9" t="inlineStr">
        <is>
          <t>Submission 1132340043</t>
        </is>
      </c>
      <c r="N1129" s="4" t="inlineStr">
        <is>
          <t>No</t>
        </is>
      </c>
    </row>
    <row r="1130">
      <c r="A1130" s="11" t="n">
        <v>45290.93471064815</v>
      </c>
      <c r="B1130" s="4" t="inlineStr">
        <is>
          <t>2023-12</t>
        </is>
      </c>
      <c r="C1130" s="4" t="n">
        <v>827</v>
      </c>
      <c r="D1130" s="9" t="inlineStr">
        <is>
          <t>Making A Large Island</t>
        </is>
      </c>
      <c r="E1130" s="4" t="inlineStr">
        <is>
          <t>Hard</t>
        </is>
      </c>
      <c r="F1130" s="4" t="inlineStr">
        <is>
          <t>Graph: Grid BFS/DFS</t>
        </is>
      </c>
      <c r="G1130" s="4" t="inlineStr">
        <is>
          <t>Time Limit Exceeded</t>
        </is>
      </c>
      <c r="H1130" s="4" t="inlineStr">
        <is>
          <t>Python3</t>
        </is>
      </c>
      <c r="I1130" s="4" t="inlineStr">
        <is>
          <t>N/A</t>
        </is>
      </c>
      <c r="J1130" s="4" t="inlineStr">
        <is>
          <t>N/A</t>
        </is>
      </c>
      <c r="K1130" s="4" t="n"/>
      <c r="L1130" s="4" t="inlineStr">
        <is>
          <t>62/75</t>
        </is>
      </c>
      <c r="M1130" s="9" t="inlineStr">
        <is>
          <t>Submission 1132340830</t>
        </is>
      </c>
      <c r="N1130" s="4" t="inlineStr">
        <is>
          <t>No</t>
        </is>
      </c>
    </row>
    <row r="1131">
      <c r="A1131" s="11" t="n">
        <v>45290.93684027778</v>
      </c>
      <c r="B1131" s="4" t="inlineStr">
        <is>
          <t>2023-12</t>
        </is>
      </c>
      <c r="C1131" s="4" t="n">
        <v>827</v>
      </c>
      <c r="D1131" s="9" t="inlineStr">
        <is>
          <t>Making A Large Island</t>
        </is>
      </c>
      <c r="E1131" s="4" t="inlineStr">
        <is>
          <t>Hard</t>
        </is>
      </c>
      <c r="F1131" s="4" t="inlineStr">
        <is>
          <t>Graph: Grid BFS/DFS</t>
        </is>
      </c>
      <c r="G1131" s="4" t="inlineStr">
        <is>
          <t>Wrong Answer</t>
        </is>
      </c>
      <c r="H1131" s="4" t="inlineStr">
        <is>
          <t>Python3</t>
        </is>
      </c>
      <c r="I1131" s="4" t="inlineStr">
        <is>
          <t>N/A</t>
        </is>
      </c>
      <c r="J1131" s="4" t="inlineStr">
        <is>
          <t>N/A</t>
        </is>
      </c>
      <c r="K1131" s="4" t="n"/>
      <c r="L1131" s="4" t="inlineStr">
        <is>
          <t>37/75</t>
        </is>
      </c>
      <c r="M1131" s="9" t="inlineStr">
        <is>
          <t>Submission 1132342888</t>
        </is>
      </c>
      <c r="N1131" s="4" t="inlineStr">
        <is>
          <t>No</t>
        </is>
      </c>
    </row>
    <row r="1132">
      <c r="A1132" s="11" t="n">
        <v>45290.93920138889</v>
      </c>
      <c r="B1132" s="4" t="inlineStr">
        <is>
          <t>2023-12</t>
        </is>
      </c>
      <c r="C1132" s="4" t="n">
        <v>827</v>
      </c>
      <c r="D1132" s="9" t="inlineStr">
        <is>
          <t>Making A Large Island</t>
        </is>
      </c>
      <c r="E1132" s="4" t="inlineStr">
        <is>
          <t>Hard</t>
        </is>
      </c>
      <c r="F1132" s="4" t="inlineStr">
        <is>
          <t>Graph: Grid BFS/DFS</t>
        </is>
      </c>
      <c r="G1132" s="4" t="inlineStr">
        <is>
          <t>Wrong Answer</t>
        </is>
      </c>
      <c r="H1132" s="4" t="inlineStr">
        <is>
          <t>Python3</t>
        </is>
      </c>
      <c r="I1132" s="4" t="inlineStr">
        <is>
          <t>N/A</t>
        </is>
      </c>
      <c r="J1132" s="4" t="inlineStr">
        <is>
          <t>N/A</t>
        </is>
      </c>
      <c r="K1132" s="4" t="n"/>
      <c r="L1132" s="4" t="inlineStr">
        <is>
          <t>37/75</t>
        </is>
      </c>
      <c r="M1132" s="9" t="inlineStr">
        <is>
          <t>Submission 1132345249</t>
        </is>
      </c>
      <c r="N1132" s="4" t="inlineStr">
        <is>
          <t>No</t>
        </is>
      </c>
    </row>
    <row r="1133">
      <c r="A1133" s="11" t="n">
        <v>45290.93951388889</v>
      </c>
      <c r="B1133" s="4" t="inlineStr">
        <is>
          <t>2023-12</t>
        </is>
      </c>
      <c r="C1133" s="4" t="n">
        <v>827</v>
      </c>
      <c r="D1133" s="9" t="inlineStr">
        <is>
          <t>Making A Large Island</t>
        </is>
      </c>
      <c r="E1133" s="4" t="inlineStr">
        <is>
          <t>Hard</t>
        </is>
      </c>
      <c r="F1133" s="4" t="inlineStr">
        <is>
          <t>Graph: Grid BFS/DFS</t>
        </is>
      </c>
      <c r="G1133" s="4" t="inlineStr">
        <is>
          <t>Wrong Answer</t>
        </is>
      </c>
      <c r="H1133" s="4" t="inlineStr">
        <is>
          <t>Python3</t>
        </is>
      </c>
      <c r="I1133" s="4" t="inlineStr">
        <is>
          <t>N/A</t>
        </is>
      </c>
      <c r="J1133" s="4" t="inlineStr">
        <is>
          <t>N/A</t>
        </is>
      </c>
      <c r="K1133" s="4" t="n"/>
      <c r="L1133" s="4" t="inlineStr">
        <is>
          <t>37/75</t>
        </is>
      </c>
      <c r="M1133" s="9" t="inlineStr">
        <is>
          <t>Submission 1132345564</t>
        </is>
      </c>
      <c r="N1133" s="4" t="inlineStr">
        <is>
          <t>No</t>
        </is>
      </c>
    </row>
    <row r="1134">
      <c r="A1134" s="11" t="n">
        <v>45290.94023148148</v>
      </c>
      <c r="B1134" s="4" t="inlineStr">
        <is>
          <t>2023-12</t>
        </is>
      </c>
      <c r="C1134" s="4" t="n">
        <v>827</v>
      </c>
      <c r="D1134" s="9" t="inlineStr">
        <is>
          <t>Making A Large Island</t>
        </is>
      </c>
      <c r="E1134" s="4" t="inlineStr">
        <is>
          <t>Hard</t>
        </is>
      </c>
      <c r="F1134" s="4" t="inlineStr">
        <is>
          <t>Graph: Grid BFS/DFS</t>
        </is>
      </c>
      <c r="G1134" s="4" t="inlineStr">
        <is>
          <t>Wrong Answer</t>
        </is>
      </c>
      <c r="H1134" s="4" t="inlineStr">
        <is>
          <t>Python3</t>
        </is>
      </c>
      <c r="I1134" s="4" t="inlineStr">
        <is>
          <t>N/A</t>
        </is>
      </c>
      <c r="J1134" s="4" t="inlineStr">
        <is>
          <t>N/A</t>
        </is>
      </c>
      <c r="K1134" s="4" t="n"/>
      <c r="L1134" s="4" t="inlineStr">
        <is>
          <t>37/75</t>
        </is>
      </c>
      <c r="M1134" s="9" t="inlineStr">
        <is>
          <t>Submission 1132346295</t>
        </is>
      </c>
      <c r="N1134" s="4" t="inlineStr">
        <is>
          <t>No</t>
        </is>
      </c>
    </row>
    <row r="1135">
      <c r="A1135" s="11" t="n">
        <v>45290.94276620371</v>
      </c>
      <c r="B1135" s="4" t="inlineStr">
        <is>
          <t>2023-12</t>
        </is>
      </c>
      <c r="C1135" s="4" t="n">
        <v>827</v>
      </c>
      <c r="D1135" s="9" t="inlineStr">
        <is>
          <t>Making A Large Island</t>
        </is>
      </c>
      <c r="E1135" s="4" t="inlineStr">
        <is>
          <t>Hard</t>
        </is>
      </c>
      <c r="F1135" s="4" t="inlineStr">
        <is>
          <t>Graph: Grid BFS/DFS</t>
        </is>
      </c>
      <c r="G1135" s="4" t="inlineStr">
        <is>
          <t>Time Limit Exceeded</t>
        </is>
      </c>
      <c r="H1135" s="4" t="inlineStr">
        <is>
          <t>Python3</t>
        </is>
      </c>
      <c r="I1135" s="4" t="inlineStr">
        <is>
          <t>N/A</t>
        </is>
      </c>
      <c r="J1135" s="4" t="inlineStr">
        <is>
          <t>N/A</t>
        </is>
      </c>
      <c r="K1135" s="4" t="n"/>
      <c r="L1135" s="4" t="inlineStr">
        <is>
          <t>72/75</t>
        </is>
      </c>
      <c r="M1135" s="9" t="inlineStr">
        <is>
          <t>Submission 1132348827</t>
        </is>
      </c>
      <c r="N1135" s="4" t="inlineStr">
        <is>
          <t>No</t>
        </is>
      </c>
    </row>
    <row r="1136">
      <c r="A1136" s="11" t="n">
        <v>45290.94565972222</v>
      </c>
      <c r="B1136" s="4" t="inlineStr">
        <is>
          <t>2023-12</t>
        </is>
      </c>
      <c r="C1136" s="4" t="n">
        <v>827</v>
      </c>
      <c r="D1136" s="9" t="inlineStr">
        <is>
          <t>Making A Large Island</t>
        </is>
      </c>
      <c r="E1136" s="4" t="inlineStr">
        <is>
          <t>Hard</t>
        </is>
      </c>
      <c r="F1136" s="4" t="inlineStr">
        <is>
          <t>Graph: Grid BFS/DFS</t>
        </is>
      </c>
      <c r="G1136" s="4" t="inlineStr">
        <is>
          <t>Wrong Answer</t>
        </is>
      </c>
      <c r="H1136" s="4" t="inlineStr">
        <is>
          <t>Python3</t>
        </is>
      </c>
      <c r="I1136" s="4" t="inlineStr">
        <is>
          <t>N/A</t>
        </is>
      </c>
      <c r="J1136" s="4" t="inlineStr">
        <is>
          <t>N/A</t>
        </is>
      </c>
      <c r="K1136" s="4" t="n"/>
      <c r="L1136" s="4" t="inlineStr">
        <is>
          <t>37/75</t>
        </is>
      </c>
      <c r="M1136" s="9" t="inlineStr">
        <is>
          <t>Submission 1132351712</t>
        </is>
      </c>
      <c r="N1136" s="4" t="inlineStr">
        <is>
          <t>No</t>
        </is>
      </c>
    </row>
    <row r="1137">
      <c r="A1137" s="11" t="n">
        <v>45290.94725694445</v>
      </c>
      <c r="B1137" s="4" t="inlineStr">
        <is>
          <t>2023-12</t>
        </is>
      </c>
      <c r="C1137" s="4" t="n">
        <v>827</v>
      </c>
      <c r="D1137" s="9" t="inlineStr">
        <is>
          <t>Making A Large Island</t>
        </is>
      </c>
      <c r="E1137" s="4" t="inlineStr">
        <is>
          <t>Hard</t>
        </is>
      </c>
      <c r="F1137" s="4" t="inlineStr">
        <is>
          <t>Graph: Grid BFS/DFS</t>
        </is>
      </c>
      <c r="G1137" s="4" t="inlineStr">
        <is>
          <t>Time Limit Exceeded</t>
        </is>
      </c>
      <c r="H1137" s="4" t="inlineStr">
        <is>
          <t>Python3</t>
        </is>
      </c>
      <c r="I1137" s="4" t="inlineStr">
        <is>
          <t>N/A</t>
        </is>
      </c>
      <c r="J1137" s="4" t="inlineStr">
        <is>
          <t>N/A</t>
        </is>
      </c>
      <c r="K1137" s="4" t="n"/>
      <c r="L1137" s="4" t="inlineStr">
        <is>
          <t>62/75</t>
        </is>
      </c>
      <c r="M1137" s="9" t="inlineStr">
        <is>
          <t>Submission 1132353241</t>
        </is>
      </c>
      <c r="N1137" s="4" t="inlineStr">
        <is>
          <t>No</t>
        </is>
      </c>
    </row>
    <row r="1138">
      <c r="A1138" s="11" t="n">
        <v>45290.95030092593</v>
      </c>
      <c r="B1138" s="4" t="inlineStr">
        <is>
          <t>2023-12</t>
        </is>
      </c>
      <c r="C1138" s="4" t="n">
        <v>827</v>
      </c>
      <c r="D1138" s="9" t="inlineStr">
        <is>
          <t>Making A Large Island</t>
        </is>
      </c>
      <c r="E1138" s="4" t="inlineStr">
        <is>
          <t>Hard</t>
        </is>
      </c>
      <c r="F1138" s="4" t="inlineStr">
        <is>
          <t>Graph: Grid BFS/DFS</t>
        </is>
      </c>
      <c r="G1138" s="4" t="inlineStr">
        <is>
          <t>Time Limit Exceeded</t>
        </is>
      </c>
      <c r="H1138" s="4" t="inlineStr">
        <is>
          <t>Python3</t>
        </is>
      </c>
      <c r="I1138" s="4" t="inlineStr">
        <is>
          <t>N/A</t>
        </is>
      </c>
      <c r="J1138" s="4" t="inlineStr">
        <is>
          <t>N/A</t>
        </is>
      </c>
      <c r="K1138" s="4" t="n"/>
      <c r="L1138" s="4" t="inlineStr">
        <is>
          <t>62/75</t>
        </is>
      </c>
      <c r="M1138" s="9" t="inlineStr">
        <is>
          <t>Submission 1132356169</t>
        </is>
      </c>
      <c r="N1138" s="4" t="inlineStr">
        <is>
          <t>No</t>
        </is>
      </c>
    </row>
    <row r="1139">
      <c r="A1139" s="11" t="n">
        <v>45290.95047453704</v>
      </c>
      <c r="B1139" s="4" t="inlineStr">
        <is>
          <t>2023-12</t>
        </is>
      </c>
      <c r="C1139" s="4" t="n">
        <v>827</v>
      </c>
      <c r="D1139" s="9" t="inlineStr">
        <is>
          <t>Making A Large Island</t>
        </is>
      </c>
      <c r="E1139" s="4" t="inlineStr">
        <is>
          <t>Hard</t>
        </is>
      </c>
      <c r="F1139" s="4" t="inlineStr">
        <is>
          <t>Graph: Grid BFS/DFS</t>
        </is>
      </c>
      <c r="G1139" s="4" t="inlineStr">
        <is>
          <t>Time Limit Exceeded</t>
        </is>
      </c>
      <c r="H1139" s="4" t="inlineStr">
        <is>
          <t>Python3</t>
        </is>
      </c>
      <c r="I1139" s="4" t="inlineStr">
        <is>
          <t>N/A</t>
        </is>
      </c>
      <c r="J1139" s="4" t="inlineStr">
        <is>
          <t>N/A</t>
        </is>
      </c>
      <c r="K1139" s="4" t="n"/>
      <c r="L1139" s="4" t="inlineStr">
        <is>
          <t>62/75</t>
        </is>
      </c>
      <c r="M1139" s="9" t="inlineStr">
        <is>
          <t>Submission 1132356332</t>
        </is>
      </c>
      <c r="N1139" s="4" t="inlineStr">
        <is>
          <t>No</t>
        </is>
      </c>
    </row>
    <row r="1140">
      <c r="A1140" s="11" t="n">
        <v>45290.95236111111</v>
      </c>
      <c r="B1140" s="4" t="inlineStr">
        <is>
          <t>2023-12</t>
        </is>
      </c>
      <c r="C1140" s="4" t="n">
        <v>827</v>
      </c>
      <c r="D1140" s="9" t="inlineStr">
        <is>
          <t>Making A Large Island</t>
        </is>
      </c>
      <c r="E1140" s="4" t="inlineStr">
        <is>
          <t>Hard</t>
        </is>
      </c>
      <c r="F1140" s="4" t="inlineStr">
        <is>
          <t>Graph: Grid BFS/DFS</t>
        </is>
      </c>
      <c r="G1140" s="4" t="inlineStr">
        <is>
          <t>Time Limit Exceeded</t>
        </is>
      </c>
      <c r="H1140" s="4" t="inlineStr">
        <is>
          <t>Python3</t>
        </is>
      </c>
      <c r="I1140" s="4" t="inlineStr">
        <is>
          <t>N/A</t>
        </is>
      </c>
      <c r="J1140" s="4" t="inlineStr">
        <is>
          <t>N/A</t>
        </is>
      </c>
      <c r="K1140" s="4" t="n"/>
      <c r="L1140" s="4" t="inlineStr">
        <is>
          <t>63/75</t>
        </is>
      </c>
      <c r="M1140" s="9" t="inlineStr">
        <is>
          <t>Submission 1132358230</t>
        </is>
      </c>
      <c r="N1140" s="4" t="inlineStr">
        <is>
          <t>No</t>
        </is>
      </c>
    </row>
    <row r="1141">
      <c r="A1141" s="11" t="n">
        <v>45291.02474537037</v>
      </c>
      <c r="B1141" s="4" t="inlineStr">
        <is>
          <t>2023-12</t>
        </is>
      </c>
      <c r="C1141" s="4" t="n">
        <v>827</v>
      </c>
      <c r="D1141" s="9" t="inlineStr">
        <is>
          <t>Making A Large Island</t>
        </is>
      </c>
      <c r="E1141" s="4" t="inlineStr">
        <is>
          <t>Hard</t>
        </is>
      </c>
      <c r="F1141" s="4" t="inlineStr">
        <is>
          <t>Graph: Grid BFS/DFS</t>
        </is>
      </c>
      <c r="G1141" s="4" t="inlineStr">
        <is>
          <t>Runtime Error</t>
        </is>
      </c>
      <c r="H1141" s="4" t="inlineStr">
        <is>
          <t>Python3</t>
        </is>
      </c>
      <c r="I1141" s="4" t="inlineStr">
        <is>
          <t>N/A</t>
        </is>
      </c>
      <c r="J1141" s="4" t="inlineStr">
        <is>
          <t>N/A</t>
        </is>
      </c>
      <c r="K1141" s="4" t="n"/>
      <c r="L1141" s="4" t="inlineStr">
        <is>
          <t>0/75</t>
        </is>
      </c>
      <c r="M1141" s="9" t="inlineStr">
        <is>
          <t>Submission 1132430006</t>
        </is>
      </c>
      <c r="N1141" s="4" t="inlineStr">
        <is>
          <t>No</t>
        </is>
      </c>
    </row>
    <row r="1142">
      <c r="A1142" s="11" t="n">
        <v>45291.02775462963</v>
      </c>
      <c r="B1142" s="4" t="inlineStr">
        <is>
          <t>2023-12</t>
        </is>
      </c>
      <c r="C1142" s="4" t="n">
        <v>827</v>
      </c>
      <c r="D1142" s="9" t="inlineStr">
        <is>
          <t>Making A Large Island</t>
        </is>
      </c>
      <c r="E1142" s="4" t="inlineStr">
        <is>
          <t>Hard</t>
        </is>
      </c>
      <c r="F1142" s="4" t="inlineStr">
        <is>
          <t>Graph: Grid BFS/DFS</t>
        </is>
      </c>
      <c r="G1142" s="4" t="inlineStr">
        <is>
          <t>Accepted</t>
        </is>
      </c>
      <c r="H1142" s="4" t="inlineStr">
        <is>
          <t>Python3</t>
        </is>
      </c>
      <c r="I1142" s="4" t="inlineStr">
        <is>
          <t>4595 ms</t>
        </is>
      </c>
      <c r="J1142" s="4" t="inlineStr">
        <is>
          <t>26.8 MB</t>
        </is>
      </c>
      <c r="K1142" s="4" t="n">
        <v>5</v>
      </c>
      <c r="L1142" s="4" t="inlineStr">
        <is>
          <t>75/75</t>
        </is>
      </c>
      <c r="M1142" s="9" t="inlineStr">
        <is>
          <t>Submission 1132432728</t>
        </is>
      </c>
      <c r="N1142" s="4" t="inlineStr">
        <is>
          <t>No</t>
        </is>
      </c>
    </row>
    <row r="1143">
      <c r="A1143" s="11" t="n">
        <v>45291.05157407407</v>
      </c>
      <c r="B1143" s="4" t="inlineStr">
        <is>
          <t>2023-12</t>
        </is>
      </c>
      <c r="C1143" s="4" t="n">
        <v>708</v>
      </c>
      <c r="D1143" s="9" t="inlineStr">
        <is>
          <t>Insert into a Sorted Circular Linked List</t>
        </is>
      </c>
      <c r="E1143" s="4" t="inlineStr">
        <is>
          <t>Medium</t>
        </is>
      </c>
      <c r="F1143" s="4" t="inlineStr">
        <is>
          <t>Linked List</t>
        </is>
      </c>
      <c r="G1143" s="4" t="inlineStr">
        <is>
          <t>Accepted</t>
        </is>
      </c>
      <c r="H1143" s="4" t="inlineStr">
        <is>
          <t>Python3</t>
        </is>
      </c>
      <c r="I1143" s="4" t="inlineStr">
        <is>
          <t>66 ms</t>
        </is>
      </c>
      <c r="J1143" s="4" t="inlineStr">
        <is>
          <t>18.1 MB</t>
        </is>
      </c>
      <c r="K1143" s="4" t="n">
        <v>6.6</v>
      </c>
      <c r="L1143" s="4" t="inlineStr">
        <is>
          <t>108/108</t>
        </is>
      </c>
      <c r="M1143" s="9" t="inlineStr">
        <is>
          <t>Submission 1132452299</t>
        </is>
      </c>
      <c r="N1143" s="4" t="inlineStr">
        <is>
          <t>No</t>
        </is>
      </c>
    </row>
    <row r="1144">
      <c r="A1144" s="11" t="n">
        <v>45291.05876157407</v>
      </c>
      <c r="B1144" s="4" t="inlineStr">
        <is>
          <t>2023-12</t>
        </is>
      </c>
      <c r="C1144" s="4" t="n">
        <v>670</v>
      </c>
      <c r="D1144" s="9" t="inlineStr">
        <is>
          <t>Maximum Swap</t>
        </is>
      </c>
      <c r="E1144" s="4" t="inlineStr">
        <is>
          <t>Medium</t>
        </is>
      </c>
      <c r="F1144" s="4" t="inlineStr">
        <is>
          <t>Greedy</t>
        </is>
      </c>
      <c r="G1144" s="4" t="inlineStr">
        <is>
          <t>Accepted</t>
        </is>
      </c>
      <c r="H1144" s="4" t="inlineStr">
        <is>
          <t>Python3</t>
        </is>
      </c>
      <c r="I1144" s="4" t="inlineStr">
        <is>
          <t>46 ms</t>
        </is>
      </c>
      <c r="J1144" s="4" t="inlineStr">
        <is>
          <t>17.2 MB</t>
        </is>
      </c>
      <c r="K1144" s="4" t="n">
        <v>0</v>
      </c>
      <c r="L1144" s="4" t="inlineStr">
        <is>
          <t>112/112</t>
        </is>
      </c>
      <c r="M1144" s="9" t="inlineStr">
        <is>
          <t>Submission 1132457069</t>
        </is>
      </c>
      <c r="N1144" s="4" t="inlineStr">
        <is>
          <t>No</t>
        </is>
      </c>
    </row>
    <row r="1145">
      <c r="A1145" s="11" t="n">
        <v>45291.13186342592</v>
      </c>
      <c r="B1145" s="4" t="inlineStr">
        <is>
          <t>2023-12</t>
        </is>
      </c>
      <c r="C1145" s="4" t="n">
        <v>301</v>
      </c>
      <c r="D1145" s="9" t="inlineStr">
        <is>
          <t>Remove Invalid Parentheses</t>
        </is>
      </c>
      <c r="E1145" s="4" t="inlineStr">
        <is>
          <t>Hard</t>
        </is>
      </c>
      <c r="F1145" s="4" t="inlineStr">
        <is>
          <t>Backtracking</t>
        </is>
      </c>
      <c r="G1145" s="4" t="inlineStr">
        <is>
          <t>Accepted</t>
        </is>
      </c>
      <c r="H1145" s="4" t="inlineStr">
        <is>
          <t>Python3</t>
        </is>
      </c>
      <c r="I1145" s="4" t="inlineStr">
        <is>
          <t>95 ms</t>
        </is>
      </c>
      <c r="J1145" s="4" t="inlineStr">
        <is>
          <t>17.6 MB</t>
        </is>
      </c>
      <c r="K1145" s="4" t="n">
        <v>48.8</v>
      </c>
      <c r="L1145" s="4" t="inlineStr">
        <is>
          <t>127/127</t>
        </is>
      </c>
      <c r="M1145" s="9" t="inlineStr">
        <is>
          <t>Submission 1132507586</t>
        </is>
      </c>
      <c r="N1145" s="4" t="inlineStr">
        <is>
          <t>Yes</t>
        </is>
      </c>
    </row>
    <row r="1146">
      <c r="A1146" s="11" t="n">
        <v>45291.1483912037</v>
      </c>
      <c r="B1146" s="4" t="inlineStr">
        <is>
          <t>2023-12</t>
        </is>
      </c>
      <c r="C1146" s="4" t="n">
        <v>346</v>
      </c>
      <c r="D1146" s="9" t="inlineStr">
        <is>
          <t>Moving Average from Data Stream</t>
        </is>
      </c>
      <c r="E1146" s="4" t="inlineStr">
        <is>
          <t>Easy</t>
        </is>
      </c>
      <c r="F1146" s="4" t="inlineStr">
        <is>
          <t>Design</t>
        </is>
      </c>
      <c r="G1146" s="4" t="inlineStr">
        <is>
          <t>Accepted</t>
        </is>
      </c>
      <c r="H1146" s="4" t="inlineStr">
        <is>
          <t>Python3</t>
        </is>
      </c>
      <c r="I1146" s="4" t="inlineStr">
        <is>
          <t>112 ms</t>
        </is>
      </c>
      <c r="J1146" s="4" t="inlineStr">
        <is>
          <t>20.8 MB</t>
        </is>
      </c>
      <c r="K1146" s="4" t="n">
        <v>5.2</v>
      </c>
      <c r="L1146" s="4" t="inlineStr">
        <is>
          <t>11/11</t>
        </is>
      </c>
      <c r="M1146" s="9" t="inlineStr">
        <is>
          <t>Submission 1132518060</t>
        </is>
      </c>
      <c r="N1146" s="4" t="inlineStr">
        <is>
          <t>Yes</t>
        </is>
      </c>
    </row>
    <row r="1147">
      <c r="A1147" s="11" t="n">
        <v>45291.18846064815</v>
      </c>
      <c r="B1147" s="4" t="inlineStr">
        <is>
          <t>2023-12</t>
        </is>
      </c>
      <c r="C1147" s="4" t="n">
        <v>236</v>
      </c>
      <c r="D1147" s="9" t="inlineStr">
        <is>
          <t>Lowest Common Ancestor of a Binary Tree</t>
        </is>
      </c>
      <c r="E1147" s="4" t="inlineStr">
        <is>
          <t>Medium</t>
        </is>
      </c>
      <c r="F1147" s="4" t="inlineStr">
        <is>
          <t>Binary Tree (DFS &amp; Recursion)</t>
        </is>
      </c>
      <c r="G1147" s="4" t="inlineStr">
        <is>
          <t>Time Limit Exceeded</t>
        </is>
      </c>
      <c r="H1147" s="4" t="inlineStr">
        <is>
          <t>Python3</t>
        </is>
      </c>
      <c r="I1147" s="4" t="inlineStr">
        <is>
          <t>N/A</t>
        </is>
      </c>
      <c r="J1147" s="4" t="inlineStr">
        <is>
          <t>N/A</t>
        </is>
      </c>
      <c r="K1147" s="4" t="n"/>
      <c r="L1147" s="4" t="inlineStr">
        <is>
          <t>29/32</t>
        </is>
      </c>
      <c r="M1147" s="9" t="inlineStr">
        <is>
          <t>Submission 1132541577</t>
        </is>
      </c>
      <c r="N1147" s="4" t="inlineStr">
        <is>
          <t>Yes</t>
        </is>
      </c>
    </row>
    <row r="1148">
      <c r="A1148" s="11" t="n">
        <v>45291.18877314815</v>
      </c>
      <c r="B1148" s="4" t="inlineStr">
        <is>
          <t>2023-12</t>
        </is>
      </c>
      <c r="C1148" s="4" t="n">
        <v>236</v>
      </c>
      <c r="D1148" s="9" t="inlineStr">
        <is>
          <t>Lowest Common Ancestor of a Binary Tree</t>
        </is>
      </c>
      <c r="E1148" s="4" t="inlineStr">
        <is>
          <t>Medium</t>
        </is>
      </c>
      <c r="F1148" s="4" t="inlineStr">
        <is>
          <t>Binary Tree (DFS &amp; Recursion)</t>
        </is>
      </c>
      <c r="G1148" s="4" t="inlineStr">
        <is>
          <t>Accepted</t>
        </is>
      </c>
      <c r="H1148" s="4" t="inlineStr">
        <is>
          <t>Python3</t>
        </is>
      </c>
      <c r="I1148" s="4" t="inlineStr">
        <is>
          <t>66 ms</t>
        </is>
      </c>
      <c r="J1148" s="4" t="inlineStr">
        <is>
          <t>22.2 MB</t>
        </is>
      </c>
      <c r="K1148" s="4" t="n">
        <v>100</v>
      </c>
      <c r="L1148" s="4" t="inlineStr">
        <is>
          <t>32/32</t>
        </is>
      </c>
      <c r="M1148" s="9" t="inlineStr">
        <is>
          <t>Submission 1132541758</t>
        </is>
      </c>
      <c r="N1148" s="4" t="inlineStr">
        <is>
          <t>Yes</t>
        </is>
      </c>
    </row>
    <row r="1149">
      <c r="A1149" s="11" t="n">
        <v>45291.18910879629</v>
      </c>
      <c r="B1149" s="4" t="inlineStr">
        <is>
          <t>2023-12</t>
        </is>
      </c>
      <c r="C1149" s="4" t="n">
        <v>236</v>
      </c>
      <c r="D1149" s="9" t="inlineStr">
        <is>
          <t>Lowest Common Ancestor of a Binary Tree</t>
        </is>
      </c>
      <c r="E1149" s="4" t="inlineStr">
        <is>
          <t>Medium</t>
        </is>
      </c>
      <c r="F1149" s="4" t="inlineStr">
        <is>
          <t>Binary Tree (DFS &amp; Recursion)</t>
        </is>
      </c>
      <c r="G1149" s="4" t="inlineStr">
        <is>
          <t>Accepted</t>
        </is>
      </c>
      <c r="H1149" s="4" t="inlineStr">
        <is>
          <t>Python3</t>
        </is>
      </c>
      <c r="I1149" s="4" t="inlineStr">
        <is>
          <t>103 ms</t>
        </is>
      </c>
      <c r="J1149" s="4" t="inlineStr">
        <is>
          <t>22 MB</t>
        </is>
      </c>
      <c r="K1149" s="4" t="n">
        <v>99.90000000000001</v>
      </c>
      <c r="L1149" s="4" t="inlineStr">
        <is>
          <t>32/32</t>
        </is>
      </c>
      <c r="M1149" s="9" t="inlineStr">
        <is>
          <t>Submission 1132541940</t>
        </is>
      </c>
      <c r="N1149" s="4" t="inlineStr">
        <is>
          <t>Yes</t>
        </is>
      </c>
    </row>
    <row r="1150">
      <c r="A1150" s="11" t="n">
        <v>45291.18931712963</v>
      </c>
      <c r="B1150" s="4" t="inlineStr">
        <is>
          <t>2023-12</t>
        </is>
      </c>
      <c r="C1150" s="4" t="n">
        <v>236</v>
      </c>
      <c r="D1150" s="9" t="inlineStr">
        <is>
          <t>Lowest Common Ancestor of a Binary Tree</t>
        </is>
      </c>
      <c r="E1150" s="4" t="inlineStr">
        <is>
          <t>Medium</t>
        </is>
      </c>
      <c r="F1150" s="4" t="inlineStr">
        <is>
          <t>Binary Tree (DFS &amp; Recursion)</t>
        </is>
      </c>
      <c r="G1150" s="4" t="inlineStr">
        <is>
          <t>Accepted</t>
        </is>
      </c>
      <c r="H1150" s="4" t="inlineStr">
        <is>
          <t>Python3</t>
        </is>
      </c>
      <c r="I1150" s="4" t="inlineStr">
        <is>
          <t>51 ms</t>
        </is>
      </c>
      <c r="J1150" s="4" t="inlineStr">
        <is>
          <t>21.9 MB</t>
        </is>
      </c>
      <c r="K1150" s="4" t="n">
        <v>100</v>
      </c>
      <c r="L1150" s="4" t="inlineStr">
        <is>
          <t>32/32</t>
        </is>
      </c>
      <c r="M1150" s="9" t="inlineStr">
        <is>
          <t>Submission 1132542057</t>
        </is>
      </c>
      <c r="N1150" s="4" t="inlineStr">
        <is>
          <t>Yes</t>
        </is>
      </c>
    </row>
    <row r="1151">
      <c r="A1151" s="11" t="n">
        <v>45291.29869212963</v>
      </c>
      <c r="B1151" s="4" t="inlineStr">
        <is>
          <t>2023-12</t>
        </is>
      </c>
      <c r="C1151" s="4" t="n">
        <v>973</v>
      </c>
      <c r="D1151" s="9" t="inlineStr">
        <is>
          <t>K Closest Points to Origin</t>
        </is>
      </c>
      <c r="E1151" s="4" t="inlineStr">
        <is>
          <t>Medium</t>
        </is>
      </c>
      <c r="F1151" s="4" t="inlineStr">
        <is>
          <t>Heap / Top-K</t>
        </is>
      </c>
      <c r="G1151" s="4" t="inlineStr">
        <is>
          <t>Wrong Answer</t>
        </is>
      </c>
      <c r="H1151" s="4" t="inlineStr">
        <is>
          <t>Python3</t>
        </is>
      </c>
      <c r="I1151" s="4" t="inlineStr">
        <is>
          <t>N/A</t>
        </is>
      </c>
      <c r="J1151" s="4" t="inlineStr">
        <is>
          <t>N/A</t>
        </is>
      </c>
      <c r="K1151" s="4" t="n"/>
      <c r="L1151" s="4" t="inlineStr">
        <is>
          <t>26/87</t>
        </is>
      </c>
      <c r="M1151" s="9" t="inlineStr">
        <is>
          <t>Submission 1132603413</t>
        </is>
      </c>
      <c r="N1151" s="4" t="inlineStr">
        <is>
          <t>Yes</t>
        </is>
      </c>
    </row>
    <row r="1152">
      <c r="A1152" s="11" t="n">
        <v>45291.29953703703</v>
      </c>
      <c r="B1152" s="4" t="inlineStr">
        <is>
          <t>2023-12</t>
        </is>
      </c>
      <c r="C1152" s="4" t="n">
        <v>973</v>
      </c>
      <c r="D1152" s="9" t="inlineStr">
        <is>
          <t>K Closest Points to Origin</t>
        </is>
      </c>
      <c r="E1152" s="4" t="inlineStr">
        <is>
          <t>Medium</t>
        </is>
      </c>
      <c r="F1152" s="4" t="inlineStr">
        <is>
          <t>Heap / Top-K</t>
        </is>
      </c>
      <c r="G1152" s="4" t="inlineStr">
        <is>
          <t>Wrong Answer</t>
        </is>
      </c>
      <c r="H1152" s="4" t="inlineStr">
        <is>
          <t>Python3</t>
        </is>
      </c>
      <c r="I1152" s="4" t="inlineStr">
        <is>
          <t>N/A</t>
        </is>
      </c>
      <c r="J1152" s="4" t="inlineStr">
        <is>
          <t>N/A</t>
        </is>
      </c>
      <c r="K1152" s="4" t="n"/>
      <c r="L1152" s="4" t="inlineStr">
        <is>
          <t>17/87</t>
        </is>
      </c>
      <c r="M1152" s="9" t="inlineStr">
        <is>
          <t>Submission 1132603909</t>
        </is>
      </c>
      <c r="N1152" s="4" t="inlineStr">
        <is>
          <t>Yes</t>
        </is>
      </c>
    </row>
    <row r="1153">
      <c r="A1153" s="11" t="n">
        <v>45291.29996527778</v>
      </c>
      <c r="B1153" s="4" t="inlineStr">
        <is>
          <t>2023-12</t>
        </is>
      </c>
      <c r="C1153" s="4" t="n">
        <v>973</v>
      </c>
      <c r="D1153" s="9" t="inlineStr">
        <is>
          <t>K Closest Points to Origin</t>
        </is>
      </c>
      <c r="E1153" s="4" t="inlineStr">
        <is>
          <t>Medium</t>
        </is>
      </c>
      <c r="F1153" s="4" t="inlineStr">
        <is>
          <t>Heap / Top-K</t>
        </is>
      </c>
      <c r="G1153" s="4" t="inlineStr">
        <is>
          <t>Wrong Answer</t>
        </is>
      </c>
      <c r="H1153" s="4" t="inlineStr">
        <is>
          <t>Python3</t>
        </is>
      </c>
      <c r="I1153" s="4" t="inlineStr">
        <is>
          <t>N/A</t>
        </is>
      </c>
      <c r="J1153" s="4" t="inlineStr">
        <is>
          <t>N/A</t>
        </is>
      </c>
      <c r="K1153" s="4" t="n"/>
      <c r="L1153" s="4" t="inlineStr">
        <is>
          <t>7/87</t>
        </is>
      </c>
      <c r="M1153" s="9" t="inlineStr">
        <is>
          <t>Submission 1132604152</t>
        </is>
      </c>
      <c r="N1153" s="4" t="inlineStr">
        <is>
          <t>Yes</t>
        </is>
      </c>
    </row>
    <row r="1154">
      <c r="A1154" s="11" t="n">
        <v>45291.30137731481</v>
      </c>
      <c r="B1154" s="4" t="inlineStr">
        <is>
          <t>2023-12</t>
        </is>
      </c>
      <c r="C1154" s="4" t="n">
        <v>973</v>
      </c>
      <c r="D1154" s="9" t="inlineStr">
        <is>
          <t>K Closest Points to Origin</t>
        </is>
      </c>
      <c r="E1154" s="4" t="inlineStr">
        <is>
          <t>Medium</t>
        </is>
      </c>
      <c r="F1154" s="4" t="inlineStr">
        <is>
          <t>Heap / Top-K</t>
        </is>
      </c>
      <c r="G1154" s="4" t="inlineStr">
        <is>
          <t>Time Limit Exceeded</t>
        </is>
      </c>
      <c r="H1154" s="4" t="inlineStr">
        <is>
          <t>Python3</t>
        </is>
      </c>
      <c r="I1154" s="4" t="inlineStr">
        <is>
          <t>N/A</t>
        </is>
      </c>
      <c r="J1154" s="4" t="inlineStr">
        <is>
          <t>N/A</t>
        </is>
      </c>
      <c r="K1154" s="4" t="n"/>
      <c r="L1154" s="4" t="inlineStr">
        <is>
          <t>85/87</t>
        </is>
      </c>
      <c r="M1154" s="9" t="inlineStr">
        <is>
          <t>Submission 1132604943</t>
        </is>
      </c>
      <c r="N1154" s="4" t="inlineStr">
        <is>
          <t>Yes</t>
        </is>
      </c>
    </row>
    <row r="1155">
      <c r="A1155" s="11" t="n">
        <v>45291.32302083333</v>
      </c>
      <c r="B1155" s="4" t="inlineStr">
        <is>
          <t>2023-12</t>
        </is>
      </c>
      <c r="C1155" s="4" t="n">
        <v>778</v>
      </c>
      <c r="D1155" s="9" t="inlineStr">
        <is>
          <t>Swim in Rising Water</t>
        </is>
      </c>
      <c r="E1155" s="4" t="inlineStr">
        <is>
          <t>Hard</t>
        </is>
      </c>
      <c r="F1155" s="4" t="inlineStr">
        <is>
          <t>Graph: Shortest Path</t>
        </is>
      </c>
      <c r="G1155" s="4" t="inlineStr">
        <is>
          <t>Wrong Answer</t>
        </is>
      </c>
      <c r="H1155" s="4" t="inlineStr">
        <is>
          <t>Python3</t>
        </is>
      </c>
      <c r="I1155" s="4" t="inlineStr">
        <is>
          <t>N/A</t>
        </is>
      </c>
      <c r="J1155" s="4" t="inlineStr">
        <is>
          <t>N/A</t>
        </is>
      </c>
      <c r="K1155" s="4" t="n"/>
      <c r="L1155" s="4" t="inlineStr">
        <is>
          <t>2/43</t>
        </is>
      </c>
      <c r="M1155" s="9" t="inlineStr">
        <is>
          <t>Submission 1132617566</t>
        </is>
      </c>
      <c r="N1155" s="4" t="inlineStr">
        <is>
          <t>No</t>
        </is>
      </c>
    </row>
    <row r="1156">
      <c r="A1156" s="11" t="n">
        <v>45291.32858796296</v>
      </c>
      <c r="B1156" s="4" t="inlineStr">
        <is>
          <t>2023-12</t>
        </is>
      </c>
      <c r="C1156" s="4" t="n">
        <v>1748</v>
      </c>
      <c r="D1156" s="9" t="inlineStr">
        <is>
          <t>Sum of Unique Elements</t>
        </is>
      </c>
      <c r="E1156" s="4" t="inlineStr">
        <is>
          <t>Easy</t>
        </is>
      </c>
      <c r="F1156" s="4" t="inlineStr">
        <is>
          <t>Arrays, Hashing &amp; Sorting</t>
        </is>
      </c>
      <c r="G1156" s="4" t="inlineStr">
        <is>
          <t>Accepted</t>
        </is>
      </c>
      <c r="H1156" s="4" t="inlineStr">
        <is>
          <t>Python3</t>
        </is>
      </c>
      <c r="I1156" s="4" t="inlineStr">
        <is>
          <t>50 ms</t>
        </is>
      </c>
      <c r="J1156" s="4" t="inlineStr">
        <is>
          <t>17.4 MB</t>
        </is>
      </c>
      <c r="K1156" s="4" t="n">
        <v>0.6</v>
      </c>
      <c r="L1156" s="4" t="inlineStr">
        <is>
          <t>73/73</t>
        </is>
      </c>
      <c r="M1156" s="9" t="inlineStr">
        <is>
          <t>Submission 1132621107</t>
        </is>
      </c>
      <c r="N1156" s="4" t="inlineStr">
        <is>
          <t>No</t>
        </is>
      </c>
    </row>
    <row r="1157">
      <c r="A1157" s="11" t="n">
        <v>45291.32864583333</v>
      </c>
      <c r="B1157" s="4" t="inlineStr">
        <is>
          <t>2023-12</t>
        </is>
      </c>
      <c r="C1157" s="4" t="n">
        <v>814</v>
      </c>
      <c r="D1157" s="9" t="inlineStr">
        <is>
          <t>Binary Tree Pruning</t>
        </is>
      </c>
      <c r="E1157" s="4" t="inlineStr">
        <is>
          <t>Medium</t>
        </is>
      </c>
      <c r="F1157" s="4" t="inlineStr">
        <is>
          <t>Binary Tree (DFS &amp; Recursion)</t>
        </is>
      </c>
      <c r="G1157" s="4" t="inlineStr">
        <is>
          <t>Wrong Answer</t>
        </is>
      </c>
      <c r="H1157" s="4" t="inlineStr">
        <is>
          <t>Python3</t>
        </is>
      </c>
      <c r="I1157" s="4" t="inlineStr">
        <is>
          <t>N/A</t>
        </is>
      </c>
      <c r="J1157" s="4" t="inlineStr">
        <is>
          <t>N/A</t>
        </is>
      </c>
      <c r="K1157" s="4" t="n"/>
      <c r="L1157" s="4" t="inlineStr">
        <is>
          <t>29/31</t>
        </is>
      </c>
      <c r="M1157" s="9" t="inlineStr">
        <is>
          <t>Submission 1132621142</t>
        </is>
      </c>
      <c r="N1157" s="4" t="inlineStr">
        <is>
          <t>No</t>
        </is>
      </c>
    </row>
    <row r="1158">
      <c r="A1158" s="11" t="n">
        <v>45291.32927083333</v>
      </c>
      <c r="B1158" s="4" t="inlineStr">
        <is>
          <t>2023-12</t>
        </is>
      </c>
      <c r="C1158" s="4" t="n">
        <v>814</v>
      </c>
      <c r="D1158" s="9" t="inlineStr">
        <is>
          <t>Binary Tree Pruning</t>
        </is>
      </c>
      <c r="E1158" s="4" t="inlineStr">
        <is>
          <t>Medium</t>
        </is>
      </c>
      <c r="F1158" s="4" t="inlineStr">
        <is>
          <t>Binary Tree (DFS &amp; Recursion)</t>
        </is>
      </c>
      <c r="G1158" s="4" t="inlineStr">
        <is>
          <t>Runtime Error</t>
        </is>
      </c>
      <c r="H1158" s="4" t="inlineStr">
        <is>
          <t>Python3</t>
        </is>
      </c>
      <c r="I1158" s="4" t="inlineStr">
        <is>
          <t>N/A</t>
        </is>
      </c>
      <c r="J1158" s="4" t="inlineStr">
        <is>
          <t>N/A</t>
        </is>
      </c>
      <c r="K1158" s="4" t="n"/>
      <c r="L1158" s="4" t="inlineStr">
        <is>
          <t>3/31</t>
        </is>
      </c>
      <c r="M1158" s="9" t="inlineStr">
        <is>
          <t>Submission 1132621567</t>
        </is>
      </c>
      <c r="N1158" s="4" t="inlineStr">
        <is>
          <t>No</t>
        </is>
      </c>
    </row>
    <row r="1159">
      <c r="A1159" s="11" t="n">
        <v>45291.32969907407</v>
      </c>
      <c r="B1159" s="4" t="inlineStr">
        <is>
          <t>2023-12</t>
        </is>
      </c>
      <c r="C1159" s="4" t="n">
        <v>814</v>
      </c>
      <c r="D1159" s="9" t="inlineStr">
        <is>
          <t>Binary Tree Pruning</t>
        </is>
      </c>
      <c r="E1159" s="4" t="inlineStr">
        <is>
          <t>Medium</t>
        </is>
      </c>
      <c r="F1159" s="4" t="inlineStr">
        <is>
          <t>Binary Tree (DFS &amp; Recursion)</t>
        </is>
      </c>
      <c r="G1159" s="4" t="inlineStr">
        <is>
          <t>Runtime Error</t>
        </is>
      </c>
      <c r="H1159" s="4" t="inlineStr">
        <is>
          <t>Python3</t>
        </is>
      </c>
      <c r="I1159" s="4" t="inlineStr">
        <is>
          <t>N/A</t>
        </is>
      </c>
      <c r="J1159" s="4" t="inlineStr">
        <is>
          <t>N/A</t>
        </is>
      </c>
      <c r="K1159" s="4" t="n"/>
      <c r="L1159" s="4" t="inlineStr">
        <is>
          <t>3/31</t>
        </is>
      </c>
      <c r="M1159" s="9" t="inlineStr">
        <is>
          <t>Submission 1132621824</t>
        </is>
      </c>
      <c r="N1159" s="4" t="inlineStr">
        <is>
          <t>No</t>
        </is>
      </c>
    </row>
    <row r="1160">
      <c r="A1160" s="11" t="n">
        <v>45291.32988425926</v>
      </c>
      <c r="B1160" s="4" t="inlineStr">
        <is>
          <t>2023-12</t>
        </is>
      </c>
      <c r="C1160" s="4" t="n">
        <v>814</v>
      </c>
      <c r="D1160" s="9" t="inlineStr">
        <is>
          <t>Binary Tree Pruning</t>
        </is>
      </c>
      <c r="E1160" s="4" t="inlineStr">
        <is>
          <t>Medium</t>
        </is>
      </c>
      <c r="F1160" s="4" t="inlineStr">
        <is>
          <t>Binary Tree (DFS &amp; Recursion)</t>
        </is>
      </c>
      <c r="G1160" s="4" t="inlineStr">
        <is>
          <t>Runtime Error</t>
        </is>
      </c>
      <c r="H1160" s="4" t="inlineStr">
        <is>
          <t>Python3</t>
        </is>
      </c>
      <c r="I1160" s="4" t="inlineStr">
        <is>
          <t>N/A</t>
        </is>
      </c>
      <c r="J1160" s="4" t="inlineStr">
        <is>
          <t>N/A</t>
        </is>
      </c>
      <c r="K1160" s="4" t="n"/>
      <c r="L1160" s="4" t="inlineStr">
        <is>
          <t>3/31</t>
        </is>
      </c>
      <c r="M1160" s="9" t="inlineStr">
        <is>
          <t>Submission 1132621943</t>
        </is>
      </c>
      <c r="N1160" s="4" t="inlineStr">
        <is>
          <t>No</t>
        </is>
      </c>
    </row>
    <row r="1161">
      <c r="A1161" s="11" t="n">
        <v>45291.33002314815</v>
      </c>
      <c r="B1161" s="4" t="inlineStr">
        <is>
          <t>2023-12</t>
        </is>
      </c>
      <c r="C1161" s="4" t="n">
        <v>814</v>
      </c>
      <c r="D1161" s="9" t="inlineStr">
        <is>
          <t>Binary Tree Pruning</t>
        </is>
      </c>
      <c r="E1161" s="4" t="inlineStr">
        <is>
          <t>Medium</t>
        </is>
      </c>
      <c r="F1161" s="4" t="inlineStr">
        <is>
          <t>Binary Tree (DFS &amp; Recursion)</t>
        </is>
      </c>
      <c r="G1161" s="4" t="inlineStr">
        <is>
          <t>Runtime Error</t>
        </is>
      </c>
      <c r="H1161" s="4" t="inlineStr">
        <is>
          <t>Python3</t>
        </is>
      </c>
      <c r="I1161" s="4" t="inlineStr">
        <is>
          <t>N/A</t>
        </is>
      </c>
      <c r="J1161" s="4" t="inlineStr">
        <is>
          <t>N/A</t>
        </is>
      </c>
      <c r="K1161" s="4" t="n"/>
      <c r="L1161" s="4" t="inlineStr">
        <is>
          <t>3/31</t>
        </is>
      </c>
      <c r="M1161" s="9" t="inlineStr">
        <is>
          <t>Submission 1132622024</t>
        </is>
      </c>
      <c r="N1161" s="4" t="inlineStr">
        <is>
          <t>No</t>
        </is>
      </c>
    </row>
    <row r="1162">
      <c r="A1162" s="11" t="n">
        <v>45291.33019675926</v>
      </c>
      <c r="B1162" s="4" t="inlineStr">
        <is>
          <t>2023-12</t>
        </is>
      </c>
      <c r="C1162" s="4" t="n">
        <v>814</v>
      </c>
      <c r="D1162" s="9" t="inlineStr">
        <is>
          <t>Binary Tree Pruning</t>
        </is>
      </c>
      <c r="E1162" s="4" t="inlineStr">
        <is>
          <t>Medium</t>
        </is>
      </c>
      <c r="F1162" s="4" t="inlineStr">
        <is>
          <t>Binary Tree (DFS &amp; Recursion)</t>
        </is>
      </c>
      <c r="G1162" s="4" t="inlineStr">
        <is>
          <t>Runtime Error</t>
        </is>
      </c>
      <c r="H1162" s="4" t="inlineStr">
        <is>
          <t>Python3</t>
        </is>
      </c>
      <c r="I1162" s="4" t="inlineStr">
        <is>
          <t>N/A</t>
        </is>
      </c>
      <c r="J1162" s="4" t="inlineStr">
        <is>
          <t>N/A</t>
        </is>
      </c>
      <c r="K1162" s="4" t="n"/>
      <c r="L1162" s="4" t="inlineStr">
        <is>
          <t>0/31</t>
        </is>
      </c>
      <c r="M1162" s="9" t="inlineStr">
        <is>
          <t>Submission 1132622143</t>
        </is>
      </c>
      <c r="N1162" s="4" t="inlineStr">
        <is>
          <t>No</t>
        </is>
      </c>
    </row>
    <row r="1163">
      <c r="A1163" s="11" t="n">
        <v>45291.33055555556</v>
      </c>
      <c r="B1163" s="4" t="inlineStr">
        <is>
          <t>2023-12</t>
        </is>
      </c>
      <c r="C1163" s="4" t="n">
        <v>814</v>
      </c>
      <c r="D1163" s="9" t="inlineStr">
        <is>
          <t>Binary Tree Pruning</t>
        </is>
      </c>
      <c r="E1163" s="4" t="inlineStr">
        <is>
          <t>Medium</t>
        </is>
      </c>
      <c r="F1163" s="4" t="inlineStr">
        <is>
          <t>Binary Tree (DFS &amp; Recursion)</t>
        </is>
      </c>
      <c r="G1163" s="4" t="inlineStr">
        <is>
          <t>Wrong Answer</t>
        </is>
      </c>
      <c r="H1163" s="4" t="inlineStr">
        <is>
          <t>Python3</t>
        </is>
      </c>
      <c r="I1163" s="4" t="inlineStr">
        <is>
          <t>N/A</t>
        </is>
      </c>
      <c r="J1163" s="4" t="inlineStr">
        <is>
          <t>N/A</t>
        </is>
      </c>
      <c r="K1163" s="4" t="n"/>
      <c r="L1163" s="4" t="inlineStr">
        <is>
          <t>15/31</t>
        </is>
      </c>
      <c r="M1163" s="9" t="inlineStr">
        <is>
          <t>Submission 1132622379</t>
        </is>
      </c>
      <c r="N1163" s="4" t="inlineStr">
        <is>
          <t>No</t>
        </is>
      </c>
    </row>
    <row r="1164">
      <c r="A1164" s="11" t="n">
        <v>45291.33081018519</v>
      </c>
      <c r="B1164" s="4" t="inlineStr">
        <is>
          <t>2023-12</t>
        </is>
      </c>
      <c r="C1164" s="4" t="n">
        <v>814</v>
      </c>
      <c r="D1164" s="9" t="inlineStr">
        <is>
          <t>Binary Tree Pruning</t>
        </is>
      </c>
      <c r="E1164" s="4" t="inlineStr">
        <is>
          <t>Medium</t>
        </is>
      </c>
      <c r="F1164" s="4" t="inlineStr">
        <is>
          <t>Binary Tree (DFS &amp; Recursion)</t>
        </is>
      </c>
      <c r="G1164" s="4" t="inlineStr">
        <is>
          <t>Wrong Answer</t>
        </is>
      </c>
      <c r="H1164" s="4" t="inlineStr">
        <is>
          <t>Python3</t>
        </is>
      </c>
      <c r="I1164" s="4" t="inlineStr">
        <is>
          <t>N/A</t>
        </is>
      </c>
      <c r="J1164" s="4" t="inlineStr">
        <is>
          <t>N/A</t>
        </is>
      </c>
      <c r="K1164" s="4" t="n"/>
      <c r="L1164" s="4" t="inlineStr">
        <is>
          <t>29/31</t>
        </is>
      </c>
      <c r="M1164" s="9" t="inlineStr">
        <is>
          <t>Submission 1132622540</t>
        </is>
      </c>
      <c r="N1164" s="4" t="inlineStr">
        <is>
          <t>No</t>
        </is>
      </c>
    </row>
    <row r="1165">
      <c r="A1165" s="11" t="n">
        <v>45291.3309837963</v>
      </c>
      <c r="B1165" s="4" t="inlineStr">
        <is>
          <t>2023-12</t>
        </is>
      </c>
      <c r="C1165" s="4" t="n">
        <v>814</v>
      </c>
      <c r="D1165" s="9" t="inlineStr">
        <is>
          <t>Binary Tree Pruning</t>
        </is>
      </c>
      <c r="E1165" s="4" t="inlineStr">
        <is>
          <t>Medium</t>
        </is>
      </c>
      <c r="F1165" s="4" t="inlineStr">
        <is>
          <t>Binary Tree (DFS &amp; Recursion)</t>
        </is>
      </c>
      <c r="G1165" s="4" t="inlineStr">
        <is>
          <t>Wrong Answer</t>
        </is>
      </c>
      <c r="H1165" s="4" t="inlineStr">
        <is>
          <t>Python3</t>
        </is>
      </c>
      <c r="I1165" s="4" t="inlineStr">
        <is>
          <t>N/A</t>
        </is>
      </c>
      <c r="J1165" s="4" t="inlineStr">
        <is>
          <t>N/A</t>
        </is>
      </c>
      <c r="K1165" s="4" t="n"/>
      <c r="L1165" s="4" t="inlineStr">
        <is>
          <t>29/31</t>
        </is>
      </c>
      <c r="M1165" s="9" t="inlineStr">
        <is>
          <t>Submission 1132622662</t>
        </is>
      </c>
      <c r="N1165" s="4" t="inlineStr">
        <is>
          <t>No</t>
        </is>
      </c>
    </row>
    <row r="1166">
      <c r="A1166" s="11" t="n">
        <v>45291.33188657407</v>
      </c>
      <c r="B1166" s="4" t="inlineStr">
        <is>
          <t>2023-12</t>
        </is>
      </c>
      <c r="C1166" s="4" t="n">
        <v>814</v>
      </c>
      <c r="D1166" s="9" t="inlineStr">
        <is>
          <t>Binary Tree Pruning</t>
        </is>
      </c>
      <c r="E1166" s="4" t="inlineStr">
        <is>
          <t>Medium</t>
        </is>
      </c>
      <c r="F1166" s="4" t="inlineStr">
        <is>
          <t>Binary Tree (DFS &amp; Recursion)</t>
        </is>
      </c>
      <c r="G1166" s="4" t="inlineStr">
        <is>
          <t>Wrong Answer</t>
        </is>
      </c>
      <c r="H1166" s="4" t="inlineStr">
        <is>
          <t>Python3</t>
        </is>
      </c>
      <c r="I1166" s="4" t="inlineStr">
        <is>
          <t>N/A</t>
        </is>
      </c>
      <c r="J1166" s="4" t="inlineStr">
        <is>
          <t>N/A</t>
        </is>
      </c>
      <c r="K1166" s="4" t="n"/>
      <c r="L1166" s="4" t="inlineStr">
        <is>
          <t>29/31</t>
        </is>
      </c>
      <c r="M1166" s="9" t="inlineStr">
        <is>
          <t>Submission 1132623294</t>
        </is>
      </c>
      <c r="N1166" s="4" t="inlineStr">
        <is>
          <t>No</t>
        </is>
      </c>
    </row>
    <row r="1167">
      <c r="A1167" s="11" t="n">
        <v>45291.33475694444</v>
      </c>
      <c r="B1167" s="4" t="inlineStr">
        <is>
          <t>2023-12</t>
        </is>
      </c>
      <c r="C1167" s="4" t="n">
        <v>814</v>
      </c>
      <c r="D1167" s="9" t="inlineStr">
        <is>
          <t>Binary Tree Pruning</t>
        </is>
      </c>
      <c r="E1167" s="4" t="inlineStr">
        <is>
          <t>Medium</t>
        </is>
      </c>
      <c r="F1167" s="4" t="inlineStr">
        <is>
          <t>Binary Tree (DFS &amp; Recursion)</t>
        </is>
      </c>
      <c r="G1167" s="4" t="inlineStr">
        <is>
          <t>Accepted</t>
        </is>
      </c>
      <c r="H1167" s="4" t="inlineStr">
        <is>
          <t>Python3</t>
        </is>
      </c>
      <c r="I1167" s="4" t="inlineStr">
        <is>
          <t>84 ms</t>
        </is>
      </c>
      <c r="J1167" s="4" t="inlineStr">
        <is>
          <t>17.4 MB</t>
        </is>
      </c>
      <c r="K1167" s="4" t="n">
        <v>0.8</v>
      </c>
      <c r="L1167" s="4" t="inlineStr">
        <is>
          <t>31/31</t>
        </is>
      </c>
      <c r="M1167" s="9" t="inlineStr">
        <is>
          <t>Submission 1132625993</t>
        </is>
      </c>
      <c r="N1167" s="4" t="inlineStr">
        <is>
          <t>No</t>
        </is>
      </c>
    </row>
    <row r="1168">
      <c r="A1168" s="11" t="n">
        <v>45291.33782407407</v>
      </c>
      <c r="B1168" s="4" t="inlineStr">
        <is>
          <t>2023-12</t>
        </is>
      </c>
      <c r="C1168" s="4" t="n">
        <v>778</v>
      </c>
      <c r="D1168" s="9" t="inlineStr">
        <is>
          <t>Swim in Rising Water</t>
        </is>
      </c>
      <c r="E1168" s="4" t="inlineStr">
        <is>
          <t>Hard</t>
        </is>
      </c>
      <c r="F1168" s="4" t="inlineStr">
        <is>
          <t>Graph: Shortest Path</t>
        </is>
      </c>
      <c r="G1168" s="4" t="inlineStr">
        <is>
          <t>Time Limit Exceeded</t>
        </is>
      </c>
      <c r="H1168" s="4" t="inlineStr">
        <is>
          <t>Python3</t>
        </is>
      </c>
      <c r="I1168" s="4" t="inlineStr">
        <is>
          <t>N/A</t>
        </is>
      </c>
      <c r="J1168" s="4" t="inlineStr">
        <is>
          <t>N/A</t>
        </is>
      </c>
      <c r="K1168" s="4" t="n"/>
      <c r="L1168" s="4" t="inlineStr">
        <is>
          <t>1/43</t>
        </is>
      </c>
      <c r="M1168" s="9" t="inlineStr">
        <is>
          <t>Submission 1132632572</t>
        </is>
      </c>
      <c r="N1168" s="4" t="inlineStr">
        <is>
          <t>No</t>
        </is>
      </c>
    </row>
    <row r="1169">
      <c r="A1169" s="11" t="n">
        <v>45291.33798611111</v>
      </c>
      <c r="B1169" s="4" t="inlineStr">
        <is>
          <t>2023-12</t>
        </is>
      </c>
      <c r="C1169" s="4" t="n">
        <v>778</v>
      </c>
      <c r="D1169" s="9" t="inlineStr">
        <is>
          <t>Swim in Rising Water</t>
        </is>
      </c>
      <c r="E1169" s="4" t="inlineStr">
        <is>
          <t>Hard</t>
        </is>
      </c>
      <c r="F1169" s="4" t="inlineStr">
        <is>
          <t>Graph: Shortest Path</t>
        </is>
      </c>
      <c r="G1169" s="4" t="inlineStr">
        <is>
          <t>Time Limit Exceeded</t>
        </is>
      </c>
      <c r="H1169" s="4" t="inlineStr">
        <is>
          <t>Python3</t>
        </is>
      </c>
      <c r="I1169" s="4" t="inlineStr">
        <is>
          <t>N/A</t>
        </is>
      </c>
      <c r="J1169" s="4" t="inlineStr">
        <is>
          <t>N/A</t>
        </is>
      </c>
      <c r="K1169" s="4" t="n"/>
      <c r="L1169" s="4" t="inlineStr">
        <is>
          <t>1/43</t>
        </is>
      </c>
      <c r="M1169" s="9" t="inlineStr">
        <is>
          <t>Submission 1132632863</t>
        </is>
      </c>
      <c r="N1169" s="4" t="inlineStr">
        <is>
          <t>No</t>
        </is>
      </c>
    </row>
    <row r="1170">
      <c r="A1170" s="11" t="n">
        <v>45291.34326388889</v>
      </c>
      <c r="B1170" s="4" t="inlineStr">
        <is>
          <t>2023-12</t>
        </is>
      </c>
      <c r="C1170" s="4" t="n">
        <v>778</v>
      </c>
      <c r="D1170" s="9" t="inlineStr">
        <is>
          <t>Swim in Rising Water</t>
        </is>
      </c>
      <c r="E1170" s="4" t="inlineStr">
        <is>
          <t>Hard</t>
        </is>
      </c>
      <c r="F1170" s="4" t="inlineStr">
        <is>
          <t>Graph: Shortest Path</t>
        </is>
      </c>
      <c r="G1170" s="4" t="inlineStr">
        <is>
          <t>Accepted</t>
        </is>
      </c>
      <c r="H1170" s="4" t="inlineStr">
        <is>
          <t>Python3</t>
        </is>
      </c>
      <c r="I1170" s="4" t="inlineStr">
        <is>
          <t>266 ms</t>
        </is>
      </c>
      <c r="J1170" s="4" t="inlineStr">
        <is>
          <t>19.2 MB</t>
        </is>
      </c>
      <c r="K1170" s="4" t="n">
        <v>5</v>
      </c>
      <c r="L1170" s="4" t="inlineStr">
        <is>
          <t>43/43</t>
        </is>
      </c>
      <c r="M1170" s="9" t="inlineStr">
        <is>
          <t>Submission 1132641819</t>
        </is>
      </c>
      <c r="N1170" s="4" t="inlineStr">
        <is>
          <t>No</t>
        </is>
      </c>
    </row>
    <row r="1171">
      <c r="A1171" s="11" t="n">
        <v>45291.35108796296</v>
      </c>
      <c r="B1171" s="4" t="inlineStr">
        <is>
          <t>2023-12</t>
        </is>
      </c>
      <c r="C1171" s="4" t="n">
        <v>278</v>
      </c>
      <c r="D1171" s="9" t="inlineStr">
        <is>
          <t>First Bad Version</t>
        </is>
      </c>
      <c r="E1171" s="4" t="inlineStr">
        <is>
          <t>Easy</t>
        </is>
      </c>
      <c r="F1171" s="4" t="inlineStr">
        <is>
          <t>Binary Search</t>
        </is>
      </c>
      <c r="G1171" s="4" t="inlineStr">
        <is>
          <t>Accepted</t>
        </is>
      </c>
      <c r="H1171" s="4" t="inlineStr">
        <is>
          <t>Python3</t>
        </is>
      </c>
      <c r="I1171" s="4" t="inlineStr">
        <is>
          <t>49 ms</t>
        </is>
      </c>
      <c r="J1171" s="4" t="inlineStr">
        <is>
          <t>17.3 MB</t>
        </is>
      </c>
      <c r="K1171" s="4" t="n">
        <v>23.9</v>
      </c>
      <c r="L1171" s="4" t="inlineStr">
        <is>
          <t>24/24</t>
        </is>
      </c>
      <c r="M1171" s="9" t="inlineStr">
        <is>
          <t>Submission 1132654946</t>
        </is>
      </c>
      <c r="N1171" s="4" t="inlineStr">
        <is>
          <t>Yes</t>
        </is>
      </c>
    </row>
    <row r="1172">
      <c r="A1172" s="11" t="n">
        <v>45291.36162037037</v>
      </c>
      <c r="B1172" s="4" t="inlineStr">
        <is>
          <t>2023-12</t>
        </is>
      </c>
      <c r="C1172" s="4" t="n">
        <v>211</v>
      </c>
      <c r="D1172" s="9" t="inlineStr">
        <is>
          <t>Design Add and Search Words Data Structure</t>
        </is>
      </c>
      <c r="E1172" s="4" t="inlineStr">
        <is>
          <t>Medium</t>
        </is>
      </c>
      <c r="F1172" s="4" t="inlineStr">
        <is>
          <t>Trie</t>
        </is>
      </c>
      <c r="G1172" s="4" t="inlineStr">
        <is>
          <t>Accepted</t>
        </is>
      </c>
      <c r="H1172" s="4" t="inlineStr">
        <is>
          <t>Python3</t>
        </is>
      </c>
      <c r="I1172" s="4" t="inlineStr">
        <is>
          <t>2221 ms</t>
        </is>
      </c>
      <c r="J1172" s="4" t="inlineStr">
        <is>
          <t>52 MB</t>
        </is>
      </c>
      <c r="K1172" s="4" t="n">
        <v>5</v>
      </c>
      <c r="L1172" s="4" t="inlineStr">
        <is>
          <t>29/29</t>
        </is>
      </c>
      <c r="M1172" s="9" t="inlineStr">
        <is>
          <t>Submission 1132671929</t>
        </is>
      </c>
      <c r="N1172" s="4" t="inlineStr">
        <is>
          <t>No</t>
        </is>
      </c>
    </row>
    <row r="1173">
      <c r="A1173" s="11" t="n">
        <v>45291.36319444444</v>
      </c>
      <c r="B1173" s="4" t="inlineStr">
        <is>
          <t>2023-12</t>
        </is>
      </c>
      <c r="C1173" s="4" t="n">
        <v>200</v>
      </c>
      <c r="D1173" s="9" t="inlineStr">
        <is>
          <t>Number of Islands</t>
        </is>
      </c>
      <c r="E1173" s="4" t="inlineStr">
        <is>
          <t>Medium</t>
        </is>
      </c>
      <c r="F1173" s="4" t="inlineStr">
        <is>
          <t>Graph: Grid BFS/DFS</t>
        </is>
      </c>
      <c r="G1173" s="4" t="inlineStr">
        <is>
          <t>Wrong Answer</t>
        </is>
      </c>
      <c r="H1173" s="4" t="inlineStr">
        <is>
          <t>Python3</t>
        </is>
      </c>
      <c r="I1173" s="4" t="inlineStr">
        <is>
          <t>N/A</t>
        </is>
      </c>
      <c r="J1173" s="4" t="inlineStr">
        <is>
          <t>N/A</t>
        </is>
      </c>
      <c r="K1173" s="4" t="n"/>
      <c r="L1173" s="4" t="inlineStr">
        <is>
          <t>21/49</t>
        </is>
      </c>
      <c r="M1173" s="9" t="inlineStr">
        <is>
          <t>Submission 1132674438</t>
        </is>
      </c>
      <c r="N1173" s="4" t="inlineStr">
        <is>
          <t>Yes</t>
        </is>
      </c>
    </row>
    <row r="1174">
      <c r="A1174" s="11" t="n">
        <v>45291.36806712963</v>
      </c>
      <c r="B1174" s="4" t="inlineStr">
        <is>
          <t>2023-12</t>
        </is>
      </c>
      <c r="C1174" s="4" t="n">
        <v>200</v>
      </c>
      <c r="D1174" s="9" t="inlineStr">
        <is>
          <t>Number of Islands</t>
        </is>
      </c>
      <c r="E1174" s="4" t="inlineStr">
        <is>
          <t>Medium</t>
        </is>
      </c>
      <c r="F1174" s="4" t="inlineStr">
        <is>
          <t>Graph: Grid BFS/DFS</t>
        </is>
      </c>
      <c r="G1174" s="4" t="inlineStr">
        <is>
          <t>Accepted</t>
        </is>
      </c>
      <c r="H1174" s="4" t="inlineStr">
        <is>
          <t>Python3</t>
        </is>
      </c>
      <c r="I1174" s="4" t="inlineStr">
        <is>
          <t>390 ms</t>
        </is>
      </c>
      <c r="J1174" s="4" t="inlineStr">
        <is>
          <t>19.9 MB</t>
        </is>
      </c>
      <c r="K1174" s="4" t="n">
        <v>5</v>
      </c>
      <c r="L1174" s="4" t="inlineStr">
        <is>
          <t>49/49</t>
        </is>
      </c>
      <c r="M1174" s="9" t="inlineStr">
        <is>
          <t>Submission 1132681858</t>
        </is>
      </c>
      <c r="N1174" s="4" t="inlineStr">
        <is>
          <t>Yes</t>
        </is>
      </c>
    </row>
    <row r="1175">
      <c r="A1175" s="11" t="n">
        <v>45291.37679398148</v>
      </c>
      <c r="B1175" s="4" t="inlineStr">
        <is>
          <t>2023-12</t>
        </is>
      </c>
      <c r="C1175" s="4" t="n">
        <v>301</v>
      </c>
      <c r="D1175" s="9" t="inlineStr">
        <is>
          <t>Remove Invalid Parentheses</t>
        </is>
      </c>
      <c r="E1175" s="4" t="inlineStr">
        <is>
          <t>Hard</t>
        </is>
      </c>
      <c r="F1175" s="4" t="inlineStr">
        <is>
          <t>Backtracking</t>
        </is>
      </c>
      <c r="G1175" s="4" t="inlineStr">
        <is>
          <t>Accepted</t>
        </is>
      </c>
      <c r="H1175" s="4" t="inlineStr">
        <is>
          <t>Python3</t>
        </is>
      </c>
      <c r="I1175" s="4" t="inlineStr">
        <is>
          <t>389 ms</t>
        </is>
      </c>
      <c r="J1175" s="4" t="inlineStr">
        <is>
          <t>21 MB</t>
        </is>
      </c>
      <c r="K1175" s="4" t="n">
        <v>41.5</v>
      </c>
      <c r="L1175" s="4" t="inlineStr">
        <is>
          <t>127/127</t>
        </is>
      </c>
      <c r="M1175" s="9" t="inlineStr">
        <is>
          <t>Submission 1132694948</t>
        </is>
      </c>
      <c r="N1175" s="4" t="inlineStr">
        <is>
          <t>Yes</t>
        </is>
      </c>
    </row>
    <row r="1176">
      <c r="A1176" s="11" t="n">
        <v>45292.38875</v>
      </c>
      <c r="B1176" s="4" t="inlineStr">
        <is>
          <t>2024-01</t>
        </is>
      </c>
      <c r="C1176" s="4" t="n">
        <v>65</v>
      </c>
      <c r="D1176" s="9" t="inlineStr">
        <is>
          <t>Valid Number</t>
        </is>
      </c>
      <c r="E1176" s="4" t="inlineStr">
        <is>
          <t>Hard</t>
        </is>
      </c>
      <c r="F1176" s="4" t="inlineStr">
        <is>
          <t>Strings &amp; Simulation</t>
        </is>
      </c>
      <c r="G1176" s="4" t="inlineStr">
        <is>
          <t>Wrong Answer</t>
        </is>
      </c>
      <c r="H1176" s="4" t="inlineStr">
        <is>
          <t>Python3</t>
        </is>
      </c>
      <c r="I1176" s="4" t="inlineStr">
        <is>
          <t>N/A</t>
        </is>
      </c>
      <c r="J1176" s="4" t="inlineStr">
        <is>
          <t>N/A</t>
        </is>
      </c>
      <c r="K1176" s="4" t="n"/>
      <c r="L1176" s="4" t="inlineStr">
        <is>
          <t>1443/1494</t>
        </is>
      </c>
      <c r="M1176" s="9" t="inlineStr">
        <is>
          <t>Submission 1133405320</t>
        </is>
      </c>
      <c r="N1176" s="4" t="inlineStr">
        <is>
          <t>No</t>
        </is>
      </c>
    </row>
    <row r="1177">
      <c r="A1177" s="11" t="n">
        <v>45293.0080787037</v>
      </c>
      <c r="B1177" s="4" t="inlineStr">
        <is>
          <t>2024-01</t>
        </is>
      </c>
      <c r="C1177" s="4" t="n">
        <v>426</v>
      </c>
      <c r="D1177" s="9" t="inlineStr">
        <is>
          <t>Convert Binary Search Tree to Sorted Doubly Linked List</t>
        </is>
      </c>
      <c r="E1177" s="4" t="inlineStr">
        <is>
          <t>Medium</t>
        </is>
      </c>
      <c r="F1177" s="4" t="inlineStr">
        <is>
          <t>Binary Search Tree</t>
        </is>
      </c>
      <c r="G1177" s="4" t="inlineStr">
        <is>
          <t>Accepted</t>
        </is>
      </c>
      <c r="H1177" s="4" t="inlineStr">
        <is>
          <t>Python3</t>
        </is>
      </c>
      <c r="I1177" s="4" t="inlineStr">
        <is>
          <t>94 ms</t>
        </is>
      </c>
      <c r="J1177" s="4" t="inlineStr">
        <is>
          <t>17.9 MB</t>
        </is>
      </c>
      <c r="K1177" s="4" t="n">
        <v>5.9</v>
      </c>
      <c r="L1177" s="4" t="inlineStr">
        <is>
          <t>50/50</t>
        </is>
      </c>
      <c r="M1177" s="9" t="inlineStr">
        <is>
          <t>Submission 1133982312</t>
        </is>
      </c>
      <c r="N1177" s="4" t="inlineStr">
        <is>
          <t>No</t>
        </is>
      </c>
    </row>
    <row r="1178">
      <c r="A1178" s="11" t="n">
        <v>45293.03568287037</v>
      </c>
      <c r="B1178" s="4" t="inlineStr">
        <is>
          <t>2024-01</t>
        </is>
      </c>
      <c r="C1178" s="4" t="n">
        <v>138</v>
      </c>
      <c r="D1178" s="9" t="inlineStr">
        <is>
          <t>Copy List with Random Pointer</t>
        </is>
      </c>
      <c r="E1178" s="4" t="inlineStr">
        <is>
          <t>Medium</t>
        </is>
      </c>
      <c r="F1178" s="4" t="inlineStr">
        <is>
          <t>Linked List</t>
        </is>
      </c>
      <c r="G1178" s="4" t="inlineStr">
        <is>
          <t>Accepted</t>
        </is>
      </c>
      <c r="H1178" s="4" t="inlineStr">
        <is>
          <t>Python3</t>
        </is>
      </c>
      <c r="I1178" s="4" t="inlineStr">
        <is>
          <t>46 ms</t>
        </is>
      </c>
      <c r="J1178" s="4" t="inlineStr">
        <is>
          <t>18.3 MB</t>
        </is>
      </c>
      <c r="K1178" s="4" t="n">
        <v>70.7</v>
      </c>
      <c r="L1178" s="4" t="inlineStr">
        <is>
          <t>19/19</t>
        </is>
      </c>
      <c r="M1178" s="9" t="inlineStr">
        <is>
          <t>Submission 1134008815</t>
        </is>
      </c>
      <c r="N1178" s="4" t="inlineStr">
        <is>
          <t>Yes</t>
        </is>
      </c>
    </row>
    <row r="1179">
      <c r="A1179" s="11" t="n">
        <v>45293.03789351852</v>
      </c>
      <c r="B1179" s="4" t="inlineStr">
        <is>
          <t>2024-01</t>
        </is>
      </c>
      <c r="C1179" s="4" t="n">
        <v>138</v>
      </c>
      <c r="D1179" s="9" t="inlineStr">
        <is>
          <t>Copy List with Random Pointer</t>
        </is>
      </c>
      <c r="E1179" s="4" t="inlineStr">
        <is>
          <t>Medium</t>
        </is>
      </c>
      <c r="F1179" s="4" t="inlineStr">
        <is>
          <t>Linked List</t>
        </is>
      </c>
      <c r="G1179" s="4" t="inlineStr">
        <is>
          <t>Runtime Error</t>
        </is>
      </c>
      <c r="H1179" s="4" t="inlineStr">
        <is>
          <t>Python3</t>
        </is>
      </c>
      <c r="I1179" s="4" t="inlineStr">
        <is>
          <t>N/A</t>
        </is>
      </c>
      <c r="J1179" s="4" t="inlineStr">
        <is>
          <t>N/A</t>
        </is>
      </c>
      <c r="K1179" s="4" t="n"/>
      <c r="L1179" s="4" t="inlineStr">
        <is>
          <t>3/19</t>
        </is>
      </c>
      <c r="M1179" s="9" t="inlineStr">
        <is>
          <t>Submission 1134010731</t>
        </is>
      </c>
      <c r="N1179" s="4" t="inlineStr">
        <is>
          <t>Yes</t>
        </is>
      </c>
    </row>
    <row r="1180">
      <c r="A1180" s="11" t="n">
        <v>45293.03866898148</v>
      </c>
      <c r="B1180" s="4" t="inlineStr">
        <is>
          <t>2024-01</t>
        </is>
      </c>
      <c r="C1180" s="4" t="n">
        <v>138</v>
      </c>
      <c r="D1180" s="9" t="inlineStr">
        <is>
          <t>Copy List with Random Pointer</t>
        </is>
      </c>
      <c r="E1180" s="4" t="inlineStr">
        <is>
          <t>Medium</t>
        </is>
      </c>
      <c r="F1180" s="4" t="inlineStr">
        <is>
          <t>Linked List</t>
        </is>
      </c>
      <c r="G1180" s="4" t="inlineStr">
        <is>
          <t>Runtime Error</t>
        </is>
      </c>
      <c r="H1180" s="4" t="inlineStr">
        <is>
          <t>Python3</t>
        </is>
      </c>
      <c r="I1180" s="4" t="inlineStr">
        <is>
          <t>N/A</t>
        </is>
      </c>
      <c r="J1180" s="4" t="inlineStr">
        <is>
          <t>N/A</t>
        </is>
      </c>
      <c r="K1180" s="4" t="n"/>
      <c r="L1180" s="4" t="inlineStr">
        <is>
          <t>3/19</t>
        </is>
      </c>
      <c r="M1180" s="9" t="inlineStr">
        <is>
          <t>Submission 1134011422</t>
        </is>
      </c>
      <c r="N1180" s="4" t="inlineStr">
        <is>
          <t>Yes</t>
        </is>
      </c>
    </row>
    <row r="1181">
      <c r="A1181" s="11" t="n">
        <v>45293.03891203704</v>
      </c>
      <c r="B1181" s="4" t="inlineStr">
        <is>
          <t>2024-01</t>
        </is>
      </c>
      <c r="C1181" s="4" t="n">
        <v>138</v>
      </c>
      <c r="D1181" s="9" t="inlineStr">
        <is>
          <t>Copy List with Random Pointer</t>
        </is>
      </c>
      <c r="E1181" s="4" t="inlineStr">
        <is>
          <t>Medium</t>
        </is>
      </c>
      <c r="F1181" s="4" t="inlineStr">
        <is>
          <t>Linked List</t>
        </is>
      </c>
      <c r="G1181" s="4" t="inlineStr">
        <is>
          <t>Accepted</t>
        </is>
      </c>
      <c r="H1181" s="4" t="inlineStr">
        <is>
          <t>Python3</t>
        </is>
      </c>
      <c r="I1181" s="4" t="inlineStr">
        <is>
          <t>77 ms</t>
        </is>
      </c>
      <c r="J1181" s="4" t="inlineStr">
        <is>
          <t>18.4 MB</t>
        </is>
      </c>
      <c r="K1181" s="4" t="n">
        <v>6</v>
      </c>
      <c r="L1181" s="4" t="inlineStr">
        <is>
          <t>19/19</t>
        </is>
      </c>
      <c r="M1181" s="9" t="inlineStr">
        <is>
          <t>Submission 1134011626</t>
        </is>
      </c>
      <c r="N1181" s="4" t="inlineStr">
        <is>
          <t>Yes</t>
        </is>
      </c>
    </row>
    <row r="1182">
      <c r="A1182" s="11" t="n">
        <v>45293.03907407408</v>
      </c>
      <c r="B1182" s="4" t="inlineStr">
        <is>
          <t>2024-01</t>
        </is>
      </c>
      <c r="C1182" s="4" t="n">
        <v>138</v>
      </c>
      <c r="D1182" s="9" t="inlineStr">
        <is>
          <t>Copy List with Random Pointer</t>
        </is>
      </c>
      <c r="E1182" s="4" t="inlineStr">
        <is>
          <t>Medium</t>
        </is>
      </c>
      <c r="F1182" s="4" t="inlineStr">
        <is>
          <t>Linked List</t>
        </is>
      </c>
      <c r="G1182" s="4" t="inlineStr">
        <is>
          <t>Accepted</t>
        </is>
      </c>
      <c r="H1182" s="4" t="inlineStr">
        <is>
          <t>Python3</t>
        </is>
      </c>
      <c r="I1182" s="4" t="inlineStr">
        <is>
          <t>84 ms</t>
        </is>
      </c>
      <c r="J1182" s="4" t="inlineStr">
        <is>
          <t>18.6 MB</t>
        </is>
      </c>
      <c r="K1182" s="4" t="n">
        <v>6</v>
      </c>
      <c r="L1182" s="4" t="inlineStr">
        <is>
          <t>19/19</t>
        </is>
      </c>
      <c r="M1182" s="9" t="inlineStr">
        <is>
          <t>Submission 1134011763</t>
        </is>
      </c>
      <c r="N1182" s="4" t="inlineStr">
        <is>
          <t>Yes</t>
        </is>
      </c>
    </row>
    <row r="1183">
      <c r="A1183" s="11" t="n">
        <v>45293.05692129629</v>
      </c>
      <c r="B1183" s="4" t="inlineStr">
        <is>
          <t>2024-01</t>
        </is>
      </c>
      <c r="C1183" s="4" t="n">
        <v>398</v>
      </c>
      <c r="D1183" s="9" t="inlineStr">
        <is>
          <t>Random Pick Index</t>
        </is>
      </c>
      <c r="E1183" s="4" t="inlineStr">
        <is>
          <t>Medium</t>
        </is>
      </c>
      <c r="F1183" s="4" t="inlineStr">
        <is>
          <t>Math &amp; Bit Manipulation</t>
        </is>
      </c>
      <c r="G1183" s="4" t="inlineStr">
        <is>
          <t>Runtime Error</t>
        </is>
      </c>
      <c r="H1183" s="4" t="inlineStr">
        <is>
          <t>Python3</t>
        </is>
      </c>
      <c r="I1183" s="4" t="inlineStr">
        <is>
          <t>N/A</t>
        </is>
      </c>
      <c r="J1183" s="4" t="inlineStr">
        <is>
          <t>N/A</t>
        </is>
      </c>
      <c r="K1183" s="4" t="n"/>
      <c r="L1183" s="4" t="inlineStr">
        <is>
          <t>0/15</t>
        </is>
      </c>
      <c r="M1183" s="9" t="inlineStr">
        <is>
          <t>Submission 1134027278</t>
        </is>
      </c>
      <c r="N1183" s="4" t="inlineStr">
        <is>
          <t>No</t>
        </is>
      </c>
    </row>
    <row r="1184">
      <c r="A1184" s="11" t="n">
        <v>45293.05722222223</v>
      </c>
      <c r="B1184" s="4" t="inlineStr">
        <is>
          <t>2024-01</t>
        </is>
      </c>
      <c r="C1184" s="4" t="n">
        <v>398</v>
      </c>
      <c r="D1184" s="9" t="inlineStr">
        <is>
          <t>Random Pick Index</t>
        </is>
      </c>
      <c r="E1184" s="4" t="inlineStr">
        <is>
          <t>Medium</t>
        </is>
      </c>
      <c r="F1184" s="4" t="inlineStr">
        <is>
          <t>Math &amp; Bit Manipulation</t>
        </is>
      </c>
      <c r="G1184" s="4" t="inlineStr">
        <is>
          <t>Time Limit Exceeded</t>
        </is>
      </c>
      <c r="H1184" s="4" t="inlineStr">
        <is>
          <t>Python3</t>
        </is>
      </c>
      <c r="I1184" s="4" t="inlineStr">
        <is>
          <t>N/A</t>
        </is>
      </c>
      <c r="J1184" s="4" t="inlineStr">
        <is>
          <t>N/A</t>
        </is>
      </c>
      <c r="K1184" s="4" t="n"/>
      <c r="L1184" s="4" t="inlineStr">
        <is>
          <t>14/15</t>
        </is>
      </c>
      <c r="M1184" s="9" t="inlineStr">
        <is>
          <t>Submission 1134027560</t>
        </is>
      </c>
      <c r="N1184" s="4" t="inlineStr">
        <is>
          <t>No</t>
        </is>
      </c>
    </row>
    <row r="1185">
      <c r="A1185" s="11" t="n">
        <v>45293.05766203703</v>
      </c>
      <c r="B1185" s="4" t="inlineStr">
        <is>
          <t>2024-01</t>
        </is>
      </c>
      <c r="C1185" s="4" t="n">
        <v>398</v>
      </c>
      <c r="D1185" s="9" t="inlineStr">
        <is>
          <t>Random Pick Index</t>
        </is>
      </c>
      <c r="E1185" s="4" t="inlineStr">
        <is>
          <t>Medium</t>
        </is>
      </c>
      <c r="F1185" s="4" t="inlineStr">
        <is>
          <t>Math &amp; Bit Manipulation</t>
        </is>
      </c>
      <c r="G1185" s="4" t="inlineStr">
        <is>
          <t>Time Limit Exceeded</t>
        </is>
      </c>
      <c r="H1185" s="4" t="inlineStr">
        <is>
          <t>Python3</t>
        </is>
      </c>
      <c r="I1185" s="4" t="inlineStr">
        <is>
          <t>N/A</t>
        </is>
      </c>
      <c r="J1185" s="4" t="inlineStr">
        <is>
          <t>N/A</t>
        </is>
      </c>
      <c r="K1185" s="4" t="n"/>
      <c r="L1185" s="4" t="inlineStr">
        <is>
          <t>14/15</t>
        </is>
      </c>
      <c r="M1185" s="9" t="inlineStr">
        <is>
          <t>Submission 1134027921</t>
        </is>
      </c>
      <c r="N1185" s="4" t="inlineStr">
        <is>
          <t>No</t>
        </is>
      </c>
    </row>
    <row r="1186">
      <c r="A1186" s="11" t="n">
        <v>45293.06317129629</v>
      </c>
      <c r="B1186" s="4" t="inlineStr">
        <is>
          <t>2024-01</t>
        </is>
      </c>
      <c r="C1186" s="4" t="n">
        <v>227</v>
      </c>
      <c r="D1186" s="9" t="inlineStr">
        <is>
          <t>Basic Calculator II</t>
        </is>
      </c>
      <c r="E1186" s="4" t="inlineStr">
        <is>
          <t>Medium</t>
        </is>
      </c>
      <c r="F1186" s="4" t="inlineStr">
        <is>
          <t>Stack</t>
        </is>
      </c>
      <c r="G1186" s="4" t="inlineStr">
        <is>
          <t>Accepted</t>
        </is>
      </c>
      <c r="H1186" s="4" t="inlineStr">
        <is>
          <t>Python3</t>
        </is>
      </c>
      <c r="I1186" s="4" t="inlineStr">
        <is>
          <t>104 ms</t>
        </is>
      </c>
      <c r="J1186" s="4" t="inlineStr">
        <is>
          <t>20.2 MB</t>
        </is>
      </c>
      <c r="K1186" s="4" t="n">
        <v>10.1</v>
      </c>
      <c r="L1186" s="4" t="inlineStr">
        <is>
          <t>111/111</t>
        </is>
      </c>
      <c r="M1186" s="9" t="inlineStr">
        <is>
          <t>Submission 1134032496</t>
        </is>
      </c>
      <c r="N1186" s="4" t="inlineStr">
        <is>
          <t>Yes</t>
        </is>
      </c>
    </row>
    <row r="1187">
      <c r="A1187" s="11" t="n">
        <v>45293.11291666667</v>
      </c>
      <c r="B1187" s="4" t="inlineStr">
        <is>
          <t>2024-01</t>
        </is>
      </c>
      <c r="C1187" s="4" t="n">
        <v>23</v>
      </c>
      <c r="D1187" s="9" t="inlineStr">
        <is>
          <t>Merge k Sorted Lists</t>
        </is>
      </c>
      <c r="E1187" s="4" t="inlineStr">
        <is>
          <t>Hard</t>
        </is>
      </c>
      <c r="F1187" s="4" t="inlineStr">
        <is>
          <t>Heap / Top-K</t>
        </is>
      </c>
      <c r="G1187" s="4" t="inlineStr">
        <is>
          <t>Wrong Answer</t>
        </is>
      </c>
      <c r="H1187" s="4" t="inlineStr">
        <is>
          <t>Python3</t>
        </is>
      </c>
      <c r="I1187" s="4" t="inlineStr">
        <is>
          <t>N/A</t>
        </is>
      </c>
      <c r="J1187" s="4" t="inlineStr">
        <is>
          <t>N/A</t>
        </is>
      </c>
      <c r="K1187" s="4" t="n"/>
      <c r="L1187" s="4" t="inlineStr">
        <is>
          <t>24/133</t>
        </is>
      </c>
      <c r="M1187" s="9" t="inlineStr">
        <is>
          <t>Submission 1134069625</t>
        </is>
      </c>
      <c r="N1187" s="4" t="inlineStr">
        <is>
          <t>Yes</t>
        </is>
      </c>
    </row>
    <row r="1188">
      <c r="A1188" s="11" t="n">
        <v>45293.13151620371</v>
      </c>
      <c r="B1188" s="4" t="inlineStr">
        <is>
          <t>2024-01</t>
        </is>
      </c>
      <c r="C1188" s="4" t="n">
        <v>528</v>
      </c>
      <c r="D1188" s="9" t="inlineStr">
        <is>
          <t>Random Pick with Weight</t>
        </is>
      </c>
      <c r="E1188" s="4" t="inlineStr">
        <is>
          <t>Medium</t>
        </is>
      </c>
      <c r="F1188" s="4" t="inlineStr">
        <is>
          <t>Prefix Sum &amp; Difference Array</t>
        </is>
      </c>
      <c r="G1188" s="4" t="inlineStr">
        <is>
          <t>Accepted</t>
        </is>
      </c>
      <c r="H1188" s="4" t="inlineStr">
        <is>
          <t>Python3</t>
        </is>
      </c>
      <c r="I1188" s="4" t="inlineStr">
        <is>
          <t>136 ms</t>
        </is>
      </c>
      <c r="J1188" s="4" t="inlineStr">
        <is>
          <t>22 MB</t>
        </is>
      </c>
      <c r="K1188" s="4" t="n">
        <v>20.9</v>
      </c>
      <c r="L1188" s="4" t="inlineStr">
        <is>
          <t>57/57</t>
        </is>
      </c>
      <c r="M1188" s="9" t="inlineStr">
        <is>
          <t>Submission 1134082231</t>
        </is>
      </c>
      <c r="N1188" s="4" t="inlineStr">
        <is>
          <t>Yes</t>
        </is>
      </c>
    </row>
    <row r="1189">
      <c r="A1189" s="11" t="n">
        <v>45293.14982638889</v>
      </c>
      <c r="B1189" s="4" t="inlineStr">
        <is>
          <t>2024-01</t>
        </is>
      </c>
      <c r="C1189" s="4" t="n">
        <v>38</v>
      </c>
      <c r="D1189" s="9" t="inlineStr">
        <is>
          <t>Count and Say</t>
        </is>
      </c>
      <c r="E1189" s="4" t="inlineStr">
        <is>
          <t>Medium</t>
        </is>
      </c>
      <c r="F1189" s="4" t="inlineStr">
        <is>
          <t>Strings &amp; Simulation</t>
        </is>
      </c>
      <c r="G1189" s="4" t="inlineStr">
        <is>
          <t>Accepted</t>
        </is>
      </c>
      <c r="H1189" s="4" t="inlineStr">
        <is>
          <t>Python3</t>
        </is>
      </c>
      <c r="I1189" s="4" t="inlineStr">
        <is>
          <t>54 ms</t>
        </is>
      </c>
      <c r="J1189" s="4" t="inlineStr">
        <is>
          <t>17.4 MB</t>
        </is>
      </c>
      <c r="K1189" s="4" t="n">
        <v>18.8</v>
      </c>
      <c r="L1189" s="4" t="inlineStr">
        <is>
          <t>30/30</t>
        </is>
      </c>
      <c r="M1189" s="9" t="inlineStr">
        <is>
          <t>Submission 1134094340</t>
        </is>
      </c>
      <c r="N1189" s="4" t="inlineStr">
        <is>
          <t>No</t>
        </is>
      </c>
    </row>
    <row r="1190">
      <c r="A1190" s="11" t="n">
        <v>45293.98178240741</v>
      </c>
      <c r="B1190" s="4" t="inlineStr">
        <is>
          <t>2024-01</t>
        </is>
      </c>
      <c r="C1190" s="4" t="n">
        <v>139</v>
      </c>
      <c r="D1190" s="9" t="inlineStr">
        <is>
          <t>Word Break</t>
        </is>
      </c>
      <c r="E1190" s="4" t="inlineStr">
        <is>
          <t>Medium</t>
        </is>
      </c>
      <c r="F1190" s="4" t="inlineStr">
        <is>
          <t>DP: 1D / Linear</t>
        </is>
      </c>
      <c r="G1190" s="4" t="inlineStr">
        <is>
          <t>Accepted</t>
        </is>
      </c>
      <c r="H1190" s="4" t="inlineStr">
        <is>
          <t>Python3</t>
        </is>
      </c>
      <c r="I1190" s="4" t="inlineStr">
        <is>
          <t>92 ms</t>
        </is>
      </c>
      <c r="J1190" s="4" t="inlineStr">
        <is>
          <t>18.5 MB</t>
        </is>
      </c>
      <c r="K1190" s="4" t="n">
        <v>5.2</v>
      </c>
      <c r="L1190" s="4" t="inlineStr">
        <is>
          <t>46/46</t>
        </is>
      </c>
      <c r="M1190" s="9" t="inlineStr">
        <is>
          <t>Submission 1134878882</t>
        </is>
      </c>
      <c r="N1190" s="4" t="inlineStr">
        <is>
          <t>Yes</t>
        </is>
      </c>
    </row>
    <row r="1191">
      <c r="A1191" s="11" t="n">
        <v>45293.98388888889</v>
      </c>
      <c r="B1191" s="4" t="inlineStr">
        <is>
          <t>2024-01</t>
        </is>
      </c>
      <c r="C1191" s="4" t="n">
        <v>139</v>
      </c>
      <c r="D1191" s="9" t="inlineStr">
        <is>
          <t>Word Break</t>
        </is>
      </c>
      <c r="E1191" s="4" t="inlineStr">
        <is>
          <t>Medium</t>
        </is>
      </c>
      <c r="F1191" s="4" t="inlineStr">
        <is>
          <t>DP: 1D / Linear</t>
        </is>
      </c>
      <c r="G1191" s="4" t="inlineStr">
        <is>
          <t>Accepted</t>
        </is>
      </c>
      <c r="H1191" s="4" t="inlineStr">
        <is>
          <t>Python3</t>
        </is>
      </c>
      <c r="I1191" s="4" t="inlineStr">
        <is>
          <t>53 ms</t>
        </is>
      </c>
      <c r="J1191" s="4" t="inlineStr">
        <is>
          <t>18.5 MB</t>
        </is>
      </c>
      <c r="K1191" s="4" t="n">
        <v>5.2</v>
      </c>
      <c r="L1191" s="4" t="inlineStr">
        <is>
          <t>46/46</t>
        </is>
      </c>
      <c r="M1191" s="9" t="inlineStr">
        <is>
          <t>Submission 1134881936</t>
        </is>
      </c>
      <c r="N1191" s="4" t="inlineStr">
        <is>
          <t>Yes</t>
        </is>
      </c>
    </row>
    <row r="1192">
      <c r="A1192" s="11" t="n">
        <v>45293.98418981482</v>
      </c>
      <c r="B1192" s="4" t="inlineStr">
        <is>
          <t>2024-01</t>
        </is>
      </c>
      <c r="C1192" s="4" t="n">
        <v>139</v>
      </c>
      <c r="D1192" s="9" t="inlineStr">
        <is>
          <t>Word Break</t>
        </is>
      </c>
      <c r="E1192" s="4" t="inlineStr">
        <is>
          <t>Medium</t>
        </is>
      </c>
      <c r="F1192" s="4" t="inlineStr">
        <is>
          <t>DP: 1D / Linear</t>
        </is>
      </c>
      <c r="G1192" s="4" t="inlineStr">
        <is>
          <t>Accepted</t>
        </is>
      </c>
      <c r="H1192" s="4" t="inlineStr">
        <is>
          <t>Python3</t>
        </is>
      </c>
      <c r="I1192" s="4" t="inlineStr">
        <is>
          <t>103 ms</t>
        </is>
      </c>
      <c r="J1192" s="4" t="inlineStr">
        <is>
          <t>18.5 MB</t>
        </is>
      </c>
      <c r="K1192" s="4" t="n">
        <v>5.2</v>
      </c>
      <c r="L1192" s="4" t="inlineStr">
        <is>
          <t>46/46</t>
        </is>
      </c>
      <c r="M1192" s="9" t="inlineStr">
        <is>
          <t>Submission 1134882352</t>
        </is>
      </c>
      <c r="N1192" s="4" t="inlineStr">
        <is>
          <t>Yes</t>
        </is>
      </c>
    </row>
    <row r="1193">
      <c r="A1193" s="11" t="n">
        <v>45294.00331018519</v>
      </c>
      <c r="B1193" s="4" t="inlineStr">
        <is>
          <t>2024-01</t>
        </is>
      </c>
      <c r="C1193" s="4" t="n">
        <v>140</v>
      </c>
      <c r="D1193" s="9" t="inlineStr">
        <is>
          <t>Word Break II</t>
        </is>
      </c>
      <c r="E1193" s="4" t="inlineStr">
        <is>
          <t>Hard</t>
        </is>
      </c>
      <c r="F1193" s="4" t="inlineStr">
        <is>
          <t>Backtracking</t>
        </is>
      </c>
      <c r="G1193" s="4" t="inlineStr">
        <is>
          <t>Accepted</t>
        </is>
      </c>
      <c r="H1193" s="4" t="inlineStr">
        <is>
          <t>Python3</t>
        </is>
      </c>
      <c r="I1193" s="4" t="inlineStr">
        <is>
          <t>65 ms</t>
        </is>
      </c>
      <c r="J1193" s="4" t="inlineStr">
        <is>
          <t>17.4 MB</t>
        </is>
      </c>
      <c r="K1193" s="4" t="n">
        <v>0.3</v>
      </c>
      <c r="L1193" s="4" t="inlineStr">
        <is>
          <t>27/27</t>
        </is>
      </c>
      <c r="M1193" s="9" t="inlineStr">
        <is>
          <t>Submission 1134908980</t>
        </is>
      </c>
      <c r="N1193" s="4" t="inlineStr">
        <is>
          <t>Yes</t>
        </is>
      </c>
    </row>
    <row r="1194">
      <c r="A1194" s="11" t="n">
        <v>45294.0144212963</v>
      </c>
      <c r="B1194" s="4" t="inlineStr">
        <is>
          <t>2024-01</t>
        </is>
      </c>
      <c r="C1194" s="4" t="n">
        <v>140</v>
      </c>
      <c r="D1194" s="9" t="inlineStr">
        <is>
          <t>Word Break II</t>
        </is>
      </c>
      <c r="E1194" s="4" t="inlineStr">
        <is>
          <t>Hard</t>
        </is>
      </c>
      <c r="F1194" s="4" t="inlineStr">
        <is>
          <t>Backtracking</t>
        </is>
      </c>
      <c r="G1194" s="4" t="inlineStr">
        <is>
          <t>Accepted</t>
        </is>
      </c>
      <c r="H1194" s="4" t="inlineStr">
        <is>
          <t>Python3</t>
        </is>
      </c>
      <c r="I1194" s="4" t="inlineStr">
        <is>
          <t>71 ms</t>
        </is>
      </c>
      <c r="J1194" s="4" t="inlineStr">
        <is>
          <t>17.7 MB</t>
        </is>
      </c>
      <c r="K1194" s="4" t="n">
        <v>0.3</v>
      </c>
      <c r="L1194" s="4" t="inlineStr">
        <is>
          <t>27/27</t>
        </is>
      </c>
      <c r="M1194" s="9" t="inlineStr">
        <is>
          <t>Submission 1134922385</t>
        </is>
      </c>
      <c r="N1194" s="4" t="inlineStr">
        <is>
          <t>Yes</t>
        </is>
      </c>
    </row>
    <row r="1195">
      <c r="A1195" s="11" t="n">
        <v>45294.01447916667</v>
      </c>
      <c r="B1195" s="4" t="inlineStr">
        <is>
          <t>2024-01</t>
        </is>
      </c>
      <c r="C1195" s="4" t="n">
        <v>140</v>
      </c>
      <c r="D1195" s="9" t="inlineStr">
        <is>
          <t>Word Break II</t>
        </is>
      </c>
      <c r="E1195" s="4" t="inlineStr">
        <is>
          <t>Hard</t>
        </is>
      </c>
      <c r="F1195" s="4" t="inlineStr">
        <is>
          <t>Backtracking</t>
        </is>
      </c>
      <c r="G1195" s="4" t="inlineStr">
        <is>
          <t>Accepted</t>
        </is>
      </c>
      <c r="H1195" s="4" t="inlineStr">
        <is>
          <t>Python3</t>
        </is>
      </c>
      <c r="I1195" s="4" t="inlineStr">
        <is>
          <t>67 ms</t>
        </is>
      </c>
      <c r="J1195" s="4" t="inlineStr">
        <is>
          <t>17.6 MB</t>
        </is>
      </c>
      <c r="K1195" s="4" t="n">
        <v>0.3</v>
      </c>
      <c r="L1195" s="4" t="inlineStr">
        <is>
          <t>27/27</t>
        </is>
      </c>
      <c r="M1195" s="9" t="inlineStr">
        <is>
          <t>Submission 1134922448</t>
        </is>
      </c>
      <c r="N1195" s="4" t="inlineStr">
        <is>
          <t>Yes</t>
        </is>
      </c>
    </row>
    <row r="1196">
      <c r="A1196" s="11" t="n">
        <v>45294.01471064815</v>
      </c>
      <c r="B1196" s="4" t="inlineStr">
        <is>
          <t>2024-01</t>
        </is>
      </c>
      <c r="C1196" s="4" t="n">
        <v>140</v>
      </c>
      <c r="D1196" s="9" t="inlineStr">
        <is>
          <t>Word Break II</t>
        </is>
      </c>
      <c r="E1196" s="4" t="inlineStr">
        <is>
          <t>Hard</t>
        </is>
      </c>
      <c r="F1196" s="4" t="inlineStr">
        <is>
          <t>Backtracking</t>
        </is>
      </c>
      <c r="G1196" s="4" t="inlineStr">
        <is>
          <t>Accepted</t>
        </is>
      </c>
      <c r="H1196" s="4" t="inlineStr">
        <is>
          <t>Python3</t>
        </is>
      </c>
      <c r="I1196" s="4" t="inlineStr">
        <is>
          <t>42 ms</t>
        </is>
      </c>
      <c r="J1196" s="4" t="inlineStr">
        <is>
          <t>17.6 MB</t>
        </is>
      </c>
      <c r="K1196" s="4" t="n">
        <v>0.3</v>
      </c>
      <c r="L1196" s="4" t="inlineStr">
        <is>
          <t>27/27</t>
        </is>
      </c>
      <c r="M1196" s="9" t="inlineStr">
        <is>
          <t>Submission 1134922708</t>
        </is>
      </c>
      <c r="N1196" s="4" t="inlineStr">
        <is>
          <t>Yes</t>
        </is>
      </c>
    </row>
    <row r="1197">
      <c r="A1197" s="11" t="n">
        <v>45294.10332175926</v>
      </c>
      <c r="B1197" s="4" t="inlineStr">
        <is>
          <t>2024-01</t>
        </is>
      </c>
      <c r="C1197" s="4" t="n">
        <v>227</v>
      </c>
      <c r="D1197" s="9" t="inlineStr">
        <is>
          <t>Basic Calculator II</t>
        </is>
      </c>
      <c r="E1197" s="4" t="inlineStr">
        <is>
          <t>Medium</t>
        </is>
      </c>
      <c r="F1197" s="4" t="inlineStr">
        <is>
          <t>Stack</t>
        </is>
      </c>
      <c r="G1197" s="4" t="inlineStr">
        <is>
          <t>Accepted</t>
        </is>
      </c>
      <c r="H1197" s="4" t="inlineStr">
        <is>
          <t>Python3</t>
        </is>
      </c>
      <c r="I1197" s="4" t="inlineStr">
        <is>
          <t>209 ms</t>
        </is>
      </c>
      <c r="J1197" s="4" t="inlineStr">
        <is>
          <t>20.1 MB</t>
        </is>
      </c>
      <c r="K1197" s="4" t="n">
        <v>5.1</v>
      </c>
      <c r="L1197" s="4" t="inlineStr">
        <is>
          <t>111/111</t>
        </is>
      </c>
      <c r="M1197" s="9" t="inlineStr">
        <is>
          <t>Submission 1135009242</t>
        </is>
      </c>
      <c r="N1197" s="4" t="inlineStr">
        <is>
          <t>Yes</t>
        </is>
      </c>
    </row>
    <row r="1198">
      <c r="A1198" s="11" t="n">
        <v>45294.94290509259</v>
      </c>
      <c r="B1198" s="4" t="inlineStr">
        <is>
          <t>2024-01</t>
        </is>
      </c>
      <c r="C1198" s="4" t="n">
        <v>691</v>
      </c>
      <c r="D1198" s="9" t="inlineStr">
        <is>
          <t>Stickers to Spell Word</t>
        </is>
      </c>
      <c r="E1198" s="4" t="inlineStr">
        <is>
          <t>Hard</t>
        </is>
      </c>
      <c r="F1198" s="4" t="inlineStr">
        <is>
          <t>DP: Bitmask</t>
        </is>
      </c>
      <c r="G1198" s="4" t="inlineStr">
        <is>
          <t>Accepted</t>
        </is>
      </c>
      <c r="H1198" s="4" t="inlineStr">
        <is>
          <t>Python3</t>
        </is>
      </c>
      <c r="I1198" s="4" t="inlineStr">
        <is>
          <t>246 ms</t>
        </is>
      </c>
      <c r="J1198" s="4" t="inlineStr">
        <is>
          <t>18.2 MB</t>
        </is>
      </c>
      <c r="K1198" s="4" t="n">
        <v>46.1</v>
      </c>
      <c r="L1198" s="4" t="inlineStr">
        <is>
          <t>101/101</t>
        </is>
      </c>
      <c r="M1198" s="9" t="inlineStr">
        <is>
          <t>Submission 1135829227</t>
        </is>
      </c>
      <c r="N1198" s="4" t="inlineStr">
        <is>
          <t>No</t>
        </is>
      </c>
    </row>
    <row r="1199">
      <c r="A1199" s="11" t="n">
        <v>45295.07184027778</v>
      </c>
      <c r="B1199" s="4" t="inlineStr">
        <is>
          <t>2024-01</t>
        </is>
      </c>
      <c r="C1199" s="4" t="n">
        <v>636</v>
      </c>
      <c r="D1199" s="9" t="inlineStr">
        <is>
          <t>Exclusive Time of Functions</t>
        </is>
      </c>
      <c r="E1199" s="4" t="inlineStr">
        <is>
          <t>Medium</t>
        </is>
      </c>
      <c r="F1199" s="4" t="inlineStr">
        <is>
          <t>Stack</t>
        </is>
      </c>
      <c r="G1199" s="4" t="inlineStr">
        <is>
          <t>Accepted</t>
        </is>
      </c>
      <c r="H1199" s="4" t="inlineStr">
        <is>
          <t>Python3</t>
        </is>
      </c>
      <c r="I1199" s="4" t="inlineStr">
        <is>
          <t>72 ms</t>
        </is>
      </c>
      <c r="J1199" s="4" t="inlineStr">
        <is>
          <t>17.4 MB</t>
        </is>
      </c>
      <c r="K1199" s="4" t="n">
        <v>5</v>
      </c>
      <c r="L1199" s="4" t="inlineStr">
        <is>
          <t>120/120</t>
        </is>
      </c>
      <c r="M1199" s="9" t="inlineStr">
        <is>
          <t>Submission 1135984677</t>
        </is>
      </c>
      <c r="N1199" s="4" t="inlineStr">
        <is>
          <t>Yes</t>
        </is>
      </c>
    </row>
    <row r="1200">
      <c r="A1200" s="11" t="n">
        <v>45295.14822916667</v>
      </c>
      <c r="B1200" s="4" t="inlineStr">
        <is>
          <t>2024-01</t>
        </is>
      </c>
      <c r="C1200" s="4" t="n">
        <v>383</v>
      </c>
      <c r="D1200" s="9" t="inlineStr">
        <is>
          <t>Ransom Note</t>
        </is>
      </c>
      <c r="E1200" s="4" t="inlineStr">
        <is>
          <t>Easy</t>
        </is>
      </c>
      <c r="F1200" s="4" t="inlineStr">
        <is>
          <t>Arrays, Hashing &amp; Sorting</t>
        </is>
      </c>
      <c r="G1200" s="4" t="inlineStr">
        <is>
          <t>Accepted</t>
        </is>
      </c>
      <c r="H1200" s="4" t="inlineStr">
        <is>
          <t>Python3</t>
        </is>
      </c>
      <c r="I1200" s="4" t="inlineStr">
        <is>
          <t>56 ms</t>
        </is>
      </c>
      <c r="J1200" s="4" t="inlineStr">
        <is>
          <t>17.5 MB</t>
        </is>
      </c>
      <c r="K1200" s="4" t="n">
        <v>6.3</v>
      </c>
      <c r="L1200" s="4" t="inlineStr">
        <is>
          <t>128/128</t>
        </is>
      </c>
      <c r="M1200" s="9" t="inlineStr">
        <is>
          <t>Submission 1136046852</t>
        </is>
      </c>
      <c r="N1200" s="4" t="inlineStr">
        <is>
          <t>No</t>
        </is>
      </c>
    </row>
    <row r="1201">
      <c r="A1201" s="11" t="n">
        <v>45296.39122685185</v>
      </c>
      <c r="B1201" s="4" t="inlineStr">
        <is>
          <t>2024-01</t>
        </is>
      </c>
      <c r="C1201" s="4" t="n">
        <v>200</v>
      </c>
      <c r="D1201" s="9" t="inlineStr">
        <is>
          <t>Number of Islands</t>
        </is>
      </c>
      <c r="E1201" s="4" t="inlineStr">
        <is>
          <t>Medium</t>
        </is>
      </c>
      <c r="F1201" s="4" t="inlineStr">
        <is>
          <t>Graph: Grid BFS/DFS</t>
        </is>
      </c>
      <c r="G1201" s="4" t="inlineStr">
        <is>
          <t>Accepted</t>
        </is>
      </c>
      <c r="H1201" s="4" t="inlineStr">
        <is>
          <t>Python3</t>
        </is>
      </c>
      <c r="I1201" s="4" t="inlineStr">
        <is>
          <t>219 ms</t>
        </is>
      </c>
      <c r="J1201" s="4" t="inlineStr">
        <is>
          <t>20.1 MB</t>
        </is>
      </c>
      <c r="K1201" s="4" t="n">
        <v>95.7</v>
      </c>
      <c r="L1201" s="4" t="inlineStr">
        <is>
          <t>49/49</t>
        </is>
      </c>
      <c r="M1201" s="9" t="inlineStr">
        <is>
          <t>Submission 1137248532</t>
        </is>
      </c>
      <c r="N1201" s="4" t="inlineStr">
        <is>
          <t>Yes</t>
        </is>
      </c>
    </row>
    <row r="1202">
      <c r="A1202" s="11" t="n">
        <v>45296.39565972222</v>
      </c>
      <c r="B1202" s="4" t="inlineStr">
        <is>
          <t>2024-01</t>
        </is>
      </c>
      <c r="C1202" s="4" t="n">
        <v>200</v>
      </c>
      <c r="D1202" s="9" t="inlineStr">
        <is>
          <t>Number of Islands</t>
        </is>
      </c>
      <c r="E1202" s="4" t="inlineStr">
        <is>
          <t>Medium</t>
        </is>
      </c>
      <c r="F1202" s="4" t="inlineStr">
        <is>
          <t>Graph: Grid BFS/DFS</t>
        </is>
      </c>
      <c r="G1202" s="4" t="inlineStr">
        <is>
          <t>Output Limit Exceeded</t>
        </is>
      </c>
      <c r="H1202" s="4" t="inlineStr">
        <is>
          <t>Python3</t>
        </is>
      </c>
      <c r="I1202" s="4" t="inlineStr">
        <is>
          <t>N/A</t>
        </is>
      </c>
      <c r="J1202" s="4" t="inlineStr">
        <is>
          <t>N/A</t>
        </is>
      </c>
      <c r="K1202" s="4" t="n"/>
      <c r="L1202" s="4" t="inlineStr">
        <is>
          <t>48/49</t>
        </is>
      </c>
      <c r="M1202" s="9" t="inlineStr">
        <is>
          <t>Submission 1137252497</t>
        </is>
      </c>
      <c r="N1202" s="4" t="inlineStr">
        <is>
          <t>Yes</t>
        </is>
      </c>
    </row>
    <row r="1203">
      <c r="A1203" s="11" t="n">
        <v>45296.39576388889</v>
      </c>
      <c r="B1203" s="4" t="inlineStr">
        <is>
          <t>2024-01</t>
        </is>
      </c>
      <c r="C1203" s="4" t="n">
        <v>200</v>
      </c>
      <c r="D1203" s="9" t="inlineStr">
        <is>
          <t>Number of Islands</t>
        </is>
      </c>
      <c r="E1203" s="4" t="inlineStr">
        <is>
          <t>Medium</t>
        </is>
      </c>
      <c r="F1203" s="4" t="inlineStr">
        <is>
          <t>Graph: Grid BFS/DFS</t>
        </is>
      </c>
      <c r="G1203" s="4" t="inlineStr">
        <is>
          <t>Accepted</t>
        </is>
      </c>
      <c r="H1203" s="4" t="inlineStr">
        <is>
          <t>Python3</t>
        </is>
      </c>
      <c r="I1203" s="4" t="inlineStr">
        <is>
          <t>266 ms</t>
        </is>
      </c>
      <c r="J1203" s="4" t="inlineStr">
        <is>
          <t>28.2 MB</t>
        </is>
      </c>
      <c r="K1203" s="4" t="n">
        <v>22.1</v>
      </c>
      <c r="L1203" s="4" t="inlineStr">
        <is>
          <t>49/49</t>
        </is>
      </c>
      <c r="M1203" s="9" t="inlineStr">
        <is>
          <t>Submission 1137252595</t>
        </is>
      </c>
      <c r="N1203" s="4" t="inlineStr">
        <is>
          <t>Yes</t>
        </is>
      </c>
    </row>
    <row r="1204">
      <c r="A1204" s="11" t="n">
        <v>45296.44706018519</v>
      </c>
      <c r="B1204" s="4" t="inlineStr">
        <is>
          <t>2024-01</t>
        </is>
      </c>
      <c r="C1204" s="4" t="n">
        <v>695</v>
      </c>
      <c r="D1204" s="9" t="inlineStr">
        <is>
          <t>Max Area of Island</t>
        </is>
      </c>
      <c r="E1204" s="4" t="inlineStr">
        <is>
          <t>Medium</t>
        </is>
      </c>
      <c r="F1204" s="4" t="inlineStr">
        <is>
          <t>Graph: Grid BFS/DFS</t>
        </is>
      </c>
      <c r="G1204" s="4" t="inlineStr">
        <is>
          <t>Accepted</t>
        </is>
      </c>
      <c r="H1204" s="4" t="inlineStr">
        <is>
          <t>Python3</t>
        </is>
      </c>
      <c r="I1204" s="4" t="inlineStr">
        <is>
          <t>110 ms</t>
        </is>
      </c>
      <c r="J1204" s="4" t="inlineStr">
        <is>
          <t>19.9 MB</t>
        </is>
      </c>
      <c r="K1204" s="4" t="n">
        <v>5.4</v>
      </c>
      <c r="L1204" s="4" t="inlineStr">
        <is>
          <t>728/728</t>
        </is>
      </c>
      <c r="M1204" s="9" t="inlineStr">
        <is>
          <t>Submission 1137302813</t>
        </is>
      </c>
      <c r="N1204" s="4" t="inlineStr">
        <is>
          <t>Yes</t>
        </is>
      </c>
    </row>
    <row r="1205">
      <c r="A1205" s="11" t="n">
        <v>45296.45094907407</v>
      </c>
      <c r="B1205" s="4" t="inlineStr">
        <is>
          <t>2024-01</t>
        </is>
      </c>
      <c r="C1205" s="4" t="n">
        <v>695</v>
      </c>
      <c r="D1205" s="9" t="inlineStr">
        <is>
          <t>Max Area of Island</t>
        </is>
      </c>
      <c r="E1205" s="4" t="inlineStr">
        <is>
          <t>Medium</t>
        </is>
      </c>
      <c r="F1205" s="4" t="inlineStr">
        <is>
          <t>Graph: Grid BFS/DFS</t>
        </is>
      </c>
      <c r="G1205" s="4" t="inlineStr">
        <is>
          <t>Accepted</t>
        </is>
      </c>
      <c r="H1205" s="4" t="inlineStr">
        <is>
          <t>Python3</t>
        </is>
      </c>
      <c r="I1205" s="4" t="inlineStr">
        <is>
          <t>105 ms</t>
        </is>
      </c>
      <c r="J1205" s="4" t="inlineStr">
        <is>
          <t>17.8 MB</t>
        </is>
      </c>
      <c r="K1205" s="4" t="n">
        <v>5.4</v>
      </c>
      <c r="L1205" s="4" t="inlineStr">
        <is>
          <t>728/728</t>
        </is>
      </c>
      <c r="M1205" s="9" t="inlineStr">
        <is>
          <t>Submission 1137306766</t>
        </is>
      </c>
      <c r="N1205" s="4" t="inlineStr">
        <is>
          <t>Yes</t>
        </is>
      </c>
    </row>
    <row r="1206">
      <c r="A1206" s="11" t="n">
        <v>45296.4571875</v>
      </c>
      <c r="B1206" s="4" t="inlineStr">
        <is>
          <t>2024-01</t>
        </is>
      </c>
      <c r="C1206" s="4" t="n">
        <v>827</v>
      </c>
      <c r="D1206" s="9" t="inlineStr">
        <is>
          <t>Making A Large Island</t>
        </is>
      </c>
      <c r="E1206" s="4" t="inlineStr">
        <is>
          <t>Hard</t>
        </is>
      </c>
      <c r="F1206" s="4" t="inlineStr">
        <is>
          <t>Graph: Grid BFS/DFS</t>
        </is>
      </c>
      <c r="G1206" s="4" t="inlineStr">
        <is>
          <t>Time Limit Exceeded</t>
        </is>
      </c>
      <c r="H1206" s="4" t="inlineStr">
        <is>
          <t>Python3</t>
        </is>
      </c>
      <c r="I1206" s="4" t="inlineStr">
        <is>
          <t>N/A</t>
        </is>
      </c>
      <c r="J1206" s="4" t="inlineStr">
        <is>
          <t>N/A</t>
        </is>
      </c>
      <c r="K1206" s="4" t="n"/>
      <c r="L1206" s="4" t="inlineStr">
        <is>
          <t>70/75</t>
        </is>
      </c>
      <c r="M1206" s="9" t="inlineStr">
        <is>
          <t>Submission 1137313177</t>
        </is>
      </c>
      <c r="N1206" s="4" t="inlineStr">
        <is>
          <t>No</t>
        </is>
      </c>
    </row>
    <row r="1207">
      <c r="A1207" s="11" t="n">
        <v>45296.49954861111</v>
      </c>
      <c r="B1207" s="4" t="inlineStr">
        <is>
          <t>2024-01</t>
        </is>
      </c>
      <c r="C1207" s="4" t="n">
        <v>1216</v>
      </c>
      <c r="D1207" s="9" t="inlineStr">
        <is>
          <t>Valid Palindrome III</t>
        </is>
      </c>
      <c r="E1207" s="4" t="inlineStr">
        <is>
          <t>Hard</t>
        </is>
      </c>
      <c r="F1207" s="4" t="inlineStr">
        <is>
          <t>DP: Strings (LCS, Edit, Matching)</t>
        </is>
      </c>
      <c r="G1207" s="4" t="inlineStr">
        <is>
          <t>Time Limit Exceeded</t>
        </is>
      </c>
      <c r="H1207" s="4" t="inlineStr">
        <is>
          <t>Python3</t>
        </is>
      </c>
      <c r="I1207" s="4" t="inlineStr">
        <is>
          <t>N/A</t>
        </is>
      </c>
      <c r="J1207" s="4" t="inlineStr">
        <is>
          <t>N/A</t>
        </is>
      </c>
      <c r="K1207" s="4" t="n"/>
      <c r="L1207" s="4" t="inlineStr">
        <is>
          <t>44/51</t>
        </is>
      </c>
      <c r="M1207" s="9" t="inlineStr">
        <is>
          <t>Submission 1137358441</t>
        </is>
      </c>
      <c r="N1207" s="4" t="inlineStr">
        <is>
          <t>No</t>
        </is>
      </c>
    </row>
    <row r="1208">
      <c r="A1208" s="11" t="n">
        <v>45296.97950231482</v>
      </c>
      <c r="B1208" s="4" t="inlineStr">
        <is>
          <t>2024-01</t>
        </is>
      </c>
      <c r="C1208" s="4" t="n">
        <v>1868</v>
      </c>
      <c r="D1208" s="9" t="inlineStr">
        <is>
          <t>Product of Two Run-Length Encoded Arrays</t>
        </is>
      </c>
      <c r="E1208" s="4" t="inlineStr">
        <is>
          <t>Medium</t>
        </is>
      </c>
      <c r="F1208" s="4" t="inlineStr">
        <is>
          <t>Two Pointers</t>
        </is>
      </c>
      <c r="G1208" s="4" t="inlineStr">
        <is>
          <t>Accepted</t>
        </is>
      </c>
      <c r="H1208" s="4" t="inlineStr">
        <is>
          <t>Python3</t>
        </is>
      </c>
      <c r="I1208" s="4" t="inlineStr">
        <is>
          <t>2084 ms</t>
        </is>
      </c>
      <c r="J1208" s="4" t="inlineStr">
        <is>
          <t>74.2 MB</t>
        </is>
      </c>
      <c r="K1208" s="4" t="n">
        <v>5.9</v>
      </c>
      <c r="L1208" s="4" t="inlineStr">
        <is>
          <t>52/52</t>
        </is>
      </c>
      <c r="M1208" s="9" t="inlineStr">
        <is>
          <t>Submission 1137834234</t>
        </is>
      </c>
      <c r="N1208" s="4" t="inlineStr">
        <is>
          <t>No</t>
        </is>
      </c>
    </row>
    <row r="1209">
      <c r="A1209" s="11" t="n">
        <v>45297.04538194444</v>
      </c>
      <c r="B1209" s="4" t="inlineStr">
        <is>
          <t>2024-01</t>
        </is>
      </c>
      <c r="C1209" s="4" t="n">
        <v>207</v>
      </c>
      <c r="D1209" s="9" t="inlineStr">
        <is>
          <t>Course Schedule</t>
        </is>
      </c>
      <c r="E1209" s="4" t="inlineStr">
        <is>
          <t>Medium</t>
        </is>
      </c>
      <c r="F1209" s="4" t="inlineStr">
        <is>
          <t>Graph: Topological Sort</t>
        </is>
      </c>
      <c r="G1209" s="4" t="inlineStr">
        <is>
          <t>Runtime Error</t>
        </is>
      </c>
      <c r="H1209" s="4" t="inlineStr">
        <is>
          <t>Python3</t>
        </is>
      </c>
      <c r="I1209" s="4" t="inlineStr">
        <is>
          <t>N/A</t>
        </is>
      </c>
      <c r="J1209" s="4" t="inlineStr">
        <is>
          <t>N/A</t>
        </is>
      </c>
      <c r="K1209" s="4" t="n"/>
      <c r="L1209" s="4" t="inlineStr">
        <is>
          <t>0/52</t>
        </is>
      </c>
      <c r="M1209" s="9" t="inlineStr">
        <is>
          <t>Submission 1137908034</t>
        </is>
      </c>
      <c r="N1209" s="4" t="inlineStr">
        <is>
          <t>Yes</t>
        </is>
      </c>
    </row>
    <row r="1210">
      <c r="A1210" s="11" t="n">
        <v>45297.04579861111</v>
      </c>
      <c r="B1210" s="4" t="inlineStr">
        <is>
          <t>2024-01</t>
        </is>
      </c>
      <c r="C1210" s="4" t="n">
        <v>207</v>
      </c>
      <c r="D1210" s="9" t="inlineStr">
        <is>
          <t>Course Schedule</t>
        </is>
      </c>
      <c r="E1210" s="4" t="inlineStr">
        <is>
          <t>Medium</t>
        </is>
      </c>
      <c r="F1210" s="4" t="inlineStr">
        <is>
          <t>Graph: Topological Sort</t>
        </is>
      </c>
      <c r="G1210" s="4" t="inlineStr">
        <is>
          <t>Accepted</t>
        </is>
      </c>
      <c r="H1210" s="4" t="inlineStr">
        <is>
          <t>Python3</t>
        </is>
      </c>
      <c r="I1210" s="4" t="inlineStr">
        <is>
          <t>92 ms</t>
        </is>
      </c>
      <c r="J1210" s="4" t="inlineStr">
        <is>
          <t>19.3 MB</t>
        </is>
      </c>
      <c r="K1210" s="4" t="n">
        <v>5.1</v>
      </c>
      <c r="L1210" s="4" t="inlineStr">
        <is>
          <t>52/52</t>
        </is>
      </c>
      <c r="M1210" s="9" t="inlineStr">
        <is>
          <t>Submission 1137908453</t>
        </is>
      </c>
      <c r="N1210" s="4" t="inlineStr">
        <is>
          <t>Yes</t>
        </is>
      </c>
    </row>
    <row r="1211">
      <c r="A1211" s="11" t="n">
        <v>45298.05826388889</v>
      </c>
      <c r="B1211" s="4" t="inlineStr">
        <is>
          <t>2024-01</t>
        </is>
      </c>
      <c r="C1211" s="4" t="n">
        <v>1539</v>
      </c>
      <c r="D1211" s="9" t="inlineStr">
        <is>
          <t>Kth Missing Positive Number</t>
        </is>
      </c>
      <c r="E1211" s="4" t="inlineStr">
        <is>
          <t>Easy</t>
        </is>
      </c>
      <c r="F1211" s="4" t="inlineStr">
        <is>
          <t>Binary Search</t>
        </is>
      </c>
      <c r="G1211" s="4" t="inlineStr">
        <is>
          <t>Accepted</t>
        </is>
      </c>
      <c r="H1211" s="4" t="inlineStr">
        <is>
          <t>Python3</t>
        </is>
      </c>
      <c r="I1211" s="4" t="inlineStr">
        <is>
          <t>45 ms</t>
        </is>
      </c>
      <c r="J1211" s="4" t="inlineStr">
        <is>
          <t>17.6 MB</t>
        </is>
      </c>
      <c r="K1211" s="4" t="n">
        <v>17.1</v>
      </c>
      <c r="L1211" s="4" t="inlineStr">
        <is>
          <t>86/86</t>
        </is>
      </c>
      <c r="M1211" s="9" t="inlineStr">
        <is>
          <t>Submission 1138854879</t>
        </is>
      </c>
      <c r="N1211" s="4" t="inlineStr">
        <is>
          <t>No</t>
        </is>
      </c>
    </row>
    <row r="1212">
      <c r="A1212" s="11" t="n">
        <v>45298.10539351852</v>
      </c>
      <c r="B1212" s="4" t="inlineStr">
        <is>
          <t>2024-01</t>
        </is>
      </c>
      <c r="C1212" s="4" t="n">
        <v>1539</v>
      </c>
      <c r="D1212" s="9" t="inlineStr">
        <is>
          <t>Kth Missing Positive Number</t>
        </is>
      </c>
      <c r="E1212" s="4" t="inlineStr">
        <is>
          <t>Easy</t>
        </is>
      </c>
      <c r="F1212" s="4" t="inlineStr">
        <is>
          <t>Binary Search</t>
        </is>
      </c>
      <c r="G1212" s="4" t="inlineStr">
        <is>
          <t>Accepted</t>
        </is>
      </c>
      <c r="H1212" s="4" t="inlineStr">
        <is>
          <t>Python3</t>
        </is>
      </c>
      <c r="I1212" s="4" t="inlineStr">
        <is>
          <t>58 ms</t>
        </is>
      </c>
      <c r="J1212" s="4" t="inlineStr">
        <is>
          <t>17.4 MB</t>
        </is>
      </c>
      <c r="K1212" s="4" t="n">
        <v>16.6</v>
      </c>
      <c r="L1212" s="4" t="inlineStr">
        <is>
          <t>86/86</t>
        </is>
      </c>
      <c r="M1212" s="9" t="inlineStr">
        <is>
          <t>Submission 1138894606</t>
        </is>
      </c>
      <c r="N1212" s="4" t="inlineStr">
        <is>
          <t>No</t>
        </is>
      </c>
    </row>
    <row r="1213">
      <c r="A1213" s="11" t="n">
        <v>45298.12327546296</v>
      </c>
      <c r="B1213" s="4" t="inlineStr">
        <is>
          <t>2024-01</t>
        </is>
      </c>
      <c r="C1213" s="4" t="n">
        <v>1060</v>
      </c>
      <c r="D1213" s="9" t="inlineStr">
        <is>
          <t>Missing Element in Sorted Array</t>
        </is>
      </c>
      <c r="E1213" s="4" t="inlineStr">
        <is>
          <t>Medium</t>
        </is>
      </c>
      <c r="F1213" s="4" t="inlineStr">
        <is>
          <t>Binary Search</t>
        </is>
      </c>
      <c r="G1213" s="4" t="inlineStr">
        <is>
          <t>Accepted</t>
        </is>
      </c>
      <c r="H1213" s="4" t="inlineStr">
        <is>
          <t>Python3</t>
        </is>
      </c>
      <c r="I1213" s="4" t="inlineStr">
        <is>
          <t>226 ms</t>
        </is>
      </c>
      <c r="J1213" s="4" t="inlineStr">
        <is>
          <t>23.4 MB</t>
        </is>
      </c>
      <c r="K1213" s="4" t="n">
        <v>5.8</v>
      </c>
      <c r="L1213" s="4" t="inlineStr">
        <is>
          <t>37/37</t>
        </is>
      </c>
      <c r="M1213" s="9" t="inlineStr">
        <is>
          <t>Submission 1138908166</t>
        </is>
      </c>
      <c r="N1213" s="4" t="inlineStr">
        <is>
          <t>No</t>
        </is>
      </c>
    </row>
    <row r="1214">
      <c r="A1214" s="11" t="n">
        <v>45298.13157407408</v>
      </c>
      <c r="B1214" s="4" t="inlineStr">
        <is>
          <t>2024-01</t>
        </is>
      </c>
      <c r="C1214" s="4" t="n">
        <v>34</v>
      </c>
      <c r="D1214" s="9" t="inlineStr">
        <is>
          <t>Find First and Last Position of Element in Sorted Array</t>
        </is>
      </c>
      <c r="E1214" s="4" t="inlineStr">
        <is>
          <t>Medium</t>
        </is>
      </c>
      <c r="F1214" s="4" t="inlineStr">
        <is>
          <t>Binary Search</t>
        </is>
      </c>
      <c r="G1214" s="4" t="inlineStr">
        <is>
          <t>Accepted</t>
        </is>
      </c>
      <c r="H1214" s="4" t="inlineStr">
        <is>
          <t>Python3</t>
        </is>
      </c>
      <c r="I1214" s="4" t="inlineStr">
        <is>
          <t>74 ms</t>
        </is>
      </c>
      <c r="J1214" s="4" t="inlineStr">
        <is>
          <t>18.8 MB</t>
        </is>
      </c>
      <c r="K1214" s="4" t="n">
        <v>0</v>
      </c>
      <c r="L1214" s="4" t="inlineStr">
        <is>
          <t>88/88</t>
        </is>
      </c>
      <c r="M1214" s="9" t="inlineStr">
        <is>
          <t>Submission 1138914018</t>
        </is>
      </c>
      <c r="N1214" s="4" t="inlineStr">
        <is>
          <t>Yes</t>
        </is>
      </c>
    </row>
    <row r="1215">
      <c r="A1215" s="11" t="n">
        <v>45298.18949074074</v>
      </c>
      <c r="B1215" s="4" t="inlineStr">
        <is>
          <t>2024-01</t>
        </is>
      </c>
      <c r="C1215" s="4" t="n">
        <v>74</v>
      </c>
      <c r="D1215" s="9" t="inlineStr">
        <is>
          <t>Search a 2D Matrix</t>
        </is>
      </c>
      <c r="E1215" s="4" t="inlineStr">
        <is>
          <t>Medium</t>
        </is>
      </c>
      <c r="F1215" s="4" t="inlineStr">
        <is>
          <t>Binary Search</t>
        </is>
      </c>
      <c r="G1215" s="4" t="inlineStr">
        <is>
          <t>Accepted</t>
        </is>
      </c>
      <c r="H1215" s="4" t="inlineStr">
        <is>
          <t>Python3</t>
        </is>
      </c>
      <c r="I1215" s="4" t="inlineStr">
        <is>
          <t>39 ms</t>
        </is>
      </c>
      <c r="J1215" s="4" t="inlineStr">
        <is>
          <t>17.8 MB</t>
        </is>
      </c>
      <c r="K1215" s="4" t="n">
        <v>0</v>
      </c>
      <c r="L1215" s="4" t="inlineStr">
        <is>
          <t>133/133</t>
        </is>
      </c>
      <c r="M1215" s="9" t="inlineStr">
        <is>
          <t>Submission 1138953190</t>
        </is>
      </c>
      <c r="N1215" s="4" t="inlineStr">
        <is>
          <t>No</t>
        </is>
      </c>
    </row>
    <row r="1216">
      <c r="A1216" s="11" t="n">
        <v>45298.195</v>
      </c>
      <c r="B1216" s="4" t="inlineStr">
        <is>
          <t>2024-01</t>
        </is>
      </c>
      <c r="C1216" s="4" t="n">
        <v>1095</v>
      </c>
      <c r="D1216" s="9" t="inlineStr">
        <is>
          <t>Find in Mountain Array</t>
        </is>
      </c>
      <c r="E1216" s="4" t="inlineStr">
        <is>
          <t>Hard</t>
        </is>
      </c>
      <c r="F1216" s="4" t="inlineStr">
        <is>
          <t>Binary Search</t>
        </is>
      </c>
      <c r="G1216" s="4" t="inlineStr">
        <is>
          <t>Accepted</t>
        </is>
      </c>
      <c r="H1216" s="4" t="inlineStr">
        <is>
          <t>Python3</t>
        </is>
      </c>
      <c r="I1216" s="4" t="inlineStr">
        <is>
          <t>36 ms</t>
        </is>
      </c>
      <c r="J1216" s="4" t="inlineStr">
        <is>
          <t>18.1 MB</t>
        </is>
      </c>
      <c r="K1216" s="4" t="n">
        <v>94.8</v>
      </c>
      <c r="L1216" s="4" t="inlineStr">
        <is>
          <t>79/79</t>
        </is>
      </c>
      <c r="M1216" s="9" t="inlineStr">
        <is>
          <t>Submission 1138956729</t>
        </is>
      </c>
      <c r="N1216" s="4" t="inlineStr">
        <is>
          <t>Yes</t>
        </is>
      </c>
    </row>
    <row r="1217">
      <c r="A1217" s="11" t="n">
        <v>45298.20188657408</v>
      </c>
      <c r="B1217" s="4" t="inlineStr">
        <is>
          <t>2024-01</t>
        </is>
      </c>
      <c r="C1217" s="4" t="n">
        <v>33</v>
      </c>
      <c r="D1217" s="9" t="inlineStr">
        <is>
          <t>Search in Rotated Sorted Array</t>
        </is>
      </c>
      <c r="E1217" s="4" t="inlineStr">
        <is>
          <t>Medium</t>
        </is>
      </c>
      <c r="F1217" s="4" t="inlineStr">
        <is>
          <t>Binary Search</t>
        </is>
      </c>
      <c r="G1217" s="4" t="inlineStr">
        <is>
          <t>Accepted</t>
        </is>
      </c>
      <c r="H1217" s="4" t="inlineStr">
        <is>
          <t>Python3</t>
        </is>
      </c>
      <c r="I1217" s="4" t="inlineStr">
        <is>
          <t>41 ms</t>
        </is>
      </c>
      <c r="J1217" s="4" t="inlineStr">
        <is>
          <t>17.6 MB</t>
        </is>
      </c>
      <c r="K1217" s="4" t="n">
        <v>0.1</v>
      </c>
      <c r="L1217" s="4" t="inlineStr">
        <is>
          <t>195/195</t>
        </is>
      </c>
      <c r="M1217" s="9" t="inlineStr">
        <is>
          <t>Submission 1138961252</t>
        </is>
      </c>
      <c r="N1217" s="4" t="inlineStr">
        <is>
          <t>Yes</t>
        </is>
      </c>
    </row>
    <row r="1218">
      <c r="A1218" s="11" t="n">
        <v>45303.37224537037</v>
      </c>
      <c r="B1218" s="4" t="inlineStr">
        <is>
          <t>2024-01</t>
        </is>
      </c>
      <c r="C1218" s="4" t="n">
        <v>124</v>
      </c>
      <c r="D1218" s="9" t="inlineStr">
        <is>
          <t>Binary Tree Maximum Path Sum</t>
        </is>
      </c>
      <c r="E1218" s="4" t="inlineStr">
        <is>
          <t>Hard</t>
        </is>
      </c>
      <c r="F1218" s="4" t="inlineStr">
        <is>
          <t>DP: On Trees</t>
        </is>
      </c>
      <c r="G1218" s="4" t="inlineStr">
        <is>
          <t>Wrong Answer</t>
        </is>
      </c>
      <c r="H1218" s="4" t="inlineStr">
        <is>
          <t>Python3</t>
        </is>
      </c>
      <c r="I1218" s="4" t="inlineStr">
        <is>
          <t>N/A</t>
        </is>
      </c>
      <c r="J1218" s="4" t="inlineStr">
        <is>
          <t>N/A</t>
        </is>
      </c>
      <c r="K1218" s="4" t="n"/>
      <c r="L1218" s="4" t="inlineStr">
        <is>
          <t>65/96</t>
        </is>
      </c>
      <c r="M1218" s="9" t="inlineStr">
        <is>
          <t>Submission 1143852014</t>
        </is>
      </c>
      <c r="N1218" s="4" t="inlineStr">
        <is>
          <t>Yes</t>
        </is>
      </c>
    </row>
    <row r="1219">
      <c r="A1219" s="11" t="n">
        <v>45303.37252314815</v>
      </c>
      <c r="B1219" s="4" t="inlineStr">
        <is>
          <t>2024-01</t>
        </is>
      </c>
      <c r="C1219" s="4" t="n">
        <v>124</v>
      </c>
      <c r="D1219" s="9" t="inlineStr">
        <is>
          <t>Binary Tree Maximum Path Sum</t>
        </is>
      </c>
      <c r="E1219" s="4" t="inlineStr">
        <is>
          <t>Hard</t>
        </is>
      </c>
      <c r="F1219" s="4" t="inlineStr">
        <is>
          <t>DP: On Trees</t>
        </is>
      </c>
      <c r="G1219" s="4" t="inlineStr">
        <is>
          <t>Wrong Answer</t>
        </is>
      </c>
      <c r="H1219" s="4" t="inlineStr">
        <is>
          <t>Python3</t>
        </is>
      </c>
      <c r="I1219" s="4" t="inlineStr">
        <is>
          <t>N/A</t>
        </is>
      </c>
      <c r="J1219" s="4" t="inlineStr">
        <is>
          <t>N/A</t>
        </is>
      </c>
      <c r="K1219" s="4" t="n"/>
      <c r="L1219" s="4" t="inlineStr">
        <is>
          <t>69/96</t>
        </is>
      </c>
      <c r="M1219" s="9" t="inlineStr">
        <is>
          <t>Submission 1143852237</t>
        </is>
      </c>
      <c r="N1219" s="4" t="inlineStr">
        <is>
          <t>Yes</t>
        </is>
      </c>
    </row>
    <row r="1220">
      <c r="A1220" s="11" t="n">
        <v>45303.37369212963</v>
      </c>
      <c r="B1220" s="4" t="inlineStr">
        <is>
          <t>2024-01</t>
        </is>
      </c>
      <c r="C1220" s="4" t="n">
        <v>124</v>
      </c>
      <c r="D1220" s="9" t="inlineStr">
        <is>
          <t>Binary Tree Maximum Path Sum</t>
        </is>
      </c>
      <c r="E1220" s="4" t="inlineStr">
        <is>
          <t>Hard</t>
        </is>
      </c>
      <c r="F1220" s="4" t="inlineStr">
        <is>
          <t>DP: On Trees</t>
        </is>
      </c>
      <c r="G1220" s="4" t="inlineStr">
        <is>
          <t>Wrong Answer</t>
        </is>
      </c>
      <c r="H1220" s="4" t="inlineStr">
        <is>
          <t>Python3</t>
        </is>
      </c>
      <c r="I1220" s="4" t="inlineStr">
        <is>
          <t>N/A</t>
        </is>
      </c>
      <c r="J1220" s="4" t="inlineStr">
        <is>
          <t>N/A</t>
        </is>
      </c>
      <c r="K1220" s="4" t="n"/>
      <c r="L1220" s="4" t="inlineStr">
        <is>
          <t>71/96</t>
        </is>
      </c>
      <c r="M1220" s="9" t="inlineStr">
        <is>
          <t>Submission 1143853210</t>
        </is>
      </c>
      <c r="N1220" s="4" t="inlineStr">
        <is>
          <t>Yes</t>
        </is>
      </c>
    </row>
    <row r="1221">
      <c r="A1221" s="11" t="n">
        <v>45303.37434027778</v>
      </c>
      <c r="B1221" s="4" t="inlineStr">
        <is>
          <t>2024-01</t>
        </is>
      </c>
      <c r="C1221" s="4" t="n">
        <v>124</v>
      </c>
      <c r="D1221" s="9" t="inlineStr">
        <is>
          <t>Binary Tree Maximum Path Sum</t>
        </is>
      </c>
      <c r="E1221" s="4" t="inlineStr">
        <is>
          <t>Hard</t>
        </is>
      </c>
      <c r="F1221" s="4" t="inlineStr">
        <is>
          <t>DP: On Trees</t>
        </is>
      </c>
      <c r="G1221" s="4" t="inlineStr">
        <is>
          <t>Runtime Error</t>
        </is>
      </c>
      <c r="H1221" s="4" t="inlineStr">
        <is>
          <t>Python3</t>
        </is>
      </c>
      <c r="I1221" s="4" t="inlineStr">
        <is>
          <t>N/A</t>
        </is>
      </c>
      <c r="J1221" s="4" t="inlineStr">
        <is>
          <t>N/A</t>
        </is>
      </c>
      <c r="K1221" s="4" t="n"/>
      <c r="L1221" s="4" t="inlineStr">
        <is>
          <t>0/96</t>
        </is>
      </c>
      <c r="M1221" s="9" t="inlineStr">
        <is>
          <t>Submission 1143853742</t>
        </is>
      </c>
      <c r="N1221" s="4" t="inlineStr">
        <is>
          <t>Yes</t>
        </is>
      </c>
    </row>
    <row r="1222">
      <c r="A1222" s="11" t="n">
        <v>45303.37443287037</v>
      </c>
      <c r="B1222" s="4" t="inlineStr">
        <is>
          <t>2024-01</t>
        </is>
      </c>
      <c r="C1222" s="4" t="n">
        <v>124</v>
      </c>
      <c r="D1222" s="9" t="inlineStr">
        <is>
          <t>Binary Tree Maximum Path Sum</t>
        </is>
      </c>
      <c r="E1222" s="4" t="inlineStr">
        <is>
          <t>Hard</t>
        </is>
      </c>
      <c r="F1222" s="4" t="inlineStr">
        <is>
          <t>DP: On Trees</t>
        </is>
      </c>
      <c r="G1222" s="4" t="inlineStr">
        <is>
          <t>Wrong Answer</t>
        </is>
      </c>
      <c r="H1222" s="4" t="inlineStr">
        <is>
          <t>Python3</t>
        </is>
      </c>
      <c r="I1222" s="4" t="inlineStr">
        <is>
          <t>N/A</t>
        </is>
      </c>
      <c r="J1222" s="4" t="inlineStr">
        <is>
          <t>N/A</t>
        </is>
      </c>
      <c r="K1222" s="4" t="n"/>
      <c r="L1222" s="4" t="inlineStr">
        <is>
          <t>83/96</t>
        </is>
      </c>
      <c r="M1222" s="9" t="inlineStr">
        <is>
          <t>Submission 1143853815</t>
        </is>
      </c>
      <c r="N1222" s="4" t="inlineStr">
        <is>
          <t>Yes</t>
        </is>
      </c>
    </row>
    <row r="1223">
      <c r="A1223" s="11" t="n">
        <v>45303.37534722222</v>
      </c>
      <c r="B1223" s="4" t="inlineStr">
        <is>
          <t>2024-01</t>
        </is>
      </c>
      <c r="C1223" s="4" t="n">
        <v>124</v>
      </c>
      <c r="D1223" s="9" t="inlineStr">
        <is>
          <t>Binary Tree Maximum Path Sum</t>
        </is>
      </c>
      <c r="E1223" s="4" t="inlineStr">
        <is>
          <t>Hard</t>
        </is>
      </c>
      <c r="F1223" s="4" t="inlineStr">
        <is>
          <t>DP: On Trees</t>
        </is>
      </c>
      <c r="G1223" s="4" t="inlineStr">
        <is>
          <t>Wrong Answer</t>
        </is>
      </c>
      <c r="H1223" s="4" t="inlineStr">
        <is>
          <t>Python3</t>
        </is>
      </c>
      <c r="I1223" s="4" t="inlineStr">
        <is>
          <t>N/A</t>
        </is>
      </c>
      <c r="J1223" s="4" t="inlineStr">
        <is>
          <t>N/A</t>
        </is>
      </c>
      <c r="K1223" s="4" t="n"/>
      <c r="L1223" s="4" t="inlineStr">
        <is>
          <t>94/96</t>
        </is>
      </c>
      <c r="M1223" s="9" t="inlineStr">
        <is>
          <t>Submission 1143854609</t>
        </is>
      </c>
      <c r="N1223" s="4" t="inlineStr">
        <is>
          <t>Yes</t>
        </is>
      </c>
    </row>
    <row r="1224">
      <c r="A1224" s="11" t="n">
        <v>45303.37898148148</v>
      </c>
      <c r="B1224" s="4" t="inlineStr">
        <is>
          <t>2024-01</t>
        </is>
      </c>
      <c r="C1224" s="4" t="n">
        <v>124</v>
      </c>
      <c r="D1224" s="9" t="inlineStr">
        <is>
          <t>Binary Tree Maximum Path Sum</t>
        </is>
      </c>
      <c r="E1224" s="4" t="inlineStr">
        <is>
          <t>Hard</t>
        </is>
      </c>
      <c r="F1224" s="4" t="inlineStr">
        <is>
          <t>DP: On Trees</t>
        </is>
      </c>
      <c r="G1224" s="4" t="inlineStr">
        <is>
          <t>Accepted</t>
        </is>
      </c>
      <c r="H1224" s="4" t="inlineStr">
        <is>
          <t>Python3</t>
        </is>
      </c>
      <c r="I1224" s="4" t="inlineStr">
        <is>
          <t>66 ms</t>
        </is>
      </c>
      <c r="J1224" s="4" t="inlineStr">
        <is>
          <t>21.9 MB</t>
        </is>
      </c>
      <c r="K1224" s="4" t="n">
        <v>5.4</v>
      </c>
      <c r="L1224" s="4" t="inlineStr">
        <is>
          <t>96/96</t>
        </is>
      </c>
      <c r="M1224" s="9" t="inlineStr">
        <is>
          <t>Submission 1143857588</t>
        </is>
      </c>
      <c r="N1224" s="4" t="inlineStr">
        <is>
          <t>Yes</t>
        </is>
      </c>
    </row>
    <row r="1225">
      <c r="A1225" s="11" t="n">
        <v>45303.86851851852</v>
      </c>
      <c r="B1225" s="4" t="inlineStr">
        <is>
          <t>2024-01</t>
        </is>
      </c>
      <c r="C1225" s="4" t="n">
        <v>273</v>
      </c>
      <c r="D1225" s="9" t="inlineStr">
        <is>
          <t>Integer to English Words</t>
        </is>
      </c>
      <c r="E1225" s="4" t="inlineStr">
        <is>
          <t>Hard</t>
        </is>
      </c>
      <c r="F1225" s="4" t="inlineStr">
        <is>
          <t>Strings &amp; Simulation</t>
        </is>
      </c>
      <c r="G1225" s="4" t="inlineStr">
        <is>
          <t>Wrong Answer</t>
        </is>
      </c>
      <c r="H1225" s="4" t="inlineStr">
        <is>
          <t>Python3</t>
        </is>
      </c>
      <c r="I1225" s="4" t="inlineStr">
        <is>
          <t>N/A</t>
        </is>
      </c>
      <c r="J1225" s="4" t="inlineStr">
        <is>
          <t>N/A</t>
        </is>
      </c>
      <c r="K1225" s="4" t="n"/>
      <c r="L1225" s="4" t="inlineStr">
        <is>
          <t>545/601</t>
        </is>
      </c>
      <c r="M1225" s="9" t="inlineStr">
        <is>
          <t>Submission 1144310777</t>
        </is>
      </c>
      <c r="N1225" s="4" t="inlineStr">
        <is>
          <t>No</t>
        </is>
      </c>
    </row>
    <row r="1226">
      <c r="A1226" s="11" t="n">
        <v>45303.86886574074</v>
      </c>
      <c r="B1226" s="4" t="inlineStr">
        <is>
          <t>2024-01</t>
        </is>
      </c>
      <c r="C1226" s="4" t="n">
        <v>273</v>
      </c>
      <c r="D1226" s="9" t="inlineStr">
        <is>
          <t>Integer to English Words</t>
        </is>
      </c>
      <c r="E1226" s="4" t="inlineStr">
        <is>
          <t>Hard</t>
        </is>
      </c>
      <c r="F1226" s="4" t="inlineStr">
        <is>
          <t>Strings &amp; Simulation</t>
        </is>
      </c>
      <c r="G1226" s="4" t="inlineStr">
        <is>
          <t>Wrong Answer</t>
        </is>
      </c>
      <c r="H1226" s="4" t="inlineStr">
        <is>
          <t>Python3</t>
        </is>
      </c>
      <c r="I1226" s="4" t="inlineStr">
        <is>
          <t>N/A</t>
        </is>
      </c>
      <c r="J1226" s="4" t="inlineStr">
        <is>
          <t>N/A</t>
        </is>
      </c>
      <c r="K1226" s="4" t="n"/>
      <c r="L1226" s="4" t="inlineStr">
        <is>
          <t>545/601</t>
        </is>
      </c>
      <c r="M1226" s="9" t="inlineStr">
        <is>
          <t>Submission 1144311146</t>
        </is>
      </c>
      <c r="N1226" s="4" t="inlineStr">
        <is>
          <t>No</t>
        </is>
      </c>
    </row>
    <row r="1227">
      <c r="A1227" s="11" t="n">
        <v>45303.86996527778</v>
      </c>
      <c r="B1227" s="4" t="inlineStr">
        <is>
          <t>2024-01</t>
        </is>
      </c>
      <c r="C1227" s="4" t="n">
        <v>273</v>
      </c>
      <c r="D1227" s="9" t="inlineStr">
        <is>
          <t>Integer to English Words</t>
        </is>
      </c>
      <c r="E1227" s="4" t="inlineStr">
        <is>
          <t>Hard</t>
        </is>
      </c>
      <c r="F1227" s="4" t="inlineStr">
        <is>
          <t>Strings &amp; Simulation</t>
        </is>
      </c>
      <c r="G1227" s="4" t="inlineStr">
        <is>
          <t>Wrong Answer</t>
        </is>
      </c>
      <c r="H1227" s="4" t="inlineStr">
        <is>
          <t>Python3</t>
        </is>
      </c>
      <c r="I1227" s="4" t="inlineStr">
        <is>
          <t>N/A</t>
        </is>
      </c>
      <c r="J1227" s="4" t="inlineStr">
        <is>
          <t>N/A</t>
        </is>
      </c>
      <c r="K1227" s="4" t="n"/>
      <c r="L1227" s="4" t="inlineStr">
        <is>
          <t>545/601</t>
        </is>
      </c>
      <c r="M1227" s="9" t="inlineStr">
        <is>
          <t>Submission 1144312194</t>
        </is>
      </c>
      <c r="N1227" s="4" t="inlineStr">
        <is>
          <t>No</t>
        </is>
      </c>
    </row>
    <row r="1228">
      <c r="A1228" s="11" t="n">
        <v>45303.87063657407</v>
      </c>
      <c r="B1228" s="4" t="inlineStr">
        <is>
          <t>2024-01</t>
        </is>
      </c>
      <c r="C1228" s="4" t="n">
        <v>273</v>
      </c>
      <c r="D1228" s="9" t="inlineStr">
        <is>
          <t>Integer to English Words</t>
        </is>
      </c>
      <c r="E1228" s="4" t="inlineStr">
        <is>
          <t>Hard</t>
        </is>
      </c>
      <c r="F1228" s="4" t="inlineStr">
        <is>
          <t>Strings &amp; Simulation</t>
        </is>
      </c>
      <c r="G1228" s="4" t="inlineStr">
        <is>
          <t>Runtime Error</t>
        </is>
      </c>
      <c r="H1228" s="4" t="inlineStr">
        <is>
          <t>Python3</t>
        </is>
      </c>
      <c r="I1228" s="4" t="inlineStr">
        <is>
          <t>N/A</t>
        </is>
      </c>
      <c r="J1228" s="4" t="inlineStr">
        <is>
          <t>N/A</t>
        </is>
      </c>
      <c r="K1228" s="4" t="n"/>
      <c r="L1228" s="4" t="inlineStr">
        <is>
          <t>24/601</t>
        </is>
      </c>
      <c r="M1228" s="9" t="inlineStr">
        <is>
          <t>Submission 1144312872</t>
        </is>
      </c>
      <c r="N1228" s="4" t="inlineStr">
        <is>
          <t>No</t>
        </is>
      </c>
    </row>
    <row r="1229">
      <c r="A1229" s="11" t="n">
        <v>45303.87079861111</v>
      </c>
      <c r="B1229" s="4" t="inlineStr">
        <is>
          <t>2024-01</t>
        </is>
      </c>
      <c r="C1229" s="4" t="n">
        <v>273</v>
      </c>
      <c r="D1229" s="9" t="inlineStr">
        <is>
          <t>Integer to English Words</t>
        </is>
      </c>
      <c r="E1229" s="4" t="inlineStr">
        <is>
          <t>Hard</t>
        </is>
      </c>
      <c r="F1229" s="4" t="inlineStr">
        <is>
          <t>Strings &amp; Simulation</t>
        </is>
      </c>
      <c r="G1229" s="4" t="inlineStr">
        <is>
          <t>Wrong Answer</t>
        </is>
      </c>
      <c r="H1229" s="4" t="inlineStr">
        <is>
          <t>Python3</t>
        </is>
      </c>
      <c r="I1229" s="4" t="inlineStr">
        <is>
          <t>N/A</t>
        </is>
      </c>
      <c r="J1229" s="4" t="inlineStr">
        <is>
          <t>N/A</t>
        </is>
      </c>
      <c r="K1229" s="4" t="n"/>
      <c r="L1229" s="4" t="inlineStr">
        <is>
          <t>545/601</t>
        </is>
      </c>
      <c r="M1229" s="9" t="inlineStr">
        <is>
          <t>Submission 1144313027</t>
        </is>
      </c>
      <c r="N1229" s="4" t="inlineStr">
        <is>
          <t>No</t>
        </is>
      </c>
    </row>
    <row r="1230">
      <c r="A1230" s="11" t="n">
        <v>45303.87092592593</v>
      </c>
      <c r="B1230" s="4" t="inlineStr">
        <is>
          <t>2024-01</t>
        </is>
      </c>
      <c r="C1230" s="4" t="n">
        <v>273</v>
      </c>
      <c r="D1230" s="9" t="inlineStr">
        <is>
          <t>Integer to English Words</t>
        </is>
      </c>
      <c r="E1230" s="4" t="inlineStr">
        <is>
          <t>Hard</t>
        </is>
      </c>
      <c r="F1230" s="4" t="inlineStr">
        <is>
          <t>Strings &amp; Simulation</t>
        </is>
      </c>
      <c r="G1230" s="4" t="inlineStr">
        <is>
          <t>Wrong Answer</t>
        </is>
      </c>
      <c r="H1230" s="4" t="inlineStr">
        <is>
          <t>Python3</t>
        </is>
      </c>
      <c r="I1230" s="4" t="inlineStr">
        <is>
          <t>N/A</t>
        </is>
      </c>
      <c r="J1230" s="4" t="inlineStr">
        <is>
          <t>N/A</t>
        </is>
      </c>
      <c r="K1230" s="4" t="n"/>
      <c r="L1230" s="4" t="inlineStr">
        <is>
          <t>545/601</t>
        </is>
      </c>
      <c r="M1230" s="9" t="inlineStr">
        <is>
          <t>Submission 1144313140</t>
        </is>
      </c>
      <c r="N1230" s="4" t="inlineStr">
        <is>
          <t>No</t>
        </is>
      </c>
    </row>
    <row r="1231">
      <c r="A1231" s="11" t="n">
        <v>45303.87119212963</v>
      </c>
      <c r="B1231" s="4" t="inlineStr">
        <is>
          <t>2024-01</t>
        </is>
      </c>
      <c r="C1231" s="4" t="n">
        <v>273</v>
      </c>
      <c r="D1231" s="9" t="inlineStr">
        <is>
          <t>Integer to English Words</t>
        </is>
      </c>
      <c r="E1231" s="4" t="inlineStr">
        <is>
          <t>Hard</t>
        </is>
      </c>
      <c r="F1231" s="4" t="inlineStr">
        <is>
          <t>Strings &amp; Simulation</t>
        </is>
      </c>
      <c r="G1231" s="4" t="inlineStr">
        <is>
          <t>Accepted</t>
        </is>
      </c>
      <c r="H1231" s="4" t="inlineStr">
        <is>
          <t>Python3</t>
        </is>
      </c>
      <c r="I1231" s="4" t="inlineStr">
        <is>
          <t>34 ms</t>
        </is>
      </c>
      <c r="J1231" s="4" t="inlineStr">
        <is>
          <t>17.4 MB</t>
        </is>
      </c>
      <c r="K1231" s="4" t="n">
        <v>1.5</v>
      </c>
      <c r="L1231" s="4" t="inlineStr">
        <is>
          <t>601/601</t>
        </is>
      </c>
      <c r="M1231" s="9" t="inlineStr">
        <is>
          <t>Submission 1144313417</t>
        </is>
      </c>
      <c r="N1231" s="4" t="inlineStr">
        <is>
          <t>No</t>
        </is>
      </c>
    </row>
    <row r="1232">
      <c r="A1232" s="11" t="n">
        <v>45303.9108449074</v>
      </c>
      <c r="B1232" s="4" t="inlineStr">
        <is>
          <t>2024-01</t>
        </is>
      </c>
      <c r="C1232" s="4" t="n">
        <v>408</v>
      </c>
      <c r="D1232" s="9" t="inlineStr">
        <is>
          <t>Valid Word Abbreviation</t>
        </is>
      </c>
      <c r="E1232" s="4" t="inlineStr">
        <is>
          <t>Easy</t>
        </is>
      </c>
      <c r="F1232" s="4" t="inlineStr">
        <is>
          <t>Two Pointers</t>
        </is>
      </c>
      <c r="G1232" s="4" t="inlineStr">
        <is>
          <t>Accepted</t>
        </is>
      </c>
      <c r="H1232" s="4" t="inlineStr">
        <is>
          <t>Python3</t>
        </is>
      </c>
      <c r="I1232" s="4" t="inlineStr">
        <is>
          <t>40 ms</t>
        </is>
      </c>
      <c r="J1232" s="4" t="inlineStr">
        <is>
          <t>17.4 MB</t>
        </is>
      </c>
      <c r="K1232" s="4" t="n">
        <v>0.4</v>
      </c>
      <c r="L1232" s="4" t="inlineStr">
        <is>
          <t>323/323</t>
        </is>
      </c>
      <c r="M1232" s="9" t="inlineStr">
        <is>
          <t>Submission 1144355158</t>
        </is>
      </c>
      <c r="N1232" s="4" t="inlineStr">
        <is>
          <t>No</t>
        </is>
      </c>
    </row>
    <row r="1233">
      <c r="A1233" s="11" t="n">
        <v>45303.92761574074</v>
      </c>
      <c r="B1233" s="4" t="inlineStr">
        <is>
          <t>2024-01</t>
        </is>
      </c>
      <c r="C1233" s="4" t="n">
        <v>1650</v>
      </c>
      <c r="D1233" s="9" t="inlineStr">
        <is>
          <t>Lowest Common Ancestor of a Binary Tree III</t>
        </is>
      </c>
      <c r="E1233" s="4" t="inlineStr">
        <is>
          <t>Medium</t>
        </is>
      </c>
      <c r="F1233" s="4" t="inlineStr">
        <is>
          <t>Binary Tree (DFS &amp; Recursion)</t>
        </is>
      </c>
      <c r="G1233" s="4" t="inlineStr">
        <is>
          <t>Accepted</t>
        </is>
      </c>
      <c r="H1233" s="4" t="inlineStr">
        <is>
          <t>Python3</t>
        </is>
      </c>
      <c r="I1233" s="4" t="inlineStr">
        <is>
          <t>52 ms</t>
        </is>
      </c>
      <c r="J1233" s="4" t="inlineStr">
        <is>
          <t>20.8 MB</t>
        </is>
      </c>
      <c r="K1233" s="4" t="n">
        <v>93.3</v>
      </c>
      <c r="L1233" s="4" t="inlineStr">
        <is>
          <t>31/31</t>
        </is>
      </c>
      <c r="M1233" s="9" t="inlineStr">
        <is>
          <t>Submission 1144374104</t>
        </is>
      </c>
      <c r="N1233" s="4" t="inlineStr">
        <is>
          <t>No</t>
        </is>
      </c>
    </row>
    <row r="1234">
      <c r="A1234" s="11" t="n">
        <v>45304.15534722222</v>
      </c>
      <c r="B1234" s="4" t="inlineStr">
        <is>
          <t>2024-01</t>
        </is>
      </c>
      <c r="C1234" s="4" t="n">
        <v>426</v>
      </c>
      <c r="D1234" s="9" t="inlineStr">
        <is>
          <t>Convert Binary Search Tree to Sorted Doubly Linked List</t>
        </is>
      </c>
      <c r="E1234" s="4" t="inlineStr">
        <is>
          <t>Medium</t>
        </is>
      </c>
      <c r="F1234" s="4" t="inlineStr">
        <is>
          <t>Binary Search Tree</t>
        </is>
      </c>
      <c r="G1234" s="4" t="inlineStr">
        <is>
          <t>Runtime Error</t>
        </is>
      </c>
      <c r="H1234" s="4" t="inlineStr">
        <is>
          <t>Python3</t>
        </is>
      </c>
      <c r="I1234" s="4" t="inlineStr">
        <is>
          <t>N/A</t>
        </is>
      </c>
      <c r="J1234" s="4" t="inlineStr">
        <is>
          <t>N/A</t>
        </is>
      </c>
      <c r="K1234" s="4" t="n"/>
      <c r="L1234" s="4" t="inlineStr">
        <is>
          <t>2/50</t>
        </is>
      </c>
      <c r="M1234" s="9" t="inlineStr">
        <is>
          <t>Submission 1144582273</t>
        </is>
      </c>
      <c r="N1234" s="4" t="inlineStr">
        <is>
          <t>No</t>
        </is>
      </c>
    </row>
    <row r="1235">
      <c r="A1235" s="11" t="n">
        <v>45304.15557870371</v>
      </c>
      <c r="B1235" s="4" t="inlineStr">
        <is>
          <t>2024-01</t>
        </is>
      </c>
      <c r="C1235" s="4" t="n">
        <v>426</v>
      </c>
      <c r="D1235" s="9" t="inlineStr">
        <is>
          <t>Convert Binary Search Tree to Sorted Doubly Linked List</t>
        </is>
      </c>
      <c r="E1235" s="4" t="inlineStr">
        <is>
          <t>Medium</t>
        </is>
      </c>
      <c r="F1235" s="4" t="inlineStr">
        <is>
          <t>Binary Search Tree</t>
        </is>
      </c>
      <c r="G1235" s="4" t="inlineStr">
        <is>
          <t>Accepted</t>
        </is>
      </c>
      <c r="H1235" s="4" t="inlineStr">
        <is>
          <t>Python3</t>
        </is>
      </c>
      <c r="I1235" s="4" t="inlineStr">
        <is>
          <t>32 ms</t>
        </is>
      </c>
      <c r="J1235" s="4" t="inlineStr">
        <is>
          <t>18 MB</t>
        </is>
      </c>
      <c r="K1235" s="4" t="n">
        <v>99</v>
      </c>
      <c r="L1235" s="4" t="inlineStr">
        <is>
          <t>50/50</t>
        </is>
      </c>
      <c r="M1235" s="9" t="inlineStr">
        <is>
          <t>Submission 1144582411</t>
        </is>
      </c>
      <c r="N1235" s="4" t="inlineStr">
        <is>
          <t>No</t>
        </is>
      </c>
    </row>
    <row r="1236">
      <c r="A1236" s="11" t="n">
        <v>45304.97091435185</v>
      </c>
      <c r="B1236" s="4" t="inlineStr">
        <is>
          <t>2024-01</t>
        </is>
      </c>
      <c r="C1236" s="4" t="n">
        <v>827</v>
      </c>
      <c r="D1236" s="9" t="inlineStr">
        <is>
          <t>Making A Large Island</t>
        </is>
      </c>
      <c r="E1236" s="4" t="inlineStr">
        <is>
          <t>Hard</t>
        </is>
      </c>
      <c r="F1236" s="4" t="inlineStr">
        <is>
          <t>Graph: Grid BFS/DFS</t>
        </is>
      </c>
      <c r="G1236" s="4" t="inlineStr">
        <is>
          <t>Accepted</t>
        </is>
      </c>
      <c r="H1236" s="4" t="inlineStr">
        <is>
          <t>Python3</t>
        </is>
      </c>
      <c r="I1236" s="4" t="inlineStr">
        <is>
          <t>2870 ms</t>
        </is>
      </c>
      <c r="J1236" s="4" t="inlineStr">
        <is>
          <t>26.1 MB</t>
        </is>
      </c>
      <c r="K1236" s="4" t="n">
        <v>5</v>
      </c>
      <c r="L1236" s="4" t="inlineStr">
        <is>
          <t>75/75</t>
        </is>
      </c>
      <c r="M1236" s="9" t="inlineStr">
        <is>
          <t>Submission 1145240930</t>
        </is>
      </c>
      <c r="N1236" s="4" t="inlineStr">
        <is>
          <t>No</t>
        </is>
      </c>
    </row>
    <row r="1237">
      <c r="A1237" s="11" t="n">
        <v>45305.03487268519</v>
      </c>
      <c r="B1237" s="4" t="inlineStr">
        <is>
          <t>2024-01</t>
        </is>
      </c>
      <c r="C1237" s="4" t="n">
        <v>301</v>
      </c>
      <c r="D1237" s="9" t="inlineStr">
        <is>
          <t>Remove Invalid Parentheses</t>
        </is>
      </c>
      <c r="E1237" s="4" t="inlineStr">
        <is>
          <t>Hard</t>
        </is>
      </c>
      <c r="F1237" s="4" t="inlineStr">
        <is>
          <t>Backtracking</t>
        </is>
      </c>
      <c r="G1237" s="4" t="inlineStr">
        <is>
          <t>Accepted</t>
        </is>
      </c>
      <c r="H1237" s="4" t="inlineStr">
        <is>
          <t>Python3</t>
        </is>
      </c>
      <c r="I1237" s="4" t="inlineStr">
        <is>
          <t>38 ms</t>
        </is>
      </c>
      <c r="J1237" s="4" t="inlineStr">
        <is>
          <t>17.7 MB</t>
        </is>
      </c>
      <c r="K1237" s="4" t="n">
        <v>72.8</v>
      </c>
      <c r="L1237" s="4" t="inlineStr">
        <is>
          <t>127/127</t>
        </is>
      </c>
      <c r="M1237" s="9" t="inlineStr">
        <is>
          <t>Submission 1145309080</t>
        </is>
      </c>
      <c r="N1237" s="4" t="inlineStr">
        <is>
          <t>Yes</t>
        </is>
      </c>
    </row>
    <row r="1238">
      <c r="A1238" s="11" t="n">
        <v>45305.04076388889</v>
      </c>
      <c r="B1238" s="4" t="inlineStr">
        <is>
          <t>2024-01</t>
        </is>
      </c>
      <c r="C1238" s="4" t="n">
        <v>301</v>
      </c>
      <c r="D1238" s="9" t="inlineStr">
        <is>
          <t>Remove Invalid Parentheses</t>
        </is>
      </c>
      <c r="E1238" s="4" t="inlineStr">
        <is>
          <t>Hard</t>
        </is>
      </c>
      <c r="F1238" s="4" t="inlineStr">
        <is>
          <t>Backtracking</t>
        </is>
      </c>
      <c r="G1238" s="4" t="inlineStr">
        <is>
          <t>Wrong Answer</t>
        </is>
      </c>
      <c r="H1238" s="4" t="inlineStr">
        <is>
          <t>Python3</t>
        </is>
      </c>
      <c r="I1238" s="4" t="inlineStr">
        <is>
          <t>N/A</t>
        </is>
      </c>
      <c r="J1238" s="4" t="inlineStr">
        <is>
          <t>N/A</t>
        </is>
      </c>
      <c r="K1238" s="4" t="n"/>
      <c r="L1238" s="4" t="inlineStr">
        <is>
          <t>29/127</t>
        </is>
      </c>
      <c r="M1238" s="9" t="inlineStr">
        <is>
          <t>Submission 1145314605</t>
        </is>
      </c>
      <c r="N1238" s="4" t="inlineStr">
        <is>
          <t>Yes</t>
        </is>
      </c>
    </row>
    <row r="1239">
      <c r="A1239" s="11" t="n">
        <v>45305.04469907407</v>
      </c>
      <c r="B1239" s="4" t="inlineStr">
        <is>
          <t>2024-01</t>
        </is>
      </c>
      <c r="C1239" s="4" t="n">
        <v>301</v>
      </c>
      <c r="D1239" s="9" t="inlineStr">
        <is>
          <t>Remove Invalid Parentheses</t>
        </is>
      </c>
      <c r="E1239" s="4" t="inlineStr">
        <is>
          <t>Hard</t>
        </is>
      </c>
      <c r="F1239" s="4" t="inlineStr">
        <is>
          <t>Backtracking</t>
        </is>
      </c>
      <c r="G1239" s="4" t="inlineStr">
        <is>
          <t>Accepted</t>
        </is>
      </c>
      <c r="H1239" s="4" t="inlineStr">
        <is>
          <t>Python3</t>
        </is>
      </c>
      <c r="I1239" s="4" t="inlineStr">
        <is>
          <t>154 ms</t>
        </is>
      </c>
      <c r="J1239" s="4" t="inlineStr">
        <is>
          <t>18.9 MB</t>
        </is>
      </c>
      <c r="K1239" s="4" t="n">
        <v>46.3</v>
      </c>
      <c r="L1239" s="4" t="inlineStr">
        <is>
          <t>127/127</t>
        </is>
      </c>
      <c r="M1239" s="9" t="inlineStr">
        <is>
          <t>Submission 1145318187</t>
        </is>
      </c>
      <c r="N1239" s="4" t="inlineStr">
        <is>
          <t>Yes</t>
        </is>
      </c>
    </row>
    <row r="1240">
      <c r="A1240" s="11" t="n">
        <v>45305.19390046296</v>
      </c>
      <c r="B1240" s="4" t="inlineStr">
        <is>
          <t>2024-01</t>
        </is>
      </c>
      <c r="C1240" s="4" t="n">
        <v>129</v>
      </c>
      <c r="D1240" s="9" t="inlineStr">
        <is>
          <t>Sum Root to Leaf Numbers</t>
        </is>
      </c>
      <c r="E1240" s="4" t="inlineStr">
        <is>
          <t>Medium</t>
        </is>
      </c>
      <c r="F1240" s="4" t="inlineStr">
        <is>
          <t>Binary Tree (DFS &amp; Recursion)</t>
        </is>
      </c>
      <c r="G1240" s="4" t="inlineStr">
        <is>
          <t>Accepted</t>
        </is>
      </c>
      <c r="H1240" s="4" t="inlineStr">
        <is>
          <t>Python3</t>
        </is>
      </c>
      <c r="I1240" s="4" t="inlineStr">
        <is>
          <t>43 ms</t>
        </is>
      </c>
      <c r="J1240" s="4" t="inlineStr">
        <is>
          <t>17.4 MB</t>
        </is>
      </c>
      <c r="K1240" s="4" t="n"/>
      <c r="L1240" s="4" t="inlineStr"/>
      <c r="M1240" s="9" t="inlineStr">
        <is>
          <t>Submission 1145425746</t>
        </is>
      </c>
      <c r="N1240" s="4" t="inlineStr">
        <is>
          <t>Yes</t>
        </is>
      </c>
    </row>
    <row r="1241">
      <c r="A1241" s="11" t="n">
        <v>45305.85424768519</v>
      </c>
      <c r="B1241" s="4" t="inlineStr">
        <is>
          <t>2024-01</t>
        </is>
      </c>
      <c r="C1241" s="4" t="n">
        <v>938</v>
      </c>
      <c r="D1241" s="9" t="inlineStr">
        <is>
          <t>Range Sum of BST</t>
        </is>
      </c>
      <c r="E1241" s="4" t="inlineStr">
        <is>
          <t>Easy</t>
        </is>
      </c>
      <c r="F1241" s="4" t="inlineStr">
        <is>
          <t>Binary Search Tree</t>
        </is>
      </c>
      <c r="G1241" s="4" t="inlineStr">
        <is>
          <t>Accepted</t>
        </is>
      </c>
      <c r="H1241" s="4" t="inlineStr">
        <is>
          <t>Python3</t>
        </is>
      </c>
      <c r="I1241" s="4" t="inlineStr">
        <is>
          <t>102 ms</t>
        </is>
      </c>
      <c r="J1241" s="4" t="inlineStr">
        <is>
          <t>24.6 MB</t>
        </is>
      </c>
      <c r="K1241" s="4" t="n">
        <v>5.5</v>
      </c>
      <c r="L1241" s="4" t="inlineStr">
        <is>
          <t>41/41</t>
        </is>
      </c>
      <c r="M1241" s="9" t="inlineStr">
        <is>
          <t>Submission 1146073032</t>
        </is>
      </c>
      <c r="N1241" s="4" t="inlineStr">
        <is>
          <t>Yes</t>
        </is>
      </c>
    </row>
    <row r="1242">
      <c r="A1242" s="11" t="n">
        <v>45306.29497685185</v>
      </c>
      <c r="B1242" s="4" t="inlineStr">
        <is>
          <t>2024-01</t>
        </is>
      </c>
      <c r="C1242" s="4" t="n">
        <v>347</v>
      </c>
      <c r="D1242" s="9" t="inlineStr">
        <is>
          <t>Top K Frequent Elements</t>
        </is>
      </c>
      <c r="E1242" s="4" t="inlineStr">
        <is>
          <t>Medium</t>
        </is>
      </c>
      <c r="F1242" s="4" t="inlineStr">
        <is>
          <t>Heap / Top-K</t>
        </is>
      </c>
      <c r="G1242" s="4" t="inlineStr">
        <is>
          <t>Accepted</t>
        </is>
      </c>
      <c r="H1242" s="4" t="inlineStr">
        <is>
          <t>Python3</t>
        </is>
      </c>
      <c r="I1242" s="4" t="inlineStr">
        <is>
          <t>78 ms</t>
        </is>
      </c>
      <c r="J1242" s="4" t="inlineStr">
        <is>
          <t>21.9 MB</t>
        </is>
      </c>
      <c r="K1242" s="4" t="n">
        <v>5</v>
      </c>
      <c r="L1242" s="4" t="inlineStr">
        <is>
          <t>21/21</t>
        </is>
      </c>
      <c r="M1242" s="9" t="inlineStr">
        <is>
          <t>Submission 1146450475</t>
        </is>
      </c>
      <c r="N1242" s="4" t="inlineStr">
        <is>
          <t>No</t>
        </is>
      </c>
    </row>
    <row r="1243">
      <c r="A1243" s="11" t="n">
        <v>45306.3019212963</v>
      </c>
      <c r="B1243" s="4" t="inlineStr">
        <is>
          <t>2024-01</t>
        </is>
      </c>
      <c r="C1243" s="4" t="n">
        <v>347</v>
      </c>
      <c r="D1243" s="9" t="inlineStr">
        <is>
          <t>Top K Frequent Elements</t>
        </is>
      </c>
      <c r="E1243" s="4" t="inlineStr">
        <is>
          <t>Medium</t>
        </is>
      </c>
      <c r="F1243" s="4" t="inlineStr">
        <is>
          <t>Heap / Top-K</t>
        </is>
      </c>
      <c r="G1243" s="4" t="inlineStr">
        <is>
          <t>Runtime Error</t>
        </is>
      </c>
      <c r="H1243" s="4" t="inlineStr">
        <is>
          <t>Python3</t>
        </is>
      </c>
      <c r="I1243" s="4" t="inlineStr">
        <is>
          <t>N/A</t>
        </is>
      </c>
      <c r="J1243" s="4" t="inlineStr">
        <is>
          <t>N/A</t>
        </is>
      </c>
      <c r="K1243" s="4" t="n"/>
      <c r="L1243" s="4" t="inlineStr">
        <is>
          <t>4/21</t>
        </is>
      </c>
      <c r="M1243" s="9" t="inlineStr">
        <is>
          <t>Submission 1146455215</t>
        </is>
      </c>
      <c r="N1243" s="4" t="inlineStr">
        <is>
          <t>No</t>
        </is>
      </c>
    </row>
    <row r="1244">
      <c r="A1244" s="11" t="n">
        <v>45306.3021875</v>
      </c>
      <c r="B1244" s="4" t="inlineStr">
        <is>
          <t>2024-01</t>
        </is>
      </c>
      <c r="C1244" s="4" t="n">
        <v>347</v>
      </c>
      <c r="D1244" s="9" t="inlineStr">
        <is>
          <t>Top K Frequent Elements</t>
        </is>
      </c>
      <c r="E1244" s="4" t="inlineStr">
        <is>
          <t>Medium</t>
        </is>
      </c>
      <c r="F1244" s="4" t="inlineStr">
        <is>
          <t>Heap / Top-K</t>
        </is>
      </c>
      <c r="G1244" s="4" t="inlineStr">
        <is>
          <t>Accepted</t>
        </is>
      </c>
      <c r="H1244" s="4" t="inlineStr">
        <is>
          <t>Python3</t>
        </is>
      </c>
      <c r="I1244" s="4" t="inlineStr">
        <is>
          <t>81 ms</t>
        </is>
      </c>
      <c r="J1244" s="4" t="inlineStr">
        <is>
          <t>22.4 MB</t>
        </is>
      </c>
      <c r="K1244" s="4" t="n">
        <v>5</v>
      </c>
      <c r="L1244" s="4" t="inlineStr">
        <is>
          <t>21/21</t>
        </is>
      </c>
      <c r="M1244" s="9" t="inlineStr">
        <is>
          <t>Submission 1146455372</t>
        </is>
      </c>
      <c r="N1244" s="4" t="inlineStr">
        <is>
          <t>No</t>
        </is>
      </c>
    </row>
    <row r="1245">
      <c r="A1245" s="11" t="n">
        <v>45306.52590277778</v>
      </c>
      <c r="B1245" s="4" t="inlineStr">
        <is>
          <t>2024-01</t>
        </is>
      </c>
      <c r="C1245" s="4" t="n">
        <v>658</v>
      </c>
      <c r="D1245" s="9" t="inlineStr">
        <is>
          <t>Find K Closest Elements</t>
        </is>
      </c>
      <c r="E1245" s="4" t="inlineStr">
        <is>
          <t>Medium</t>
        </is>
      </c>
      <c r="F1245" s="4" t="inlineStr">
        <is>
          <t>Binary Search</t>
        </is>
      </c>
      <c r="G1245" s="4" t="inlineStr">
        <is>
          <t>Accepted</t>
        </is>
      </c>
      <c r="H1245" s="4" t="inlineStr">
        <is>
          <t>Python3</t>
        </is>
      </c>
      <c r="I1245" s="4" t="inlineStr">
        <is>
          <t>269 ms</t>
        </is>
      </c>
      <c r="J1245" s="4" t="inlineStr">
        <is>
          <t>19 MB</t>
        </is>
      </c>
      <c r="K1245" s="4" t="n">
        <v>5.1</v>
      </c>
      <c r="L1245" s="4" t="inlineStr">
        <is>
          <t>69/69</t>
        </is>
      </c>
      <c r="M1245" s="9" t="inlineStr">
        <is>
          <t>Submission 1146647786</t>
        </is>
      </c>
      <c r="N1245" s="4" t="inlineStr">
        <is>
          <t>Yes</t>
        </is>
      </c>
    </row>
    <row r="1246">
      <c r="A1246" s="11" t="n">
        <v>45306.92331018519</v>
      </c>
      <c r="B1246" s="4" t="inlineStr">
        <is>
          <t>2024-01</t>
        </is>
      </c>
      <c r="C1246" s="4" t="n">
        <v>658</v>
      </c>
      <c r="D1246" s="9" t="inlineStr">
        <is>
          <t>Find K Closest Elements</t>
        </is>
      </c>
      <c r="E1246" s="4" t="inlineStr">
        <is>
          <t>Medium</t>
        </is>
      </c>
      <c r="F1246" s="4" t="inlineStr">
        <is>
          <t>Binary Search</t>
        </is>
      </c>
      <c r="G1246" s="4" t="inlineStr">
        <is>
          <t>Wrong Answer</t>
        </is>
      </c>
      <c r="H1246" s="4" t="inlineStr">
        <is>
          <t>Python3</t>
        </is>
      </c>
      <c r="I1246" s="4" t="inlineStr">
        <is>
          <t>N/A</t>
        </is>
      </c>
      <c r="J1246" s="4" t="inlineStr">
        <is>
          <t>N/A</t>
        </is>
      </c>
      <c r="K1246" s="4" t="n"/>
      <c r="L1246" s="4" t="inlineStr">
        <is>
          <t>66/69</t>
        </is>
      </c>
      <c r="M1246" s="9" t="inlineStr">
        <is>
          <t>Submission 1147028310</t>
        </is>
      </c>
      <c r="N1246" s="4" t="inlineStr">
        <is>
          <t>Yes</t>
        </is>
      </c>
    </row>
    <row r="1247">
      <c r="A1247" s="11" t="n">
        <v>45306.92451388889</v>
      </c>
      <c r="B1247" s="4" t="inlineStr">
        <is>
          <t>2024-01</t>
        </is>
      </c>
      <c r="C1247" s="4" t="n">
        <v>658</v>
      </c>
      <c r="D1247" s="9" t="inlineStr">
        <is>
          <t>Find K Closest Elements</t>
        </is>
      </c>
      <c r="E1247" s="4" t="inlineStr">
        <is>
          <t>Medium</t>
        </is>
      </c>
      <c r="F1247" s="4" t="inlineStr">
        <is>
          <t>Binary Search</t>
        </is>
      </c>
      <c r="G1247" s="4" t="inlineStr">
        <is>
          <t>Wrong Answer</t>
        </is>
      </c>
      <c r="H1247" s="4" t="inlineStr">
        <is>
          <t>Python3</t>
        </is>
      </c>
      <c r="I1247" s="4" t="inlineStr">
        <is>
          <t>N/A</t>
        </is>
      </c>
      <c r="J1247" s="4" t="inlineStr">
        <is>
          <t>N/A</t>
        </is>
      </c>
      <c r="K1247" s="4" t="n"/>
      <c r="L1247" s="4" t="inlineStr">
        <is>
          <t>68/69</t>
        </is>
      </c>
      <c r="M1247" s="9" t="inlineStr">
        <is>
          <t>Submission 1147029879</t>
        </is>
      </c>
      <c r="N1247" s="4" t="inlineStr">
        <is>
          <t>Yes</t>
        </is>
      </c>
    </row>
    <row r="1248">
      <c r="A1248" s="11" t="n">
        <v>45306.92820601852</v>
      </c>
      <c r="B1248" s="4" t="inlineStr">
        <is>
          <t>2024-01</t>
        </is>
      </c>
      <c r="C1248" s="4" t="n">
        <v>658</v>
      </c>
      <c r="D1248" s="9" t="inlineStr">
        <is>
          <t>Find K Closest Elements</t>
        </is>
      </c>
      <c r="E1248" s="4" t="inlineStr">
        <is>
          <t>Medium</t>
        </is>
      </c>
      <c r="F1248" s="4" t="inlineStr">
        <is>
          <t>Binary Search</t>
        </is>
      </c>
      <c r="G1248" s="4" t="inlineStr">
        <is>
          <t>Accepted</t>
        </is>
      </c>
      <c r="H1248" s="4" t="inlineStr">
        <is>
          <t>Python3</t>
        </is>
      </c>
      <c r="I1248" s="4" t="inlineStr">
        <is>
          <t>231 ms</t>
        </is>
      </c>
      <c r="J1248" s="4" t="inlineStr">
        <is>
          <t>18.9 MB</t>
        </is>
      </c>
      <c r="K1248" s="4" t="n">
        <v>5.1</v>
      </c>
      <c r="L1248" s="4" t="inlineStr">
        <is>
          <t>69/69</t>
        </is>
      </c>
      <c r="M1248" s="9" t="inlineStr">
        <is>
          <t>Submission 1147034486</t>
        </is>
      </c>
      <c r="N1248" s="4" t="inlineStr">
        <is>
          <t>Yes</t>
        </is>
      </c>
    </row>
    <row r="1249">
      <c r="A1249" s="11" t="n">
        <v>45306.93083333333</v>
      </c>
      <c r="B1249" s="4" t="inlineStr">
        <is>
          <t>2024-01</t>
        </is>
      </c>
      <c r="C1249" s="4" t="n">
        <v>658</v>
      </c>
      <c r="D1249" s="9" t="inlineStr">
        <is>
          <t>Find K Closest Elements</t>
        </is>
      </c>
      <c r="E1249" s="4" t="inlineStr">
        <is>
          <t>Medium</t>
        </is>
      </c>
      <c r="F1249" s="4" t="inlineStr">
        <is>
          <t>Binary Search</t>
        </is>
      </c>
      <c r="G1249" s="4" t="inlineStr">
        <is>
          <t>Accepted</t>
        </is>
      </c>
      <c r="H1249" s="4" t="inlineStr">
        <is>
          <t>Python3</t>
        </is>
      </c>
      <c r="I1249" s="4" t="inlineStr">
        <is>
          <t>226 ms</t>
        </is>
      </c>
      <c r="J1249" s="4" t="inlineStr">
        <is>
          <t>19.1 MB</t>
        </is>
      </c>
      <c r="K1249" s="4" t="n">
        <v>5.1</v>
      </c>
      <c r="L1249" s="4" t="inlineStr">
        <is>
          <t>69/69</t>
        </is>
      </c>
      <c r="M1249" s="9" t="inlineStr">
        <is>
          <t>Submission 1147037915</t>
        </is>
      </c>
      <c r="N1249" s="4" t="inlineStr">
        <is>
          <t>Yes</t>
        </is>
      </c>
    </row>
    <row r="1250">
      <c r="A1250" s="11" t="n">
        <v>45306.95439814815</v>
      </c>
      <c r="B1250" s="4" t="inlineStr">
        <is>
          <t>2024-01</t>
        </is>
      </c>
      <c r="C1250" s="4" t="n">
        <v>329</v>
      </c>
      <c r="D1250" s="9" t="inlineStr">
        <is>
          <t>Longest Increasing Path in a Matrix</t>
        </is>
      </c>
      <c r="E1250" s="4" t="inlineStr">
        <is>
          <t>Hard</t>
        </is>
      </c>
      <c r="F1250" s="4" t="inlineStr">
        <is>
          <t>DP: Grid / 2D</t>
        </is>
      </c>
      <c r="G1250" s="4" t="inlineStr">
        <is>
          <t>Accepted</t>
        </is>
      </c>
      <c r="H1250" s="4" t="inlineStr">
        <is>
          <t>Python3</t>
        </is>
      </c>
      <c r="I1250" s="4" t="inlineStr">
        <is>
          <t>348 ms</t>
        </is>
      </c>
      <c r="J1250" s="4" t="inlineStr">
        <is>
          <t>21.5 MB</t>
        </is>
      </c>
      <c r="K1250" s="4" t="n">
        <v>5</v>
      </c>
      <c r="L1250" s="4" t="inlineStr">
        <is>
          <t>138/138</t>
        </is>
      </c>
      <c r="M1250" s="9" t="inlineStr">
        <is>
          <t>Submission 1147068669</t>
        </is>
      </c>
      <c r="N1250" s="4" t="inlineStr">
        <is>
          <t>Yes</t>
        </is>
      </c>
    </row>
    <row r="1251">
      <c r="A1251" s="11" t="n">
        <v>45306.99409722222</v>
      </c>
      <c r="B1251" s="4" t="inlineStr">
        <is>
          <t>2024-01</t>
        </is>
      </c>
      <c r="C1251" s="4" t="n">
        <v>1631</v>
      </c>
      <c r="D1251" s="9" t="inlineStr">
        <is>
          <t>Path With Minimum Effort</t>
        </is>
      </c>
      <c r="E1251" s="4" t="inlineStr">
        <is>
          <t>Medium</t>
        </is>
      </c>
      <c r="F1251" s="4" t="inlineStr">
        <is>
          <t>Graph: Shortest Path</t>
        </is>
      </c>
      <c r="G1251" s="4" t="inlineStr">
        <is>
          <t>Wrong Answer</t>
        </is>
      </c>
      <c r="H1251" s="4" t="inlineStr">
        <is>
          <t>Python3</t>
        </is>
      </c>
      <c r="I1251" s="4" t="inlineStr">
        <is>
          <t>N/A</t>
        </is>
      </c>
      <c r="J1251" s="4" t="inlineStr">
        <is>
          <t>N/A</t>
        </is>
      </c>
      <c r="K1251" s="4" t="n"/>
      <c r="L1251" s="4" t="inlineStr">
        <is>
          <t>9/75</t>
        </is>
      </c>
      <c r="M1251" s="9" t="inlineStr">
        <is>
          <t>Submission 1147122502</t>
        </is>
      </c>
      <c r="N1251" s="4" t="inlineStr">
        <is>
          <t>Yes</t>
        </is>
      </c>
    </row>
    <row r="1252">
      <c r="A1252" s="11" t="n">
        <v>45306.99427083333</v>
      </c>
      <c r="B1252" s="4" t="inlineStr">
        <is>
          <t>2024-01</t>
        </is>
      </c>
      <c r="C1252" s="4" t="n">
        <v>1631</v>
      </c>
      <c r="D1252" s="9" t="inlineStr">
        <is>
          <t>Path With Minimum Effort</t>
        </is>
      </c>
      <c r="E1252" s="4" t="inlineStr">
        <is>
          <t>Medium</t>
        </is>
      </c>
      <c r="F1252" s="4" t="inlineStr">
        <is>
          <t>Graph: Shortest Path</t>
        </is>
      </c>
      <c r="G1252" s="4" t="inlineStr">
        <is>
          <t>Accepted</t>
        </is>
      </c>
      <c r="H1252" s="4" t="inlineStr">
        <is>
          <t>Python3</t>
        </is>
      </c>
      <c r="I1252" s="4" t="inlineStr">
        <is>
          <t>6626 ms</t>
        </is>
      </c>
      <c r="J1252" s="4" t="inlineStr">
        <is>
          <t>18.8 MB</t>
        </is>
      </c>
      <c r="K1252" s="4" t="n">
        <v>5</v>
      </c>
      <c r="L1252" s="4" t="inlineStr">
        <is>
          <t>75/75</t>
        </is>
      </c>
      <c r="M1252" s="9" t="inlineStr">
        <is>
          <t>Submission 1147122724</t>
        </is>
      </c>
      <c r="N1252" s="4" t="inlineStr">
        <is>
          <t>Yes</t>
        </is>
      </c>
    </row>
    <row r="1253">
      <c r="A1253" s="11" t="n">
        <v>45307.04123842593</v>
      </c>
      <c r="B1253" s="4" t="inlineStr">
        <is>
          <t>2024-01</t>
        </is>
      </c>
      <c r="C1253" s="4" t="n">
        <v>1004</v>
      </c>
      <c r="D1253" s="9" t="inlineStr">
        <is>
          <t>Max Consecutive Ones III</t>
        </is>
      </c>
      <c r="E1253" s="4" t="inlineStr">
        <is>
          <t>Medium</t>
        </is>
      </c>
      <c r="F1253" s="4" t="inlineStr">
        <is>
          <t>Sliding Window</t>
        </is>
      </c>
      <c r="G1253" s="4" t="inlineStr">
        <is>
          <t>Accepted</t>
        </is>
      </c>
      <c r="H1253" s="4" t="inlineStr">
        <is>
          <t>Python3</t>
        </is>
      </c>
      <c r="I1253" s="4" t="inlineStr">
        <is>
          <t>488 ms</t>
        </is>
      </c>
      <c r="J1253" s="4" t="inlineStr">
        <is>
          <t>18 MB</t>
        </is>
      </c>
      <c r="K1253" s="4" t="n">
        <v>5.1</v>
      </c>
      <c r="L1253" s="4" t="inlineStr">
        <is>
          <t>55/55</t>
        </is>
      </c>
      <c r="M1253" s="9" t="inlineStr">
        <is>
          <t>Submission 1147176998</t>
        </is>
      </c>
      <c r="N1253" s="4" t="inlineStr">
        <is>
          <t>No</t>
        </is>
      </c>
    </row>
    <row r="1254">
      <c r="A1254" s="11" t="n">
        <v>45307.25619212963</v>
      </c>
      <c r="B1254" s="4" t="inlineStr">
        <is>
          <t>2024-01</t>
        </is>
      </c>
      <c r="C1254" s="4" t="n">
        <v>1358</v>
      </c>
      <c r="D1254" s="9" t="inlineStr">
        <is>
          <t>Number of Substrings Containing All Three Characters</t>
        </is>
      </c>
      <c r="E1254" s="4" t="inlineStr">
        <is>
          <t>Medium</t>
        </is>
      </c>
      <c r="F1254" s="4" t="inlineStr">
        <is>
          <t>Sliding Window</t>
        </is>
      </c>
      <c r="G1254" s="4" t="inlineStr">
        <is>
          <t>Accepted</t>
        </is>
      </c>
      <c r="H1254" s="4" t="inlineStr">
        <is>
          <t>Python3</t>
        </is>
      </c>
      <c r="I1254" s="4" t="inlineStr">
        <is>
          <t>521 ms</t>
        </is>
      </c>
      <c r="J1254" s="4" t="inlineStr">
        <is>
          <t>17.8 MB</t>
        </is>
      </c>
      <c r="K1254" s="4" t="n">
        <v>5</v>
      </c>
      <c r="L1254" s="4" t="inlineStr">
        <is>
          <t>54/54</t>
        </is>
      </c>
      <c r="M1254" s="9" t="inlineStr">
        <is>
          <t>Submission 1147351380</t>
        </is>
      </c>
      <c r="N1254" s="4" t="inlineStr">
        <is>
          <t>No</t>
        </is>
      </c>
    </row>
    <row r="1255">
      <c r="A1255" s="11" t="n">
        <v>45307.359375</v>
      </c>
      <c r="B1255" s="4" t="inlineStr">
        <is>
          <t>2024-01</t>
        </is>
      </c>
      <c r="C1255" s="4" t="n">
        <v>34</v>
      </c>
      <c r="D1255" s="9" t="inlineStr">
        <is>
          <t>Find First and Last Position of Element in Sorted Array</t>
        </is>
      </c>
      <c r="E1255" s="4" t="inlineStr">
        <is>
          <t>Medium</t>
        </is>
      </c>
      <c r="F1255" s="4" t="inlineStr">
        <is>
          <t>Binary Search</t>
        </is>
      </c>
      <c r="G1255" s="4" t="inlineStr">
        <is>
          <t>Accepted</t>
        </is>
      </c>
      <c r="H1255" s="4" t="inlineStr">
        <is>
          <t>Python3</t>
        </is>
      </c>
      <c r="I1255" s="4" t="inlineStr">
        <is>
          <t>86 ms</t>
        </is>
      </c>
      <c r="J1255" s="4" t="inlineStr">
        <is>
          <t>18.6 MB</t>
        </is>
      </c>
      <c r="K1255" s="4" t="n">
        <v>0</v>
      </c>
      <c r="L1255" s="4" t="inlineStr">
        <is>
          <t>88/88</t>
        </is>
      </c>
      <c r="M1255" s="9" t="inlineStr">
        <is>
          <t>Submission 1147430361</t>
        </is>
      </c>
      <c r="N1255" s="4" t="inlineStr">
        <is>
          <t>Yes</t>
        </is>
      </c>
    </row>
    <row r="1256">
      <c r="A1256" s="11" t="n">
        <v>45307.41252314814</v>
      </c>
      <c r="B1256" s="4" t="inlineStr">
        <is>
          <t>2024-01</t>
        </is>
      </c>
      <c r="C1256" s="4" t="n">
        <v>79</v>
      </c>
      <c r="D1256" s="9" t="inlineStr">
        <is>
          <t>Word Search</t>
        </is>
      </c>
      <c r="E1256" s="4" t="inlineStr">
        <is>
          <t>Medium</t>
        </is>
      </c>
      <c r="F1256" s="4" t="inlineStr">
        <is>
          <t>Backtracking</t>
        </is>
      </c>
      <c r="G1256" s="4" t="inlineStr">
        <is>
          <t>Wrong Answer</t>
        </is>
      </c>
      <c r="H1256" s="4" t="inlineStr">
        <is>
          <t>Python3</t>
        </is>
      </c>
      <c r="I1256" s="4" t="inlineStr">
        <is>
          <t>N/A</t>
        </is>
      </c>
      <c r="J1256" s="4" t="inlineStr">
        <is>
          <t>N/A</t>
        </is>
      </c>
      <c r="K1256" s="4" t="n"/>
      <c r="L1256" s="4" t="inlineStr">
        <is>
          <t>86/87</t>
        </is>
      </c>
      <c r="M1256" s="9" t="inlineStr">
        <is>
          <t>Submission 1147477040</t>
        </is>
      </c>
      <c r="N1256" s="4" t="inlineStr">
        <is>
          <t>Yes</t>
        </is>
      </c>
    </row>
    <row r="1257">
      <c r="A1257" s="11" t="n">
        <v>45307.41915509259</v>
      </c>
      <c r="B1257" s="4" t="inlineStr">
        <is>
          <t>2024-01</t>
        </is>
      </c>
      <c r="C1257" s="4" t="n">
        <v>79</v>
      </c>
      <c r="D1257" s="9" t="inlineStr">
        <is>
          <t>Word Search</t>
        </is>
      </c>
      <c r="E1257" s="4" t="inlineStr">
        <is>
          <t>Medium</t>
        </is>
      </c>
      <c r="F1257" s="4" t="inlineStr">
        <is>
          <t>Backtracking</t>
        </is>
      </c>
      <c r="G1257" s="4" t="inlineStr">
        <is>
          <t>Accepted</t>
        </is>
      </c>
      <c r="H1257" s="4" t="inlineStr">
        <is>
          <t>Python3</t>
        </is>
      </c>
      <c r="I1257" s="4" t="inlineStr">
        <is>
          <t>4113 ms</t>
        </is>
      </c>
      <c r="J1257" s="4" t="inlineStr">
        <is>
          <t>17.5 MB</t>
        </is>
      </c>
      <c r="K1257" s="4" t="n">
        <v>41.8</v>
      </c>
      <c r="L1257" s="4" t="inlineStr">
        <is>
          <t>87/87</t>
        </is>
      </c>
      <c r="M1257" s="9" t="inlineStr">
        <is>
          <t>Submission 1147483129</t>
        </is>
      </c>
      <c r="N1257" s="4" t="inlineStr">
        <is>
          <t>Yes</t>
        </is>
      </c>
    </row>
    <row r="1258">
      <c r="A1258" s="11" t="n">
        <v>45307.4374537037</v>
      </c>
      <c r="B1258" s="4" t="inlineStr">
        <is>
          <t>2024-01</t>
        </is>
      </c>
      <c r="C1258" s="4" t="n">
        <v>212</v>
      </c>
      <c r="D1258" s="9" t="inlineStr">
        <is>
          <t>Word Search II</t>
        </is>
      </c>
      <c r="E1258" s="4" t="inlineStr">
        <is>
          <t>Hard</t>
        </is>
      </c>
      <c r="F1258" s="4" t="inlineStr">
        <is>
          <t>Trie</t>
        </is>
      </c>
      <c r="G1258" s="4" t="inlineStr">
        <is>
          <t>Wrong Answer</t>
        </is>
      </c>
      <c r="H1258" s="4" t="inlineStr">
        <is>
          <t>Python3</t>
        </is>
      </c>
      <c r="I1258" s="4" t="inlineStr">
        <is>
          <t>N/A</t>
        </is>
      </c>
      <c r="J1258" s="4" t="inlineStr">
        <is>
          <t>N/A</t>
        </is>
      </c>
      <c r="K1258" s="4" t="n"/>
      <c r="L1258" s="4" t="inlineStr">
        <is>
          <t>6/65</t>
        </is>
      </c>
      <c r="M1258" s="9" t="inlineStr">
        <is>
          <t>Submission 1147501144</t>
        </is>
      </c>
      <c r="N1258" s="4" t="inlineStr">
        <is>
          <t>Yes</t>
        </is>
      </c>
    </row>
    <row r="1259">
      <c r="A1259" s="11" t="n">
        <v>45307.43756944445</v>
      </c>
      <c r="B1259" s="4" t="inlineStr">
        <is>
          <t>2024-01</t>
        </is>
      </c>
      <c r="C1259" s="4" t="n">
        <v>212</v>
      </c>
      <c r="D1259" s="9" t="inlineStr">
        <is>
          <t>Word Search II</t>
        </is>
      </c>
      <c r="E1259" s="4" t="inlineStr">
        <is>
          <t>Hard</t>
        </is>
      </c>
      <c r="F1259" s="4" t="inlineStr">
        <is>
          <t>Trie</t>
        </is>
      </c>
      <c r="G1259" s="4" t="inlineStr">
        <is>
          <t>Wrong Answer</t>
        </is>
      </c>
      <c r="H1259" s="4" t="inlineStr">
        <is>
          <t>Python3</t>
        </is>
      </c>
      <c r="I1259" s="4" t="inlineStr">
        <is>
          <t>N/A</t>
        </is>
      </c>
      <c r="J1259" s="4" t="inlineStr">
        <is>
          <t>N/A</t>
        </is>
      </c>
      <c r="K1259" s="4" t="n"/>
      <c r="L1259" s="4" t="inlineStr">
        <is>
          <t>6/65</t>
        </is>
      </c>
      <c r="M1259" s="9" t="inlineStr">
        <is>
          <t>Submission 1147501258</t>
        </is>
      </c>
      <c r="N1259" s="4" t="inlineStr">
        <is>
          <t>Yes</t>
        </is>
      </c>
    </row>
    <row r="1260">
      <c r="A1260" s="11" t="n">
        <v>45307.43848379629</v>
      </c>
      <c r="B1260" s="4" t="inlineStr">
        <is>
          <t>2024-01</t>
        </is>
      </c>
      <c r="C1260" s="4" t="n">
        <v>212</v>
      </c>
      <c r="D1260" s="9" t="inlineStr">
        <is>
          <t>Word Search II</t>
        </is>
      </c>
      <c r="E1260" s="4" t="inlineStr">
        <is>
          <t>Hard</t>
        </is>
      </c>
      <c r="F1260" s="4" t="inlineStr">
        <is>
          <t>Trie</t>
        </is>
      </c>
      <c r="G1260" s="4" t="inlineStr">
        <is>
          <t>Accepted</t>
        </is>
      </c>
      <c r="H1260" s="4" t="inlineStr">
        <is>
          <t>Python3</t>
        </is>
      </c>
      <c r="I1260" s="4" t="inlineStr">
        <is>
          <t>5091 ms</t>
        </is>
      </c>
      <c r="J1260" s="4" t="inlineStr">
        <is>
          <t>19.2 MB</t>
        </is>
      </c>
      <c r="K1260" s="4" t="n">
        <v>43.7</v>
      </c>
      <c r="L1260" s="4" t="inlineStr">
        <is>
          <t>65/65</t>
        </is>
      </c>
      <c r="M1260" s="9" t="inlineStr">
        <is>
          <t>Submission 1147502205</t>
        </is>
      </c>
      <c r="N1260" s="4" t="inlineStr">
        <is>
          <t>Yes</t>
        </is>
      </c>
    </row>
    <row r="1261">
      <c r="A1261" s="11" t="n">
        <v>45307.43878472222</v>
      </c>
      <c r="B1261" s="4" t="inlineStr">
        <is>
          <t>2024-01</t>
        </is>
      </c>
      <c r="C1261" s="4" t="n">
        <v>212</v>
      </c>
      <c r="D1261" s="9" t="inlineStr">
        <is>
          <t>Word Search II</t>
        </is>
      </c>
      <c r="E1261" s="4" t="inlineStr">
        <is>
          <t>Hard</t>
        </is>
      </c>
      <c r="F1261" s="4" t="inlineStr">
        <is>
          <t>Trie</t>
        </is>
      </c>
      <c r="G1261" s="4" t="inlineStr">
        <is>
          <t>Accepted</t>
        </is>
      </c>
      <c r="H1261" s="4" t="inlineStr">
        <is>
          <t>Python3</t>
        </is>
      </c>
      <c r="I1261" s="4" t="inlineStr">
        <is>
          <t>5229 ms</t>
        </is>
      </c>
      <c r="J1261" s="4" t="inlineStr">
        <is>
          <t>19.3 MB</t>
        </is>
      </c>
      <c r="K1261" s="4" t="n">
        <v>41.5</v>
      </c>
      <c r="L1261" s="4" t="inlineStr">
        <is>
          <t>65/65</t>
        </is>
      </c>
      <c r="M1261" s="9" t="inlineStr">
        <is>
          <t>Submission 1147502515</t>
        </is>
      </c>
      <c r="N1261" s="4" t="inlineStr">
        <is>
          <t>Yes</t>
        </is>
      </c>
    </row>
    <row r="1262">
      <c r="A1262" s="11" t="n">
        <v>45311.88041666667</v>
      </c>
      <c r="B1262" s="4" t="inlineStr">
        <is>
          <t>2024-01</t>
        </is>
      </c>
      <c r="C1262" s="4" t="n">
        <v>23</v>
      </c>
      <c r="D1262" s="9" t="inlineStr">
        <is>
          <t>Merge k Sorted Lists</t>
        </is>
      </c>
      <c r="E1262" s="4" t="inlineStr">
        <is>
          <t>Hard</t>
        </is>
      </c>
      <c r="F1262" s="4" t="inlineStr">
        <is>
          <t>Heap / Top-K</t>
        </is>
      </c>
      <c r="G1262" s="4" t="inlineStr">
        <is>
          <t>Accepted</t>
        </is>
      </c>
      <c r="H1262" s="4" t="inlineStr">
        <is>
          <t>Python3</t>
        </is>
      </c>
      <c r="I1262" s="4" t="inlineStr">
        <is>
          <t>79 ms</t>
        </is>
      </c>
      <c r="J1262" s="4" t="inlineStr">
        <is>
          <t>20.1 MB</t>
        </is>
      </c>
      <c r="K1262" s="4" t="n">
        <v>12.7</v>
      </c>
      <c r="L1262" s="4" t="inlineStr">
        <is>
          <t>133/133</t>
        </is>
      </c>
      <c r="M1262" s="9" t="inlineStr">
        <is>
          <t>Submission 1151716207</t>
        </is>
      </c>
      <c r="N1262" s="4" t="inlineStr">
        <is>
          <t>Yes</t>
        </is>
      </c>
    </row>
    <row r="1263">
      <c r="A1263" s="11" t="n">
        <v>45313.04665509259</v>
      </c>
      <c r="B1263" s="4" t="inlineStr">
        <is>
          <t>2024-01</t>
        </is>
      </c>
      <c r="C1263" s="4" t="n">
        <v>415</v>
      </c>
      <c r="D1263" s="9" t="inlineStr">
        <is>
          <t>Add Strings</t>
        </is>
      </c>
      <c r="E1263" s="4" t="inlineStr">
        <is>
          <t>Easy</t>
        </is>
      </c>
      <c r="F1263" s="4" t="inlineStr">
        <is>
          <t>Strings &amp; Simulation</t>
        </is>
      </c>
      <c r="G1263" s="4" t="inlineStr">
        <is>
          <t>Accepted</t>
        </is>
      </c>
      <c r="H1263" s="4" t="inlineStr">
        <is>
          <t>Python3</t>
        </is>
      </c>
      <c r="I1263" s="4" t="inlineStr">
        <is>
          <t>47 ms</t>
        </is>
      </c>
      <c r="J1263" s="4" t="inlineStr">
        <is>
          <t>17.1 MB</t>
        </is>
      </c>
      <c r="K1263" s="4" t="n">
        <v>8.300000000000001</v>
      </c>
      <c r="L1263" s="4" t="inlineStr">
        <is>
          <t>317/317</t>
        </is>
      </c>
      <c r="M1263" s="9" t="inlineStr">
        <is>
          <t>Submission 1152910148</t>
        </is>
      </c>
      <c r="N1263" s="4" t="inlineStr">
        <is>
          <t>No</t>
        </is>
      </c>
    </row>
    <row r="1264">
      <c r="A1264" s="11" t="n">
        <v>45313.07327546296</v>
      </c>
      <c r="B1264" s="4" t="inlineStr">
        <is>
          <t>2024-01</t>
        </is>
      </c>
      <c r="C1264" s="4" t="n">
        <v>199</v>
      </c>
      <c r="D1264" s="9" t="inlineStr">
        <is>
          <t>Binary Tree Right Side View</t>
        </is>
      </c>
      <c r="E1264" s="4" t="inlineStr">
        <is>
          <t>Medium</t>
        </is>
      </c>
      <c r="F1264" s="4" t="inlineStr">
        <is>
          <t>Binary Tree (BFS / Level Order)</t>
        </is>
      </c>
      <c r="G1264" s="4" t="inlineStr">
        <is>
          <t>Accepted</t>
        </is>
      </c>
      <c r="H1264" s="4" t="inlineStr">
        <is>
          <t>Python3</t>
        </is>
      </c>
      <c r="I1264" s="4" t="inlineStr">
        <is>
          <t>35 ms</t>
        </is>
      </c>
      <c r="J1264" s="4" t="inlineStr">
        <is>
          <t>16.5 MB</t>
        </is>
      </c>
      <c r="K1264" s="4" t="n">
        <v>0.5</v>
      </c>
      <c r="L1264" s="4" t="inlineStr">
        <is>
          <t>216/216</t>
        </is>
      </c>
      <c r="M1264" s="9" t="inlineStr">
        <is>
          <t>Submission 1152935407</t>
        </is>
      </c>
      <c r="N1264" s="4" t="inlineStr">
        <is>
          <t>No</t>
        </is>
      </c>
    </row>
    <row r="1265">
      <c r="A1265" s="11" t="n">
        <v>45313.1293287037</v>
      </c>
      <c r="B1265" s="4" t="inlineStr">
        <is>
          <t>2024-01</t>
        </is>
      </c>
      <c r="C1265" s="4" t="n">
        <v>162</v>
      </c>
      <c r="D1265" s="9" t="inlineStr">
        <is>
          <t>Find Peak Element</t>
        </is>
      </c>
      <c r="E1265" s="4" t="inlineStr">
        <is>
          <t>Medium</t>
        </is>
      </c>
      <c r="F1265" s="4" t="inlineStr">
        <is>
          <t>Binary Search</t>
        </is>
      </c>
      <c r="G1265" s="4" t="inlineStr">
        <is>
          <t>Accepted</t>
        </is>
      </c>
      <c r="H1265" s="4" t="inlineStr">
        <is>
          <t>Python3</t>
        </is>
      </c>
      <c r="I1265" s="4" t="inlineStr">
        <is>
          <t>43 ms</t>
        </is>
      </c>
      <c r="J1265" s="4" t="inlineStr">
        <is>
          <t>16.6 MB</t>
        </is>
      </c>
      <c r="K1265" s="4" t="n">
        <v>0.3</v>
      </c>
      <c r="L1265" s="4" t="inlineStr">
        <is>
          <t>66/66</t>
        </is>
      </c>
      <c r="M1265" s="9" t="inlineStr">
        <is>
          <t>Submission 1152981759</t>
        </is>
      </c>
      <c r="N1265" s="4" t="inlineStr">
        <is>
          <t>Yes</t>
        </is>
      </c>
    </row>
    <row r="1266">
      <c r="A1266" s="11" t="n">
        <v>45313.3480787037</v>
      </c>
      <c r="B1266" s="4" t="inlineStr">
        <is>
          <t>2024-01</t>
        </is>
      </c>
      <c r="C1266" s="4" t="n">
        <v>301</v>
      </c>
      <c r="D1266" s="9" t="inlineStr">
        <is>
          <t>Remove Invalid Parentheses</t>
        </is>
      </c>
      <c r="E1266" s="4" t="inlineStr">
        <is>
          <t>Hard</t>
        </is>
      </c>
      <c r="F1266" s="4" t="inlineStr">
        <is>
          <t>Backtracking</t>
        </is>
      </c>
      <c r="G1266" s="4" t="inlineStr">
        <is>
          <t>Accepted</t>
        </is>
      </c>
      <c r="H1266" s="4" t="inlineStr">
        <is>
          <t>Python3</t>
        </is>
      </c>
      <c r="I1266" s="4" t="inlineStr">
        <is>
          <t>146 ms</t>
        </is>
      </c>
      <c r="J1266" s="4" t="inlineStr">
        <is>
          <t>18 MB</t>
        </is>
      </c>
      <c r="K1266" s="4" t="n">
        <v>46.8</v>
      </c>
      <c r="L1266" s="4" t="inlineStr">
        <is>
          <t>127/127</t>
        </is>
      </c>
      <c r="M1266" s="9" t="inlineStr">
        <is>
          <t>Submission 1153143209</t>
        </is>
      </c>
      <c r="N1266" s="4" t="inlineStr">
        <is>
          <t>Yes</t>
        </is>
      </c>
    </row>
    <row r="1267">
      <c r="A1267" s="11" t="n">
        <v>45313.34814814815</v>
      </c>
      <c r="B1267" s="4" t="inlineStr">
        <is>
          <t>2024-01</t>
        </is>
      </c>
      <c r="C1267" s="4" t="n">
        <v>301</v>
      </c>
      <c r="D1267" s="9" t="inlineStr">
        <is>
          <t>Remove Invalid Parentheses</t>
        </is>
      </c>
      <c r="E1267" s="4" t="inlineStr">
        <is>
          <t>Hard</t>
        </is>
      </c>
      <c r="F1267" s="4" t="inlineStr">
        <is>
          <t>Backtracking</t>
        </is>
      </c>
      <c r="G1267" s="4" t="inlineStr">
        <is>
          <t>Accepted</t>
        </is>
      </c>
      <c r="H1267" s="4" t="inlineStr">
        <is>
          <t>Python3</t>
        </is>
      </c>
      <c r="I1267" s="4" t="inlineStr">
        <is>
          <t>147 ms</t>
        </is>
      </c>
      <c r="J1267" s="4" t="inlineStr">
        <is>
          <t>18.2 MB</t>
        </is>
      </c>
      <c r="K1267" s="4" t="n">
        <v>46.7</v>
      </c>
      <c r="L1267" s="4" t="inlineStr">
        <is>
          <t>127/127</t>
        </is>
      </c>
      <c r="M1267" s="9" t="inlineStr">
        <is>
          <t>Submission 1153143273</t>
        </is>
      </c>
      <c r="N1267" s="4" t="inlineStr">
        <is>
          <t>Yes</t>
        </is>
      </c>
    </row>
    <row r="1268">
      <c r="A1268" s="11" t="n">
        <v>45313.35435185185</v>
      </c>
      <c r="B1268" s="4" t="inlineStr">
        <is>
          <t>2024-01</t>
        </is>
      </c>
      <c r="C1268" s="4" t="n">
        <v>301</v>
      </c>
      <c r="D1268" s="9" t="inlineStr">
        <is>
          <t>Remove Invalid Parentheses</t>
        </is>
      </c>
      <c r="E1268" s="4" t="inlineStr">
        <is>
          <t>Hard</t>
        </is>
      </c>
      <c r="F1268" s="4" t="inlineStr">
        <is>
          <t>Backtracking</t>
        </is>
      </c>
      <c r="G1268" s="4" t="inlineStr">
        <is>
          <t>Accepted</t>
        </is>
      </c>
      <c r="H1268" s="4" t="inlineStr">
        <is>
          <t>Python3</t>
        </is>
      </c>
      <c r="I1268" s="4" t="inlineStr">
        <is>
          <t>58 ms</t>
        </is>
      </c>
      <c r="J1268" s="4" t="inlineStr">
        <is>
          <t>19.1 MB</t>
        </is>
      </c>
      <c r="K1268" s="4" t="n">
        <v>70.5</v>
      </c>
      <c r="L1268" s="4" t="inlineStr">
        <is>
          <t>127/127</t>
        </is>
      </c>
      <c r="M1268" s="9" t="inlineStr">
        <is>
          <t>Submission 1153148447</t>
        </is>
      </c>
      <c r="N1268" s="4" t="inlineStr">
        <is>
          <t>Yes</t>
        </is>
      </c>
    </row>
    <row r="1269">
      <c r="A1269" s="11" t="n">
        <v>45314.25796296296</v>
      </c>
      <c r="B1269" s="4" t="inlineStr">
        <is>
          <t>2024-01</t>
        </is>
      </c>
      <c r="C1269" s="4" t="n">
        <v>253</v>
      </c>
      <c r="D1269" s="9" t="inlineStr">
        <is>
          <t>Meeting Rooms II</t>
        </is>
      </c>
      <c r="E1269" s="4" t="inlineStr">
        <is>
          <t>Medium</t>
        </is>
      </c>
      <c r="F1269" s="4" t="inlineStr">
        <is>
          <t>Intervals &amp; Sweep Line</t>
        </is>
      </c>
      <c r="G1269" s="4" t="inlineStr">
        <is>
          <t>Accepted</t>
        </is>
      </c>
      <c r="H1269" s="4" t="inlineStr">
        <is>
          <t>Python3</t>
        </is>
      </c>
      <c r="I1269" s="4" t="inlineStr">
        <is>
          <t>89 ms</t>
        </is>
      </c>
      <c r="J1269" s="4" t="inlineStr">
        <is>
          <t>20 MB</t>
        </is>
      </c>
      <c r="K1269" s="4" t="n">
        <v>6.7</v>
      </c>
      <c r="L1269" s="4" t="inlineStr">
        <is>
          <t>79/79</t>
        </is>
      </c>
      <c r="M1269" s="9" t="inlineStr">
        <is>
          <t>Submission 1154103319</t>
        </is>
      </c>
      <c r="N1269" s="4" t="inlineStr">
        <is>
          <t>Yes</t>
        </is>
      </c>
    </row>
    <row r="1270">
      <c r="A1270" s="11" t="n">
        <v>45314.26430555555</v>
      </c>
      <c r="B1270" s="4" t="inlineStr">
        <is>
          <t>2024-01</t>
        </is>
      </c>
      <c r="C1270" s="4" t="n">
        <v>253</v>
      </c>
      <c r="D1270" s="9" t="inlineStr">
        <is>
          <t>Meeting Rooms II</t>
        </is>
      </c>
      <c r="E1270" s="4" t="inlineStr">
        <is>
          <t>Medium</t>
        </is>
      </c>
      <c r="F1270" s="4" t="inlineStr">
        <is>
          <t>Intervals &amp; Sweep Line</t>
        </is>
      </c>
      <c r="G1270" s="4" t="inlineStr">
        <is>
          <t>Accepted</t>
        </is>
      </c>
      <c r="H1270" s="4" t="inlineStr">
        <is>
          <t>Python3</t>
        </is>
      </c>
      <c r="I1270" s="4" t="inlineStr">
        <is>
          <t>71 ms</t>
        </is>
      </c>
      <c r="J1270" s="4" t="inlineStr">
        <is>
          <t>20.1 MB</t>
        </is>
      </c>
      <c r="K1270" s="4" t="n">
        <v>6.7</v>
      </c>
      <c r="L1270" s="4" t="inlineStr">
        <is>
          <t>79/79</t>
        </is>
      </c>
      <c r="M1270" s="9" t="inlineStr">
        <is>
          <t>Submission 1154107750</t>
        </is>
      </c>
      <c r="N1270" s="4" t="inlineStr">
        <is>
          <t>Yes</t>
        </is>
      </c>
    </row>
    <row r="1271">
      <c r="A1271" s="11" t="n">
        <v>45314.45179398148</v>
      </c>
      <c r="B1271" s="4" t="inlineStr">
        <is>
          <t>2024-01</t>
        </is>
      </c>
      <c r="C1271" s="4" t="n">
        <v>1944</v>
      </c>
      <c r="D1271" s="9" t="inlineStr">
        <is>
          <t>Number of Visible People in a Queue</t>
        </is>
      </c>
      <c r="E1271" s="4" t="inlineStr">
        <is>
          <t>Hard</t>
        </is>
      </c>
      <c r="F1271" s="4" t="inlineStr">
        <is>
          <t>Monotonic Stack / Deque</t>
        </is>
      </c>
      <c r="G1271" s="4" t="inlineStr">
        <is>
          <t>Accepted</t>
        </is>
      </c>
      <c r="H1271" s="4" t="inlineStr">
        <is>
          <t>Python3</t>
        </is>
      </c>
      <c r="I1271" s="4" t="inlineStr">
        <is>
          <t>735 ms</t>
        </is>
      </c>
      <c r="J1271" s="4" t="inlineStr">
        <is>
          <t>31.9 MB</t>
        </is>
      </c>
      <c r="K1271" s="4" t="n">
        <v>5.1</v>
      </c>
      <c r="L1271" s="4" t="inlineStr">
        <is>
          <t>42/42</t>
        </is>
      </c>
      <c r="M1271" s="9" t="inlineStr">
        <is>
          <t>Submission 1154268527</t>
        </is>
      </c>
      <c r="N1271" s="4" t="inlineStr">
        <is>
          <t>No</t>
        </is>
      </c>
    </row>
    <row r="1272">
      <c r="A1272" s="11" t="n">
        <v>45314.451875</v>
      </c>
      <c r="B1272" s="4" t="inlineStr">
        <is>
          <t>2024-01</t>
        </is>
      </c>
      <c r="C1272" s="4" t="n">
        <v>1944</v>
      </c>
      <c r="D1272" s="9" t="inlineStr">
        <is>
          <t>Number of Visible People in a Queue</t>
        </is>
      </c>
      <c r="E1272" s="4" t="inlineStr">
        <is>
          <t>Hard</t>
        </is>
      </c>
      <c r="F1272" s="4" t="inlineStr">
        <is>
          <t>Monotonic Stack / Deque</t>
        </is>
      </c>
      <c r="G1272" s="4" t="inlineStr">
        <is>
          <t>Accepted</t>
        </is>
      </c>
      <c r="H1272" s="4" t="inlineStr">
        <is>
          <t>Python3</t>
        </is>
      </c>
      <c r="I1272" s="4" t="inlineStr">
        <is>
          <t>766 ms</t>
        </is>
      </c>
      <c r="J1272" s="4" t="inlineStr">
        <is>
          <t>31.8 MB</t>
        </is>
      </c>
      <c r="K1272" s="4" t="n">
        <v>5.1</v>
      </c>
      <c r="L1272" s="4" t="inlineStr">
        <is>
          <t>42/42</t>
        </is>
      </c>
      <c r="M1272" s="9" t="inlineStr">
        <is>
          <t>Submission 1154268618</t>
        </is>
      </c>
      <c r="N1272" s="4" t="inlineStr">
        <is>
          <t>No</t>
        </is>
      </c>
    </row>
    <row r="1273">
      <c r="A1273" s="11" t="n">
        <v>45314.45311342592</v>
      </c>
      <c r="B1273" s="4" t="inlineStr">
        <is>
          <t>2024-01</t>
        </is>
      </c>
      <c r="C1273" s="4" t="n">
        <v>1944</v>
      </c>
      <c r="D1273" s="9" t="inlineStr">
        <is>
          <t>Number of Visible People in a Queue</t>
        </is>
      </c>
      <c r="E1273" s="4" t="inlineStr">
        <is>
          <t>Hard</t>
        </is>
      </c>
      <c r="F1273" s="4" t="inlineStr">
        <is>
          <t>Monotonic Stack / Deque</t>
        </is>
      </c>
      <c r="G1273" s="4" t="inlineStr">
        <is>
          <t>Accepted</t>
        </is>
      </c>
      <c r="H1273" s="4" t="inlineStr">
        <is>
          <t>Python3</t>
        </is>
      </c>
      <c r="I1273" s="4" t="inlineStr">
        <is>
          <t>751 ms</t>
        </is>
      </c>
      <c r="J1273" s="4" t="inlineStr">
        <is>
          <t>32 MB</t>
        </is>
      </c>
      <c r="K1273" s="4" t="n">
        <v>5.1</v>
      </c>
      <c r="L1273" s="4" t="inlineStr">
        <is>
          <t>42/42</t>
        </is>
      </c>
      <c r="M1273" s="9" t="inlineStr">
        <is>
          <t>Submission 1154269872</t>
        </is>
      </c>
      <c r="N1273" s="4" t="inlineStr">
        <is>
          <t>No</t>
        </is>
      </c>
    </row>
    <row r="1274">
      <c r="A1274" s="11" t="n">
        <v>45315.010625</v>
      </c>
      <c r="B1274" s="4" t="inlineStr">
        <is>
          <t>2024-01</t>
        </is>
      </c>
      <c r="C1274" s="4" t="n">
        <v>1186</v>
      </c>
      <c r="D1274" s="9" t="inlineStr">
        <is>
          <t>Maximum Subarray Sum with One Deletion</t>
        </is>
      </c>
      <c r="E1274" s="4" t="inlineStr">
        <is>
          <t>Medium</t>
        </is>
      </c>
      <c r="F1274" s="4" t="inlineStr">
        <is>
          <t>DP: 1D / Linear</t>
        </is>
      </c>
      <c r="G1274" s="4" t="inlineStr">
        <is>
          <t>Wrong Answer</t>
        </is>
      </c>
      <c r="H1274" s="4" t="inlineStr">
        <is>
          <t>Python3</t>
        </is>
      </c>
      <c r="I1274" s="4" t="inlineStr">
        <is>
          <t>N/A</t>
        </is>
      </c>
      <c r="J1274" s="4" t="inlineStr">
        <is>
          <t>N/A</t>
        </is>
      </c>
      <c r="K1274" s="4" t="n"/>
      <c r="L1274" s="4" t="inlineStr">
        <is>
          <t>13/36</t>
        </is>
      </c>
      <c r="M1274" s="9" t="inlineStr">
        <is>
          <t>Submission 1154882252</t>
        </is>
      </c>
      <c r="N1274" s="4" t="inlineStr">
        <is>
          <t>No</t>
        </is>
      </c>
    </row>
    <row r="1275">
      <c r="A1275" s="11" t="n">
        <v>45315.01138888889</v>
      </c>
      <c r="B1275" s="4" t="inlineStr">
        <is>
          <t>2024-01</t>
        </is>
      </c>
      <c r="C1275" s="4" t="n">
        <v>1186</v>
      </c>
      <c r="D1275" s="9" t="inlineStr">
        <is>
          <t>Maximum Subarray Sum with One Deletion</t>
        </is>
      </c>
      <c r="E1275" s="4" t="inlineStr">
        <is>
          <t>Medium</t>
        </is>
      </c>
      <c r="F1275" s="4" t="inlineStr">
        <is>
          <t>DP: 1D / Linear</t>
        </is>
      </c>
      <c r="G1275" s="4" t="inlineStr">
        <is>
          <t>Accepted</t>
        </is>
      </c>
      <c r="H1275" s="4" t="inlineStr">
        <is>
          <t>Python3</t>
        </is>
      </c>
      <c r="I1275" s="4" t="inlineStr">
        <is>
          <t>186 ms</t>
        </is>
      </c>
      <c r="J1275" s="4" t="inlineStr">
        <is>
          <t>26.4 MB</t>
        </is>
      </c>
      <c r="K1275" s="4" t="n">
        <v>5</v>
      </c>
      <c r="L1275" s="4" t="inlineStr">
        <is>
          <t>36/36</t>
        </is>
      </c>
      <c r="M1275" s="9" t="inlineStr">
        <is>
          <t>Submission 1154883219</t>
        </is>
      </c>
      <c r="N1275" s="4" t="inlineStr">
        <is>
          <t>No</t>
        </is>
      </c>
    </row>
    <row r="1276">
      <c r="A1276" s="11" t="n">
        <v>45315.01142361111</v>
      </c>
      <c r="B1276" s="4" t="inlineStr">
        <is>
          <t>2024-01</t>
        </is>
      </c>
      <c r="C1276" s="4" t="n">
        <v>1186</v>
      </c>
      <c r="D1276" s="9" t="inlineStr">
        <is>
          <t>Maximum Subarray Sum with One Deletion</t>
        </is>
      </c>
      <c r="E1276" s="4" t="inlineStr">
        <is>
          <t>Medium</t>
        </is>
      </c>
      <c r="F1276" s="4" t="inlineStr">
        <is>
          <t>DP: 1D / Linear</t>
        </is>
      </c>
      <c r="G1276" s="4" t="inlineStr">
        <is>
          <t>Accepted</t>
        </is>
      </c>
      <c r="H1276" s="4" t="inlineStr">
        <is>
          <t>Python3</t>
        </is>
      </c>
      <c r="I1276" s="4" t="inlineStr">
        <is>
          <t>189 ms</t>
        </is>
      </c>
      <c r="J1276" s="4" t="inlineStr">
        <is>
          <t>26.4 MB</t>
        </is>
      </c>
      <c r="K1276" s="4" t="n">
        <v>5</v>
      </c>
      <c r="L1276" s="4" t="inlineStr">
        <is>
          <t>36/36</t>
        </is>
      </c>
      <c r="M1276" s="9" t="inlineStr">
        <is>
          <t>Submission 1154883274</t>
        </is>
      </c>
      <c r="N1276" s="4" t="inlineStr">
        <is>
          <t>No</t>
        </is>
      </c>
    </row>
    <row r="1277">
      <c r="A1277" s="11" t="n">
        <v>45315.02168981481</v>
      </c>
      <c r="B1277" s="4" t="inlineStr">
        <is>
          <t>2024-01</t>
        </is>
      </c>
      <c r="C1277" s="4" t="n">
        <v>79</v>
      </c>
      <c r="D1277" s="9" t="inlineStr">
        <is>
          <t>Word Search</t>
        </is>
      </c>
      <c r="E1277" s="4" t="inlineStr">
        <is>
          <t>Medium</t>
        </is>
      </c>
      <c r="F1277" s="4" t="inlineStr">
        <is>
          <t>Backtracking</t>
        </is>
      </c>
      <c r="G1277" s="4" t="inlineStr">
        <is>
          <t>Wrong Answer</t>
        </is>
      </c>
      <c r="H1277" s="4" t="inlineStr">
        <is>
          <t>Python3</t>
        </is>
      </c>
      <c r="I1277" s="4" t="inlineStr">
        <is>
          <t>N/A</t>
        </is>
      </c>
      <c r="J1277" s="4" t="inlineStr">
        <is>
          <t>N/A</t>
        </is>
      </c>
      <c r="K1277" s="4" t="n"/>
      <c r="L1277" s="4" t="inlineStr">
        <is>
          <t>86/87</t>
        </is>
      </c>
      <c r="M1277" s="9" t="inlineStr">
        <is>
          <t>Submission 1154895301</t>
        </is>
      </c>
      <c r="N1277" s="4" t="inlineStr">
        <is>
          <t>Yes</t>
        </is>
      </c>
    </row>
    <row r="1278">
      <c r="A1278" s="11" t="n">
        <v>45315.02243055555</v>
      </c>
      <c r="B1278" s="4" t="inlineStr">
        <is>
          <t>2024-01</t>
        </is>
      </c>
      <c r="C1278" s="4" t="n">
        <v>79</v>
      </c>
      <c r="D1278" s="9" t="inlineStr">
        <is>
          <t>Word Search</t>
        </is>
      </c>
      <c r="E1278" s="4" t="inlineStr">
        <is>
          <t>Medium</t>
        </is>
      </c>
      <c r="F1278" s="4" t="inlineStr">
        <is>
          <t>Backtracking</t>
        </is>
      </c>
      <c r="G1278" s="4" t="inlineStr">
        <is>
          <t>Accepted</t>
        </is>
      </c>
      <c r="H1278" s="4" t="inlineStr">
        <is>
          <t>Python3</t>
        </is>
      </c>
      <c r="I1278" s="4" t="inlineStr">
        <is>
          <t>3950 ms</t>
        </is>
      </c>
      <c r="J1278" s="4" t="inlineStr">
        <is>
          <t>16.7 MB</t>
        </is>
      </c>
      <c r="K1278" s="4" t="n">
        <v>47.1</v>
      </c>
      <c r="L1278" s="4" t="inlineStr">
        <is>
          <t>87/87</t>
        </is>
      </c>
      <c r="M1278" s="9" t="inlineStr">
        <is>
          <t>Submission 1154896180</t>
        </is>
      </c>
      <c r="N1278" s="4" t="inlineStr">
        <is>
          <t>Yes</t>
        </is>
      </c>
    </row>
    <row r="1279">
      <c r="A1279" s="11" t="n">
        <v>45315.02353009259</v>
      </c>
      <c r="B1279" s="4" t="inlineStr">
        <is>
          <t>2024-01</t>
        </is>
      </c>
      <c r="C1279" s="4" t="n">
        <v>79</v>
      </c>
      <c r="D1279" s="9" t="inlineStr">
        <is>
          <t>Word Search</t>
        </is>
      </c>
      <c r="E1279" s="4" t="inlineStr">
        <is>
          <t>Medium</t>
        </is>
      </c>
      <c r="F1279" s="4" t="inlineStr">
        <is>
          <t>Backtracking</t>
        </is>
      </c>
      <c r="G1279" s="4" t="inlineStr">
        <is>
          <t>Accepted</t>
        </is>
      </c>
      <c r="H1279" s="4" t="inlineStr">
        <is>
          <t>Python3</t>
        </is>
      </c>
      <c r="I1279" s="4" t="inlineStr">
        <is>
          <t>3924 ms</t>
        </is>
      </c>
      <c r="J1279" s="4" t="inlineStr">
        <is>
          <t>16.8 MB</t>
        </is>
      </c>
      <c r="K1279" s="4" t="n">
        <v>48.1</v>
      </c>
      <c r="L1279" s="4" t="inlineStr">
        <is>
          <t>87/87</t>
        </is>
      </c>
      <c r="M1279" s="9" t="inlineStr">
        <is>
          <t>Submission 1154897535</t>
        </is>
      </c>
      <c r="N1279" s="4" t="inlineStr">
        <is>
          <t>Yes</t>
        </is>
      </c>
    </row>
    <row r="1280">
      <c r="A1280" s="11" t="n">
        <v>45315.02365740741</v>
      </c>
      <c r="B1280" s="4" t="inlineStr">
        <is>
          <t>2024-01</t>
        </is>
      </c>
      <c r="C1280" s="4" t="n">
        <v>79</v>
      </c>
      <c r="D1280" s="9" t="inlineStr">
        <is>
          <t>Word Search</t>
        </is>
      </c>
      <c r="E1280" s="4" t="inlineStr">
        <is>
          <t>Medium</t>
        </is>
      </c>
      <c r="F1280" s="4" t="inlineStr">
        <is>
          <t>Backtracking</t>
        </is>
      </c>
      <c r="G1280" s="4" t="inlineStr">
        <is>
          <t>Accepted</t>
        </is>
      </c>
      <c r="H1280" s="4" t="inlineStr">
        <is>
          <t>Python3</t>
        </is>
      </c>
      <c r="I1280" s="4" t="inlineStr">
        <is>
          <t>4296 ms</t>
        </is>
      </c>
      <c r="J1280" s="4" t="inlineStr">
        <is>
          <t>16.8 MB</t>
        </is>
      </c>
      <c r="K1280" s="4" t="n">
        <v>33.5</v>
      </c>
      <c r="L1280" s="4" t="inlineStr">
        <is>
          <t>87/87</t>
        </is>
      </c>
      <c r="M1280" s="9" t="inlineStr">
        <is>
          <t>Submission 1154897690</t>
        </is>
      </c>
      <c r="N1280" s="4" t="inlineStr">
        <is>
          <t>Yes</t>
        </is>
      </c>
    </row>
    <row r="1281">
      <c r="A1281" s="11" t="n">
        <v>45315.09123842593</v>
      </c>
      <c r="B1281" s="4" t="inlineStr">
        <is>
          <t>2024-01</t>
        </is>
      </c>
      <c r="C1281" s="4" t="n">
        <v>691</v>
      </c>
      <c r="D1281" s="9" t="inlineStr">
        <is>
          <t>Stickers to Spell Word</t>
        </is>
      </c>
      <c r="E1281" s="4" t="inlineStr">
        <is>
          <t>Hard</t>
        </is>
      </c>
      <c r="F1281" s="4" t="inlineStr">
        <is>
          <t>DP: Bitmask</t>
        </is>
      </c>
      <c r="G1281" s="4" t="inlineStr">
        <is>
          <t>Wrong Answer</t>
        </is>
      </c>
      <c r="H1281" s="4" t="inlineStr">
        <is>
          <t>Python3</t>
        </is>
      </c>
      <c r="I1281" s="4" t="inlineStr">
        <is>
          <t>N/A</t>
        </is>
      </c>
      <c r="J1281" s="4" t="inlineStr">
        <is>
          <t>N/A</t>
        </is>
      </c>
      <c r="K1281" s="4" t="n"/>
      <c r="L1281" s="4" t="inlineStr">
        <is>
          <t>7/101</t>
        </is>
      </c>
      <c r="M1281" s="9" t="inlineStr">
        <is>
          <t>Submission 1154965626</t>
        </is>
      </c>
      <c r="N1281" s="4" t="inlineStr">
        <is>
          <t>No</t>
        </is>
      </c>
    </row>
    <row r="1282">
      <c r="A1282" s="11" t="n">
        <v>45315.09902777777</v>
      </c>
      <c r="B1282" s="4" t="inlineStr">
        <is>
          <t>2024-01</t>
        </is>
      </c>
      <c r="C1282" s="4" t="n">
        <v>691</v>
      </c>
      <c r="D1282" s="9" t="inlineStr">
        <is>
          <t>Stickers to Spell Word</t>
        </is>
      </c>
      <c r="E1282" s="4" t="inlineStr">
        <is>
          <t>Hard</t>
        </is>
      </c>
      <c r="F1282" s="4" t="inlineStr">
        <is>
          <t>DP: Bitmask</t>
        </is>
      </c>
      <c r="G1282" s="4" t="inlineStr">
        <is>
          <t>Time Limit Exceeded</t>
        </is>
      </c>
      <c r="H1282" s="4" t="inlineStr">
        <is>
          <t>Python3</t>
        </is>
      </c>
      <c r="I1282" s="4" t="inlineStr">
        <is>
          <t>N/A</t>
        </is>
      </c>
      <c r="J1282" s="4" t="inlineStr">
        <is>
          <t>N/A</t>
        </is>
      </c>
      <c r="K1282" s="4" t="n"/>
      <c r="L1282" s="4" t="inlineStr">
        <is>
          <t>25/101</t>
        </is>
      </c>
      <c r="M1282" s="9" t="inlineStr">
        <is>
          <t>Submission 1154972440</t>
        </is>
      </c>
      <c r="N1282" s="4" t="inlineStr">
        <is>
          <t>No</t>
        </is>
      </c>
    </row>
    <row r="1283">
      <c r="A1283" s="11" t="n">
        <v>45315.09940972222</v>
      </c>
      <c r="B1283" s="4" t="inlineStr">
        <is>
          <t>2024-01</t>
        </is>
      </c>
      <c r="C1283" s="4" t="n">
        <v>691</v>
      </c>
      <c r="D1283" s="9" t="inlineStr">
        <is>
          <t>Stickers to Spell Word</t>
        </is>
      </c>
      <c r="E1283" s="4" t="inlineStr">
        <is>
          <t>Hard</t>
        </is>
      </c>
      <c r="F1283" s="4" t="inlineStr">
        <is>
          <t>DP: Bitmask</t>
        </is>
      </c>
      <c r="G1283" s="4" t="inlineStr">
        <is>
          <t>Time Limit Exceeded</t>
        </is>
      </c>
      <c r="H1283" s="4" t="inlineStr">
        <is>
          <t>Python3</t>
        </is>
      </c>
      <c r="I1283" s="4" t="inlineStr">
        <is>
          <t>N/A</t>
        </is>
      </c>
      <c r="J1283" s="4" t="inlineStr">
        <is>
          <t>N/A</t>
        </is>
      </c>
      <c r="K1283" s="4" t="n"/>
      <c r="L1283" s="4" t="inlineStr">
        <is>
          <t>32/101</t>
        </is>
      </c>
      <c r="M1283" s="9" t="inlineStr">
        <is>
          <t>Submission 1154972762</t>
        </is>
      </c>
      <c r="N1283" s="4" t="inlineStr">
        <is>
          <t>No</t>
        </is>
      </c>
    </row>
    <row r="1284">
      <c r="A1284" s="11" t="n">
        <v>45315.10126157408</v>
      </c>
      <c r="B1284" s="4" t="inlineStr">
        <is>
          <t>2024-01</t>
        </is>
      </c>
      <c r="C1284" s="4" t="n">
        <v>691</v>
      </c>
      <c r="D1284" s="9" t="inlineStr">
        <is>
          <t>Stickers to Spell Word</t>
        </is>
      </c>
      <c r="E1284" s="4" t="inlineStr">
        <is>
          <t>Hard</t>
        </is>
      </c>
      <c r="F1284" s="4" t="inlineStr">
        <is>
          <t>DP: Bitmask</t>
        </is>
      </c>
      <c r="G1284" s="4" t="inlineStr">
        <is>
          <t>Accepted</t>
        </is>
      </c>
      <c r="H1284" s="4" t="inlineStr">
        <is>
          <t>Python3</t>
        </is>
      </c>
      <c r="I1284" s="4" t="inlineStr">
        <is>
          <t>261 ms</t>
        </is>
      </c>
      <c r="J1284" s="4" t="inlineStr">
        <is>
          <t>17.3 MB</t>
        </is>
      </c>
      <c r="K1284" s="4" t="n">
        <v>45.5</v>
      </c>
      <c r="L1284" s="4" t="inlineStr">
        <is>
          <t>101/101</t>
        </is>
      </c>
      <c r="M1284" s="9" t="inlineStr">
        <is>
          <t>Submission 1154974248</t>
        </is>
      </c>
      <c r="N1284" s="4" t="inlineStr">
        <is>
          <t>No</t>
        </is>
      </c>
    </row>
    <row r="1285">
      <c r="A1285" s="11" t="n">
        <v>45315.10503472222</v>
      </c>
      <c r="B1285" s="4" t="inlineStr">
        <is>
          <t>2024-01</t>
        </is>
      </c>
      <c r="C1285" s="4" t="n">
        <v>691</v>
      </c>
      <c r="D1285" s="9" t="inlineStr">
        <is>
          <t>Stickers to Spell Word</t>
        </is>
      </c>
      <c r="E1285" s="4" t="inlineStr">
        <is>
          <t>Hard</t>
        </is>
      </c>
      <c r="F1285" s="4" t="inlineStr">
        <is>
          <t>DP: Bitmask</t>
        </is>
      </c>
      <c r="G1285" s="4" t="inlineStr">
        <is>
          <t>Accepted</t>
        </is>
      </c>
      <c r="H1285" s="4" t="inlineStr">
        <is>
          <t>Python3</t>
        </is>
      </c>
      <c r="I1285" s="4" t="inlineStr">
        <is>
          <t>3421 ms</t>
        </is>
      </c>
      <c r="J1285" s="4" t="inlineStr">
        <is>
          <t>18 MB</t>
        </is>
      </c>
      <c r="K1285" s="4" t="n">
        <v>11.9</v>
      </c>
      <c r="L1285" s="4" t="inlineStr">
        <is>
          <t>101/101</t>
        </is>
      </c>
      <c r="M1285" s="9" t="inlineStr">
        <is>
          <t>Submission 1154977367</t>
        </is>
      </c>
      <c r="N1285" s="4" t="inlineStr">
        <is>
          <t>No</t>
        </is>
      </c>
    </row>
    <row r="1286">
      <c r="A1286" s="11" t="n">
        <v>45315.38758101852</v>
      </c>
      <c r="B1286" s="4" t="inlineStr">
        <is>
          <t>2024-01</t>
        </is>
      </c>
      <c r="C1286" s="4" t="n">
        <v>1060</v>
      </c>
      <c r="D1286" s="9" t="inlineStr">
        <is>
          <t>Missing Element in Sorted Array</t>
        </is>
      </c>
      <c r="E1286" s="4" t="inlineStr">
        <is>
          <t>Medium</t>
        </is>
      </c>
      <c r="F1286" s="4" t="inlineStr">
        <is>
          <t>Binary Search</t>
        </is>
      </c>
      <c r="G1286" s="4" t="inlineStr">
        <is>
          <t>Accepted</t>
        </is>
      </c>
      <c r="H1286" s="4" t="inlineStr">
        <is>
          <t>Python3</t>
        </is>
      </c>
      <c r="I1286" s="4" t="inlineStr">
        <is>
          <t>218 ms</t>
        </is>
      </c>
      <c r="J1286" s="4" t="inlineStr">
        <is>
          <t>22.4 MB</t>
        </is>
      </c>
      <c r="K1286" s="4" t="n">
        <v>5.8</v>
      </c>
      <c r="L1286" s="4" t="inlineStr">
        <is>
          <t>37/37</t>
        </is>
      </c>
      <c r="M1286" s="9" t="inlineStr">
        <is>
          <t>Submission 1155179452</t>
        </is>
      </c>
      <c r="N1286" s="4" t="inlineStr">
        <is>
          <t>No</t>
        </is>
      </c>
    </row>
    <row r="1287">
      <c r="A1287" s="11" t="n">
        <v>45316.94416666667</v>
      </c>
      <c r="B1287" s="4" t="inlineStr">
        <is>
          <t>2024-01</t>
        </is>
      </c>
      <c r="C1287" s="4" t="n">
        <v>647</v>
      </c>
      <c r="D1287" s="9" t="inlineStr">
        <is>
          <t>Palindromic Substrings</t>
        </is>
      </c>
      <c r="E1287" s="4" t="inlineStr">
        <is>
          <t>Medium</t>
        </is>
      </c>
      <c r="F1287" s="4" t="inlineStr">
        <is>
          <t>Two Pointers</t>
        </is>
      </c>
      <c r="G1287" s="4" t="inlineStr">
        <is>
          <t>Output Limit Exceeded</t>
        </is>
      </c>
      <c r="H1287" s="4" t="inlineStr">
        <is>
          <t>Python3</t>
        </is>
      </c>
      <c r="I1287" s="4" t="inlineStr">
        <is>
          <t>N/A</t>
        </is>
      </c>
      <c r="J1287" s="4" t="inlineStr">
        <is>
          <t>N/A</t>
        </is>
      </c>
      <c r="K1287" s="4" t="n"/>
      <c r="L1287" s="4" t="inlineStr">
        <is>
          <t>128/130</t>
        </is>
      </c>
      <c r="M1287" s="9" t="inlineStr">
        <is>
          <t>Submission 1156665634</t>
        </is>
      </c>
      <c r="N1287" s="4" t="inlineStr">
        <is>
          <t>Yes</t>
        </is>
      </c>
    </row>
    <row r="1288">
      <c r="A1288" s="11" t="n">
        <v>45316.94424768518</v>
      </c>
      <c r="B1288" s="4" t="inlineStr">
        <is>
          <t>2024-01</t>
        </is>
      </c>
      <c r="C1288" s="4" t="n">
        <v>647</v>
      </c>
      <c r="D1288" s="9" t="inlineStr">
        <is>
          <t>Palindromic Substrings</t>
        </is>
      </c>
      <c r="E1288" s="4" t="inlineStr">
        <is>
          <t>Medium</t>
        </is>
      </c>
      <c r="F1288" s="4" t="inlineStr">
        <is>
          <t>Two Pointers</t>
        </is>
      </c>
      <c r="G1288" s="4" t="inlineStr">
        <is>
          <t>Accepted</t>
        </is>
      </c>
      <c r="H1288" s="4" t="inlineStr">
        <is>
          <t>Python3</t>
        </is>
      </c>
      <c r="I1288" s="4" t="inlineStr">
        <is>
          <t>4932 ms</t>
        </is>
      </c>
      <c r="J1288" s="4" t="inlineStr">
        <is>
          <t>213.3 MB</t>
        </is>
      </c>
      <c r="K1288" s="4" t="n">
        <v>5</v>
      </c>
      <c r="L1288" s="4" t="inlineStr">
        <is>
          <t>130/130</t>
        </is>
      </c>
      <c r="M1288" s="9" t="inlineStr">
        <is>
          <t>Submission 1156665756</t>
        </is>
      </c>
      <c r="N1288" s="4" t="inlineStr">
        <is>
          <t>Yes</t>
        </is>
      </c>
    </row>
    <row r="1289">
      <c r="A1289" s="11" t="n">
        <v>45316.96203703704</v>
      </c>
      <c r="B1289" s="4" t="inlineStr">
        <is>
          <t>2024-01</t>
        </is>
      </c>
      <c r="C1289" s="4" t="n">
        <v>647</v>
      </c>
      <c r="D1289" s="9" t="inlineStr">
        <is>
          <t>Palindromic Substrings</t>
        </is>
      </c>
      <c r="E1289" s="4" t="inlineStr">
        <is>
          <t>Medium</t>
        </is>
      </c>
      <c r="F1289" s="4" t="inlineStr">
        <is>
          <t>Two Pointers</t>
        </is>
      </c>
      <c r="G1289" s="4" t="inlineStr">
        <is>
          <t>Accepted</t>
        </is>
      </c>
      <c r="H1289" s="4" t="inlineStr">
        <is>
          <t>Python3</t>
        </is>
      </c>
      <c r="I1289" s="4" t="inlineStr">
        <is>
          <t>149 ms</t>
        </is>
      </c>
      <c r="J1289" s="4" t="inlineStr">
        <is>
          <t>24.5 MB</t>
        </is>
      </c>
      <c r="K1289" s="4" t="n">
        <v>35.1</v>
      </c>
      <c r="L1289" s="4" t="inlineStr">
        <is>
          <t>130/130</t>
        </is>
      </c>
      <c r="M1289" s="9" t="inlineStr">
        <is>
          <t>Submission 1156688848</t>
        </is>
      </c>
      <c r="N1289" s="4" t="inlineStr">
        <is>
          <t>Yes</t>
        </is>
      </c>
    </row>
    <row r="1290">
      <c r="A1290" s="11" t="n">
        <v>45316.9678587963</v>
      </c>
      <c r="B1290" s="4" t="inlineStr">
        <is>
          <t>2024-01</t>
        </is>
      </c>
      <c r="C1290" s="4" t="n">
        <v>825</v>
      </c>
      <c r="D1290" s="9" t="inlineStr">
        <is>
          <t>Friends Of Appropriate Ages</t>
        </is>
      </c>
      <c r="E1290" s="4" t="inlineStr">
        <is>
          <t>Medium</t>
        </is>
      </c>
      <c r="F1290" s="4" t="inlineStr">
        <is>
          <t>Arrays, Hashing &amp; Sorting</t>
        </is>
      </c>
      <c r="G1290" s="4" t="inlineStr">
        <is>
          <t>Accepted</t>
        </is>
      </c>
      <c r="H1290" s="4" t="inlineStr">
        <is>
          <t>Python3</t>
        </is>
      </c>
      <c r="I1290" s="4" t="inlineStr">
        <is>
          <t>293 ms</t>
        </is>
      </c>
      <c r="J1290" s="4" t="inlineStr">
        <is>
          <t>17.6 MB</t>
        </is>
      </c>
      <c r="K1290" s="4" t="n">
        <v>6.2</v>
      </c>
      <c r="L1290" s="4" t="inlineStr">
        <is>
          <t>89/89</t>
        </is>
      </c>
      <c r="M1290" s="9" t="inlineStr">
        <is>
          <t>Submission 1156696705</t>
        </is>
      </c>
      <c r="N1290" s="4" t="inlineStr">
        <is>
          <t>No</t>
        </is>
      </c>
    </row>
    <row r="1291">
      <c r="A1291" s="11" t="n">
        <v>45316.99880787037</v>
      </c>
      <c r="B1291" s="4" t="inlineStr">
        <is>
          <t>2024-01</t>
        </is>
      </c>
      <c r="C1291" s="4" t="n">
        <v>139</v>
      </c>
      <c r="D1291" s="9" t="inlineStr">
        <is>
          <t>Word Break</t>
        </is>
      </c>
      <c r="E1291" s="4" t="inlineStr">
        <is>
          <t>Medium</t>
        </is>
      </c>
      <c r="F1291" s="4" t="inlineStr">
        <is>
          <t>DP: 1D / Linear</t>
        </is>
      </c>
      <c r="G1291" s="4" t="inlineStr">
        <is>
          <t>Accepted</t>
        </is>
      </c>
      <c r="H1291" s="4" t="inlineStr">
        <is>
          <t>Python3</t>
        </is>
      </c>
      <c r="I1291" s="4" t="inlineStr">
        <is>
          <t>37 ms</t>
        </is>
      </c>
      <c r="J1291" s="4" t="inlineStr">
        <is>
          <t>17.6 MB</t>
        </is>
      </c>
      <c r="K1291" s="4" t="n">
        <v>5.2</v>
      </c>
      <c r="L1291" s="4" t="inlineStr">
        <is>
          <t>46/46</t>
        </is>
      </c>
      <c r="M1291" s="9" t="inlineStr">
        <is>
          <t>Submission 1156737925</t>
        </is>
      </c>
      <c r="N1291" s="4" t="inlineStr">
        <is>
          <t>Yes</t>
        </is>
      </c>
    </row>
    <row r="1292">
      <c r="A1292" s="11" t="n">
        <v>45316.99885416667</v>
      </c>
      <c r="B1292" s="4" t="inlineStr">
        <is>
          <t>2024-01</t>
        </is>
      </c>
      <c r="C1292" s="4" t="n">
        <v>139</v>
      </c>
      <c r="D1292" s="9" t="inlineStr">
        <is>
          <t>Word Break</t>
        </is>
      </c>
      <c r="E1292" s="4" t="inlineStr">
        <is>
          <t>Medium</t>
        </is>
      </c>
      <c r="F1292" s="4" t="inlineStr">
        <is>
          <t>DP: 1D / Linear</t>
        </is>
      </c>
      <c r="G1292" s="4" t="inlineStr">
        <is>
          <t>Accepted</t>
        </is>
      </c>
      <c r="H1292" s="4" t="inlineStr">
        <is>
          <t>Python3</t>
        </is>
      </c>
      <c r="I1292" s="4" t="inlineStr">
        <is>
          <t>33 ms</t>
        </is>
      </c>
      <c r="J1292" s="4" t="inlineStr">
        <is>
          <t>17.6 MB</t>
        </is>
      </c>
      <c r="K1292" s="4" t="n">
        <v>5.2</v>
      </c>
      <c r="L1292" s="4" t="inlineStr">
        <is>
          <t>46/46</t>
        </is>
      </c>
      <c r="M1292" s="9" t="inlineStr">
        <is>
          <t>Submission 1156737982</t>
        </is>
      </c>
      <c r="N1292" s="4" t="inlineStr">
        <is>
          <t>Yes</t>
        </is>
      </c>
    </row>
    <row r="1293">
      <c r="A1293" s="11" t="n">
        <v>45317.0165625</v>
      </c>
      <c r="B1293" s="4" t="inlineStr">
        <is>
          <t>2024-01</t>
        </is>
      </c>
      <c r="C1293" s="4" t="n">
        <v>139</v>
      </c>
      <c r="D1293" s="9" t="inlineStr">
        <is>
          <t>Word Break</t>
        </is>
      </c>
      <c r="E1293" s="4" t="inlineStr">
        <is>
          <t>Medium</t>
        </is>
      </c>
      <c r="F1293" s="4" t="inlineStr">
        <is>
          <t>DP: 1D / Linear</t>
        </is>
      </c>
      <c r="G1293" s="4" t="inlineStr">
        <is>
          <t>Accepted</t>
        </is>
      </c>
      <c r="H1293" s="4" t="inlineStr">
        <is>
          <t>Python3</t>
        </is>
      </c>
      <c r="I1293" s="4" t="inlineStr">
        <is>
          <t>50 ms</t>
        </is>
      </c>
      <c r="J1293" s="4" t="inlineStr">
        <is>
          <t>17.8 MB</t>
        </is>
      </c>
      <c r="K1293" s="4" t="n">
        <v>5.2</v>
      </c>
      <c r="L1293" s="4" t="inlineStr">
        <is>
          <t>46/46</t>
        </is>
      </c>
      <c r="M1293" s="9" t="inlineStr">
        <is>
          <t>Submission 1156758926</t>
        </is>
      </c>
      <c r="N1293" s="4" t="inlineStr">
        <is>
          <t>Yes</t>
        </is>
      </c>
    </row>
    <row r="1294">
      <c r="A1294" s="11" t="n">
        <v>45317.03510416667</v>
      </c>
      <c r="B1294" s="4" t="inlineStr">
        <is>
          <t>2024-01</t>
        </is>
      </c>
      <c r="C1294" s="4" t="n">
        <v>140</v>
      </c>
      <c r="D1294" s="9" t="inlineStr">
        <is>
          <t>Word Break II</t>
        </is>
      </c>
      <c r="E1294" s="4" t="inlineStr">
        <is>
          <t>Hard</t>
        </is>
      </c>
      <c r="F1294" s="4" t="inlineStr">
        <is>
          <t>Backtracking</t>
        </is>
      </c>
      <c r="G1294" s="4" t="inlineStr">
        <is>
          <t>Accepted</t>
        </is>
      </c>
      <c r="H1294" s="4" t="inlineStr">
        <is>
          <t>Python3</t>
        </is>
      </c>
      <c r="I1294" s="4" t="inlineStr">
        <is>
          <t>41 ms</t>
        </is>
      </c>
      <c r="J1294" s="4" t="inlineStr">
        <is>
          <t>17 MB</t>
        </is>
      </c>
      <c r="K1294" s="4" t="n">
        <v>0.3</v>
      </c>
      <c r="L1294" s="4" t="inlineStr">
        <is>
          <t>27/27</t>
        </is>
      </c>
      <c r="M1294" s="9" t="inlineStr">
        <is>
          <t>Submission 1156779065</t>
        </is>
      </c>
      <c r="N1294" s="4" t="inlineStr">
        <is>
          <t>Yes</t>
        </is>
      </c>
    </row>
    <row r="1295">
      <c r="A1295" s="11" t="n">
        <v>45317.0894675926</v>
      </c>
      <c r="B1295" s="4" t="inlineStr">
        <is>
          <t>2024-01</t>
        </is>
      </c>
      <c r="C1295" s="4" t="n">
        <v>953</v>
      </c>
      <c r="D1295" s="9" t="inlineStr">
        <is>
          <t>Verifying an Alien Dictionary</t>
        </is>
      </c>
      <c r="E1295" s="4" t="inlineStr">
        <is>
          <t>Easy</t>
        </is>
      </c>
      <c r="F1295" s="4" t="inlineStr">
        <is>
          <t>Arrays, Hashing &amp; Sorting</t>
        </is>
      </c>
      <c r="G1295" s="4" t="inlineStr">
        <is>
          <t>Accepted</t>
        </is>
      </c>
      <c r="H1295" s="4" t="inlineStr">
        <is>
          <t>Python3</t>
        </is>
      </c>
      <c r="I1295" s="4" t="inlineStr">
        <is>
          <t>43 ms</t>
        </is>
      </c>
      <c r="J1295" s="4" t="inlineStr">
        <is>
          <t>16.6 MB</t>
        </is>
      </c>
      <c r="K1295" s="4" t="n">
        <v>1.2</v>
      </c>
      <c r="L1295" s="4" t="inlineStr">
        <is>
          <t>125/125</t>
        </is>
      </c>
      <c r="M1295" s="9" t="inlineStr">
        <is>
          <t>Submission 1156830185</t>
        </is>
      </c>
      <c r="N1295" s="4" t="inlineStr">
        <is>
          <t>No</t>
        </is>
      </c>
    </row>
    <row r="1296">
      <c r="A1296" s="11" t="n">
        <v>45317.1752662037</v>
      </c>
      <c r="B1296" s="4" t="inlineStr">
        <is>
          <t>2024-01</t>
        </is>
      </c>
      <c r="C1296" s="4" t="n">
        <v>2365</v>
      </c>
      <c r="D1296" s="9" t="inlineStr">
        <is>
          <t>Task Scheduler II</t>
        </is>
      </c>
      <c r="E1296" s="4" t="inlineStr">
        <is>
          <t>Medium</t>
        </is>
      </c>
      <c r="F1296" s="4" t="inlineStr">
        <is>
          <t>Arrays, Hashing &amp; Sorting</t>
        </is>
      </c>
      <c r="G1296" s="4" t="inlineStr">
        <is>
          <t>Time Limit Exceeded</t>
        </is>
      </c>
      <c r="H1296" s="4" t="inlineStr">
        <is>
          <t>Python3</t>
        </is>
      </c>
      <c r="I1296" s="4" t="inlineStr">
        <is>
          <t>N/A</t>
        </is>
      </c>
      <c r="J1296" s="4" t="inlineStr">
        <is>
          <t>N/A</t>
        </is>
      </c>
      <c r="K1296" s="4" t="n"/>
      <c r="L1296" s="4" t="inlineStr">
        <is>
          <t>57/61</t>
        </is>
      </c>
      <c r="M1296" s="9" t="inlineStr">
        <is>
          <t>Submission 1156893619</t>
        </is>
      </c>
      <c r="N1296" s="4" t="inlineStr">
        <is>
          <t>No</t>
        </is>
      </c>
    </row>
    <row r="1297">
      <c r="A1297" s="11" t="n">
        <v>45317.18597222222</v>
      </c>
      <c r="B1297" s="4" t="inlineStr">
        <is>
          <t>2024-01</t>
        </is>
      </c>
      <c r="C1297" s="4" t="n">
        <v>695</v>
      </c>
      <c r="D1297" s="9" t="inlineStr">
        <is>
          <t>Max Area of Island</t>
        </is>
      </c>
      <c r="E1297" s="4" t="inlineStr">
        <is>
          <t>Medium</t>
        </is>
      </c>
      <c r="F1297" s="4" t="inlineStr">
        <is>
          <t>Graph: Grid BFS/DFS</t>
        </is>
      </c>
      <c r="G1297" s="4" t="inlineStr">
        <is>
          <t>Time Limit Exceeded</t>
        </is>
      </c>
      <c r="H1297" s="4" t="inlineStr">
        <is>
          <t>Python3</t>
        </is>
      </c>
      <c r="I1297" s="4" t="inlineStr">
        <is>
          <t>N/A</t>
        </is>
      </c>
      <c r="J1297" s="4" t="inlineStr">
        <is>
          <t>N/A</t>
        </is>
      </c>
      <c r="K1297" s="4" t="n"/>
      <c r="L1297" s="4" t="inlineStr">
        <is>
          <t>727/728</t>
        </is>
      </c>
      <c r="M1297" s="9" t="inlineStr">
        <is>
          <t>Submission 1156900767</t>
        </is>
      </c>
      <c r="N1297" s="4" t="inlineStr">
        <is>
          <t>Yes</t>
        </is>
      </c>
    </row>
    <row r="1298">
      <c r="A1298" s="11" t="n">
        <v>45317.18622685185</v>
      </c>
      <c r="B1298" s="4" t="inlineStr">
        <is>
          <t>2024-01</t>
        </is>
      </c>
      <c r="C1298" s="4" t="n">
        <v>695</v>
      </c>
      <c r="D1298" s="9" t="inlineStr">
        <is>
          <t>Max Area of Island</t>
        </is>
      </c>
      <c r="E1298" s="4" t="inlineStr">
        <is>
          <t>Medium</t>
        </is>
      </c>
      <c r="F1298" s="4" t="inlineStr">
        <is>
          <t>Graph: Grid BFS/DFS</t>
        </is>
      </c>
      <c r="G1298" s="4" t="inlineStr">
        <is>
          <t>Accepted</t>
        </is>
      </c>
      <c r="H1298" s="4" t="inlineStr">
        <is>
          <t>Python3</t>
        </is>
      </c>
      <c r="I1298" s="4" t="inlineStr">
        <is>
          <t>125 ms</t>
        </is>
      </c>
      <c r="J1298" s="4" t="inlineStr">
        <is>
          <t>19.4 MB</t>
        </is>
      </c>
      <c r="K1298" s="4" t="n">
        <v>5.4</v>
      </c>
      <c r="L1298" s="4" t="inlineStr">
        <is>
          <t>728/728</t>
        </is>
      </c>
      <c r="M1298" s="9" t="inlineStr">
        <is>
          <t>Submission 1156900936</t>
        </is>
      </c>
      <c r="N1298" s="4" t="inlineStr">
        <is>
          <t>Yes</t>
        </is>
      </c>
    </row>
    <row r="1299">
      <c r="A1299" s="11" t="n">
        <v>45317.18864583333</v>
      </c>
      <c r="B1299" s="4" t="inlineStr">
        <is>
          <t>2024-01</t>
        </is>
      </c>
      <c r="C1299" s="4" t="n">
        <v>695</v>
      </c>
      <c r="D1299" s="9" t="inlineStr">
        <is>
          <t>Max Area of Island</t>
        </is>
      </c>
      <c r="E1299" s="4" t="inlineStr">
        <is>
          <t>Medium</t>
        </is>
      </c>
      <c r="F1299" s="4" t="inlineStr">
        <is>
          <t>Graph: Grid BFS/DFS</t>
        </is>
      </c>
      <c r="G1299" s="4" t="inlineStr">
        <is>
          <t>Time Limit Exceeded</t>
        </is>
      </c>
      <c r="H1299" s="4" t="inlineStr">
        <is>
          <t>Python3</t>
        </is>
      </c>
      <c r="I1299" s="4" t="inlineStr">
        <is>
          <t>N/A</t>
        </is>
      </c>
      <c r="J1299" s="4" t="inlineStr">
        <is>
          <t>N/A</t>
        </is>
      </c>
      <c r="K1299" s="4" t="n"/>
      <c r="L1299" s="4" t="inlineStr">
        <is>
          <t>727/728</t>
        </is>
      </c>
      <c r="M1299" s="9" t="inlineStr">
        <is>
          <t>Submission 1156902497</t>
        </is>
      </c>
      <c r="N1299" s="4" t="inlineStr">
        <is>
          <t>Yes</t>
        </is>
      </c>
    </row>
    <row r="1300">
      <c r="A1300" s="11" t="n">
        <v>45317.32827546296</v>
      </c>
      <c r="B1300" s="4" t="inlineStr">
        <is>
          <t>2024-01</t>
        </is>
      </c>
      <c r="C1300" s="4" t="n">
        <v>1539</v>
      </c>
      <c r="D1300" s="9" t="inlineStr">
        <is>
          <t>Kth Missing Positive Number</t>
        </is>
      </c>
      <c r="E1300" s="4" t="inlineStr">
        <is>
          <t>Easy</t>
        </is>
      </c>
      <c r="F1300" s="4" t="inlineStr">
        <is>
          <t>Binary Search</t>
        </is>
      </c>
      <c r="G1300" s="4" t="inlineStr">
        <is>
          <t>Accepted</t>
        </is>
      </c>
      <c r="H1300" s="4" t="inlineStr">
        <is>
          <t>Python3</t>
        </is>
      </c>
      <c r="I1300" s="4" t="inlineStr">
        <is>
          <t>51 ms</t>
        </is>
      </c>
      <c r="J1300" s="4" t="inlineStr">
        <is>
          <t>16.9 MB</t>
        </is>
      </c>
      <c r="K1300" s="4" t="n">
        <v>17</v>
      </c>
      <c r="L1300" s="4" t="inlineStr">
        <is>
          <t>86/86</t>
        </is>
      </c>
      <c r="M1300" s="9" t="inlineStr">
        <is>
          <t>Submission 1156988662</t>
        </is>
      </c>
      <c r="N1300" s="4" t="inlineStr">
        <is>
          <t>No</t>
        </is>
      </c>
    </row>
    <row r="1301">
      <c r="A1301" s="11" t="n">
        <v>45317.32916666667</v>
      </c>
      <c r="B1301" s="4" t="inlineStr">
        <is>
          <t>2024-01</t>
        </is>
      </c>
      <c r="C1301" s="4" t="n">
        <v>1539</v>
      </c>
      <c r="D1301" s="9" t="inlineStr">
        <is>
          <t>Kth Missing Positive Number</t>
        </is>
      </c>
      <c r="E1301" s="4" t="inlineStr">
        <is>
          <t>Easy</t>
        </is>
      </c>
      <c r="F1301" s="4" t="inlineStr">
        <is>
          <t>Binary Search</t>
        </is>
      </c>
      <c r="G1301" s="4" t="inlineStr">
        <is>
          <t>Accepted</t>
        </is>
      </c>
      <c r="H1301" s="4" t="inlineStr">
        <is>
          <t>Python3</t>
        </is>
      </c>
      <c r="I1301" s="4" t="inlineStr">
        <is>
          <t>57 ms</t>
        </is>
      </c>
      <c r="J1301" s="4" t="inlineStr">
        <is>
          <t>16.7 MB</t>
        </is>
      </c>
      <c r="K1301" s="4" t="n">
        <v>16.6</v>
      </c>
      <c r="L1301" s="4" t="inlineStr">
        <is>
          <t>86/86</t>
        </is>
      </c>
      <c r="M1301" s="9" t="inlineStr">
        <is>
          <t>Submission 1156989236</t>
        </is>
      </c>
      <c r="N1301" s="4" t="inlineStr">
        <is>
          <t>No</t>
        </is>
      </c>
    </row>
    <row r="1302">
      <c r="A1302" s="11" t="n">
        <v>45317.41548611111</v>
      </c>
      <c r="B1302" s="4" t="inlineStr">
        <is>
          <t>2024-01</t>
        </is>
      </c>
      <c r="C1302" s="4" t="n">
        <v>480</v>
      </c>
      <c r="D1302" s="9" t="inlineStr">
        <is>
          <t>Sliding Window Median</t>
        </is>
      </c>
      <c r="E1302" s="4" t="inlineStr">
        <is>
          <t>Hard</t>
        </is>
      </c>
      <c r="F1302" s="4" t="inlineStr">
        <is>
          <t>Heap / Top-K</t>
        </is>
      </c>
      <c r="G1302" s="4" t="inlineStr">
        <is>
          <t>Accepted</t>
        </is>
      </c>
      <c r="H1302" s="4" t="inlineStr">
        <is>
          <t>Python3</t>
        </is>
      </c>
      <c r="I1302" s="4" t="inlineStr">
        <is>
          <t>701 ms</t>
        </is>
      </c>
      <c r="J1302" s="4" t="inlineStr">
        <is>
          <t>26.8 MB</t>
        </is>
      </c>
      <c r="K1302" s="4" t="n">
        <v>6.1</v>
      </c>
      <c r="L1302" s="4" t="inlineStr">
        <is>
          <t>43/43</t>
        </is>
      </c>
      <c r="M1302" s="9" t="inlineStr">
        <is>
          <t>Submission 1157053663</t>
        </is>
      </c>
      <c r="N1302" s="4" t="inlineStr">
        <is>
          <t>No</t>
        </is>
      </c>
    </row>
    <row r="1303">
      <c r="A1303" s="11" t="n">
        <v>45318.06092592593</v>
      </c>
      <c r="B1303" s="4" t="inlineStr">
        <is>
          <t>2024-01</t>
        </is>
      </c>
      <c r="C1303" s="4" t="n">
        <v>163</v>
      </c>
      <c r="D1303" s="9" t="inlineStr">
        <is>
          <t>Missing Ranges</t>
        </is>
      </c>
      <c r="E1303" s="4" t="inlineStr">
        <is>
          <t>Easy</t>
        </is>
      </c>
      <c r="F1303" s="4" t="inlineStr">
        <is>
          <t>Arrays, Hashing &amp; Sorting</t>
        </is>
      </c>
      <c r="G1303" s="4" t="inlineStr">
        <is>
          <t>Wrong Answer</t>
        </is>
      </c>
      <c r="H1303" s="4" t="inlineStr">
        <is>
          <t>Python3</t>
        </is>
      </c>
      <c r="I1303" s="4" t="inlineStr">
        <is>
          <t>N/A</t>
        </is>
      </c>
      <c r="J1303" s="4" t="inlineStr">
        <is>
          <t>N/A</t>
        </is>
      </c>
      <c r="K1303" s="4" t="n"/>
      <c r="L1303" s="4" t="inlineStr">
        <is>
          <t>32/39</t>
        </is>
      </c>
      <c r="M1303" s="9" t="inlineStr">
        <is>
          <t>Submission 1157722737</t>
        </is>
      </c>
      <c r="N1303" s="4" t="inlineStr">
        <is>
          <t>No</t>
        </is>
      </c>
    </row>
    <row r="1304">
      <c r="A1304" s="11" t="n">
        <v>45318.06158564815</v>
      </c>
      <c r="B1304" s="4" t="inlineStr">
        <is>
          <t>2024-01</t>
        </is>
      </c>
      <c r="C1304" s="4" t="n">
        <v>163</v>
      </c>
      <c r="D1304" s="9" t="inlineStr">
        <is>
          <t>Missing Ranges</t>
        </is>
      </c>
      <c r="E1304" s="4" t="inlineStr">
        <is>
          <t>Easy</t>
        </is>
      </c>
      <c r="F1304" s="4" t="inlineStr">
        <is>
          <t>Arrays, Hashing &amp; Sorting</t>
        </is>
      </c>
      <c r="G1304" s="4" t="inlineStr">
        <is>
          <t>Wrong Answer</t>
        </is>
      </c>
      <c r="H1304" s="4" t="inlineStr">
        <is>
          <t>Python3</t>
        </is>
      </c>
      <c r="I1304" s="4" t="inlineStr">
        <is>
          <t>N/A</t>
        </is>
      </c>
      <c r="J1304" s="4" t="inlineStr">
        <is>
          <t>N/A</t>
        </is>
      </c>
      <c r="K1304" s="4" t="n"/>
      <c r="L1304" s="4" t="inlineStr">
        <is>
          <t>33/39</t>
        </is>
      </c>
      <c r="M1304" s="9" t="inlineStr">
        <is>
          <t>Submission 1157723377</t>
        </is>
      </c>
      <c r="N1304" s="4" t="inlineStr">
        <is>
          <t>No</t>
        </is>
      </c>
    </row>
    <row r="1305">
      <c r="A1305" s="11" t="n">
        <v>45318.06317129629</v>
      </c>
      <c r="B1305" s="4" t="inlineStr">
        <is>
          <t>2024-01</t>
        </is>
      </c>
      <c r="C1305" s="4" t="n">
        <v>163</v>
      </c>
      <c r="D1305" s="9" t="inlineStr">
        <is>
          <t>Missing Ranges</t>
        </is>
      </c>
      <c r="E1305" s="4" t="inlineStr">
        <is>
          <t>Easy</t>
        </is>
      </c>
      <c r="F1305" s="4" t="inlineStr">
        <is>
          <t>Arrays, Hashing &amp; Sorting</t>
        </is>
      </c>
      <c r="G1305" s="4" t="inlineStr">
        <is>
          <t>Accepted</t>
        </is>
      </c>
      <c r="H1305" s="4" t="inlineStr">
        <is>
          <t>Python3</t>
        </is>
      </c>
      <c r="I1305" s="4" t="inlineStr">
        <is>
          <t>26 ms</t>
        </is>
      </c>
      <c r="J1305" s="4" t="inlineStr">
        <is>
          <t>16.5 MB</t>
        </is>
      </c>
      <c r="K1305" s="4" t="n">
        <v>0</v>
      </c>
      <c r="L1305" s="4" t="inlineStr">
        <is>
          <t>39/39</t>
        </is>
      </c>
      <c r="M1305" s="9" t="inlineStr">
        <is>
          <t>Submission 1157724802</t>
        </is>
      </c>
      <c r="N1305" s="4" t="inlineStr">
        <is>
          <t>No</t>
        </is>
      </c>
    </row>
    <row r="1306">
      <c r="A1306" s="11" t="n">
        <v>45318.0640162037</v>
      </c>
      <c r="B1306" s="4" t="inlineStr">
        <is>
          <t>2024-01</t>
        </is>
      </c>
      <c r="C1306" s="4" t="n">
        <v>163</v>
      </c>
      <c r="D1306" s="9" t="inlineStr">
        <is>
          <t>Missing Ranges</t>
        </is>
      </c>
      <c r="E1306" s="4" t="inlineStr">
        <is>
          <t>Easy</t>
        </is>
      </c>
      <c r="F1306" s="4" t="inlineStr">
        <is>
          <t>Arrays, Hashing &amp; Sorting</t>
        </is>
      </c>
      <c r="G1306" s="4" t="inlineStr">
        <is>
          <t>Accepted</t>
        </is>
      </c>
      <c r="H1306" s="4" t="inlineStr">
        <is>
          <t>Python3</t>
        </is>
      </c>
      <c r="I1306" s="4" t="inlineStr">
        <is>
          <t>34 ms</t>
        </is>
      </c>
      <c r="J1306" s="4" t="inlineStr">
        <is>
          <t>16.4 MB</t>
        </is>
      </c>
      <c r="K1306" s="4" t="n">
        <v>0</v>
      </c>
      <c r="L1306" s="4" t="inlineStr">
        <is>
          <t>39/39</t>
        </is>
      </c>
      <c r="M1306" s="9" t="inlineStr">
        <is>
          <t>Submission 1157725597</t>
        </is>
      </c>
      <c r="N1306" s="4" t="inlineStr">
        <is>
          <t>No</t>
        </is>
      </c>
    </row>
    <row r="1307">
      <c r="A1307" s="11" t="n">
        <v>45318.09054398148</v>
      </c>
      <c r="B1307" s="4" t="inlineStr">
        <is>
          <t>2024-01</t>
        </is>
      </c>
      <c r="C1307" s="4" t="n">
        <v>212</v>
      </c>
      <c r="D1307" s="9" t="inlineStr">
        <is>
          <t>Word Search II</t>
        </is>
      </c>
      <c r="E1307" s="4" t="inlineStr">
        <is>
          <t>Hard</t>
        </is>
      </c>
      <c r="F1307" s="4" t="inlineStr">
        <is>
          <t>Trie</t>
        </is>
      </c>
      <c r="G1307" s="4" t="inlineStr">
        <is>
          <t>Wrong Answer</t>
        </is>
      </c>
      <c r="H1307" s="4" t="inlineStr">
        <is>
          <t>Python3</t>
        </is>
      </c>
      <c r="I1307" s="4" t="inlineStr">
        <is>
          <t>N/A</t>
        </is>
      </c>
      <c r="J1307" s="4" t="inlineStr">
        <is>
          <t>N/A</t>
        </is>
      </c>
      <c r="K1307" s="4" t="n"/>
      <c r="L1307" s="4" t="inlineStr">
        <is>
          <t>32/65</t>
        </is>
      </c>
      <c r="M1307" s="9" t="inlineStr">
        <is>
          <t>Submission 1157747996</t>
        </is>
      </c>
      <c r="N1307" s="4" t="inlineStr">
        <is>
          <t>Yes</t>
        </is>
      </c>
    </row>
    <row r="1308">
      <c r="A1308" s="11" t="n">
        <v>45318.09137731481</v>
      </c>
      <c r="B1308" s="4" t="inlineStr">
        <is>
          <t>2024-01</t>
        </is>
      </c>
      <c r="C1308" s="4" t="n">
        <v>212</v>
      </c>
      <c r="D1308" s="9" t="inlineStr">
        <is>
          <t>Word Search II</t>
        </is>
      </c>
      <c r="E1308" s="4" t="inlineStr">
        <is>
          <t>Hard</t>
        </is>
      </c>
      <c r="F1308" s="4" t="inlineStr">
        <is>
          <t>Trie</t>
        </is>
      </c>
      <c r="G1308" s="4" t="inlineStr">
        <is>
          <t>Wrong Answer</t>
        </is>
      </c>
      <c r="H1308" s="4" t="inlineStr">
        <is>
          <t>Python3</t>
        </is>
      </c>
      <c r="I1308" s="4" t="inlineStr">
        <is>
          <t>N/A</t>
        </is>
      </c>
      <c r="J1308" s="4" t="inlineStr">
        <is>
          <t>N/A</t>
        </is>
      </c>
      <c r="K1308" s="4" t="n"/>
      <c r="L1308" s="4" t="inlineStr">
        <is>
          <t>36/65</t>
        </is>
      </c>
      <c r="M1308" s="9" t="inlineStr">
        <is>
          <t>Submission 1157748687</t>
        </is>
      </c>
      <c r="N1308" s="4" t="inlineStr">
        <is>
          <t>Yes</t>
        </is>
      </c>
    </row>
    <row r="1309">
      <c r="A1309" s="11" t="n">
        <v>45318.09177083334</v>
      </c>
      <c r="B1309" s="4" t="inlineStr">
        <is>
          <t>2024-01</t>
        </is>
      </c>
      <c r="C1309" s="4" t="n">
        <v>212</v>
      </c>
      <c r="D1309" s="9" t="inlineStr">
        <is>
          <t>Word Search II</t>
        </is>
      </c>
      <c r="E1309" s="4" t="inlineStr">
        <is>
          <t>Hard</t>
        </is>
      </c>
      <c r="F1309" s="4" t="inlineStr">
        <is>
          <t>Trie</t>
        </is>
      </c>
      <c r="G1309" s="4" t="inlineStr">
        <is>
          <t>Wrong Answer</t>
        </is>
      </c>
      <c r="H1309" s="4" t="inlineStr">
        <is>
          <t>Python3</t>
        </is>
      </c>
      <c r="I1309" s="4" t="inlineStr">
        <is>
          <t>N/A</t>
        </is>
      </c>
      <c r="J1309" s="4" t="inlineStr">
        <is>
          <t>N/A</t>
        </is>
      </c>
      <c r="K1309" s="4" t="n"/>
      <c r="L1309" s="4" t="inlineStr">
        <is>
          <t>32/65</t>
        </is>
      </c>
      <c r="M1309" s="9" t="inlineStr">
        <is>
          <t>Submission 1157749014</t>
        </is>
      </c>
      <c r="N1309" s="4" t="inlineStr">
        <is>
          <t>Yes</t>
        </is>
      </c>
    </row>
    <row r="1310">
      <c r="A1310" s="11" t="n">
        <v>45318.09230324074</v>
      </c>
      <c r="B1310" s="4" t="inlineStr">
        <is>
          <t>2024-01</t>
        </is>
      </c>
      <c r="C1310" s="4" t="n">
        <v>212</v>
      </c>
      <c r="D1310" s="9" t="inlineStr">
        <is>
          <t>Word Search II</t>
        </is>
      </c>
      <c r="E1310" s="4" t="inlineStr">
        <is>
          <t>Hard</t>
        </is>
      </c>
      <c r="F1310" s="4" t="inlineStr">
        <is>
          <t>Trie</t>
        </is>
      </c>
      <c r="G1310" s="4" t="inlineStr">
        <is>
          <t>Wrong Answer</t>
        </is>
      </c>
      <c r="H1310" s="4" t="inlineStr">
        <is>
          <t>Python3</t>
        </is>
      </c>
      <c r="I1310" s="4" t="inlineStr">
        <is>
          <t>N/A</t>
        </is>
      </c>
      <c r="J1310" s="4" t="inlineStr">
        <is>
          <t>N/A</t>
        </is>
      </c>
      <c r="K1310" s="4" t="n"/>
      <c r="L1310" s="4" t="inlineStr">
        <is>
          <t>36/65</t>
        </is>
      </c>
      <c r="M1310" s="9" t="inlineStr">
        <is>
          <t>Submission 1157749411</t>
        </is>
      </c>
      <c r="N1310" s="4" t="inlineStr">
        <is>
          <t>Yes</t>
        </is>
      </c>
    </row>
    <row r="1311">
      <c r="A1311" s="11" t="n">
        <v>45318.09247685185</v>
      </c>
      <c r="B1311" s="4" t="inlineStr">
        <is>
          <t>2024-01</t>
        </is>
      </c>
      <c r="C1311" s="4" t="n">
        <v>212</v>
      </c>
      <c r="D1311" s="9" t="inlineStr">
        <is>
          <t>Word Search II</t>
        </is>
      </c>
      <c r="E1311" s="4" t="inlineStr">
        <is>
          <t>Hard</t>
        </is>
      </c>
      <c r="F1311" s="4" t="inlineStr">
        <is>
          <t>Trie</t>
        </is>
      </c>
      <c r="G1311" s="4" t="inlineStr">
        <is>
          <t>Wrong Answer</t>
        </is>
      </c>
      <c r="H1311" s="4" t="inlineStr">
        <is>
          <t>Python3</t>
        </is>
      </c>
      <c r="I1311" s="4" t="inlineStr">
        <is>
          <t>N/A</t>
        </is>
      </c>
      <c r="J1311" s="4" t="inlineStr">
        <is>
          <t>N/A</t>
        </is>
      </c>
      <c r="K1311" s="4" t="n"/>
      <c r="L1311" s="4" t="inlineStr">
        <is>
          <t>36/65</t>
        </is>
      </c>
      <c r="M1311" s="9" t="inlineStr">
        <is>
          <t>Submission 1157749556</t>
        </is>
      </c>
      <c r="N1311" s="4" t="inlineStr">
        <is>
          <t>Yes</t>
        </is>
      </c>
    </row>
    <row r="1312">
      <c r="A1312" s="11" t="n">
        <v>45318.09467592592</v>
      </c>
      <c r="B1312" s="4" t="inlineStr">
        <is>
          <t>2024-01</t>
        </is>
      </c>
      <c r="C1312" s="4" t="n">
        <v>212</v>
      </c>
      <c r="D1312" s="9" t="inlineStr">
        <is>
          <t>Word Search II</t>
        </is>
      </c>
      <c r="E1312" s="4" t="inlineStr">
        <is>
          <t>Hard</t>
        </is>
      </c>
      <c r="F1312" s="4" t="inlineStr">
        <is>
          <t>Trie</t>
        </is>
      </c>
      <c r="G1312" s="4" t="inlineStr">
        <is>
          <t>Wrong Answer</t>
        </is>
      </c>
      <c r="H1312" s="4" t="inlineStr">
        <is>
          <t>Python3</t>
        </is>
      </c>
      <c r="I1312" s="4" t="inlineStr">
        <is>
          <t>N/A</t>
        </is>
      </c>
      <c r="J1312" s="4" t="inlineStr">
        <is>
          <t>N/A</t>
        </is>
      </c>
      <c r="K1312" s="4" t="n"/>
      <c r="L1312" s="4" t="inlineStr">
        <is>
          <t>44/65</t>
        </is>
      </c>
      <c r="M1312" s="9" t="inlineStr">
        <is>
          <t>Submission 1157751358</t>
        </is>
      </c>
      <c r="N1312" s="4" t="inlineStr">
        <is>
          <t>Yes</t>
        </is>
      </c>
    </row>
    <row r="1313">
      <c r="A1313" s="11" t="n">
        <v>45318.10042824074</v>
      </c>
      <c r="B1313" s="4" t="inlineStr">
        <is>
          <t>2024-01</t>
        </is>
      </c>
      <c r="C1313" s="4" t="n">
        <v>212</v>
      </c>
      <c r="D1313" s="9" t="inlineStr">
        <is>
          <t>Word Search II</t>
        </is>
      </c>
      <c r="E1313" s="4" t="inlineStr">
        <is>
          <t>Hard</t>
        </is>
      </c>
      <c r="F1313" s="4" t="inlineStr">
        <is>
          <t>Trie</t>
        </is>
      </c>
      <c r="G1313" s="4" t="inlineStr">
        <is>
          <t>Time Limit Exceeded</t>
        </is>
      </c>
      <c r="H1313" s="4" t="inlineStr">
        <is>
          <t>Python3</t>
        </is>
      </c>
      <c r="I1313" s="4" t="inlineStr">
        <is>
          <t>N/A</t>
        </is>
      </c>
      <c r="J1313" s="4" t="inlineStr">
        <is>
          <t>N/A</t>
        </is>
      </c>
      <c r="K1313" s="4" t="n"/>
      <c r="L1313" s="4" t="inlineStr">
        <is>
          <t>42/65</t>
        </is>
      </c>
      <c r="M1313" s="9" t="inlineStr">
        <is>
          <t>Submission 1157755766</t>
        </is>
      </c>
      <c r="N1313" s="4" t="inlineStr">
        <is>
          <t>Yes</t>
        </is>
      </c>
    </row>
    <row r="1314">
      <c r="A1314" s="11" t="n">
        <v>45318.10744212963</v>
      </c>
      <c r="B1314" s="4" t="inlineStr">
        <is>
          <t>2024-01</t>
        </is>
      </c>
      <c r="C1314" s="4" t="n">
        <v>212</v>
      </c>
      <c r="D1314" s="9" t="inlineStr">
        <is>
          <t>Word Search II</t>
        </is>
      </c>
      <c r="E1314" s="4" t="inlineStr">
        <is>
          <t>Hard</t>
        </is>
      </c>
      <c r="F1314" s="4" t="inlineStr">
        <is>
          <t>Trie</t>
        </is>
      </c>
      <c r="G1314" s="4" t="inlineStr">
        <is>
          <t>Wrong Answer</t>
        </is>
      </c>
      <c r="H1314" s="4" t="inlineStr">
        <is>
          <t>Python3</t>
        </is>
      </c>
      <c r="I1314" s="4" t="inlineStr">
        <is>
          <t>N/A</t>
        </is>
      </c>
      <c r="J1314" s="4" t="inlineStr">
        <is>
          <t>N/A</t>
        </is>
      </c>
      <c r="K1314" s="4" t="n"/>
      <c r="L1314" s="4" t="inlineStr">
        <is>
          <t>64/65</t>
        </is>
      </c>
      <c r="M1314" s="9" t="inlineStr">
        <is>
          <t>Submission 1157761029</t>
        </is>
      </c>
      <c r="N1314" s="4" t="inlineStr">
        <is>
          <t>Yes</t>
        </is>
      </c>
    </row>
    <row r="1315">
      <c r="A1315" s="11" t="n">
        <v>45318.10907407408</v>
      </c>
      <c r="B1315" s="4" t="inlineStr">
        <is>
          <t>2024-01</t>
        </is>
      </c>
      <c r="C1315" s="4" t="n">
        <v>212</v>
      </c>
      <c r="D1315" s="9" t="inlineStr">
        <is>
          <t>Word Search II</t>
        </is>
      </c>
      <c r="E1315" s="4" t="inlineStr">
        <is>
          <t>Hard</t>
        </is>
      </c>
      <c r="F1315" s="4" t="inlineStr">
        <is>
          <t>Trie</t>
        </is>
      </c>
      <c r="G1315" s="4" t="inlineStr">
        <is>
          <t>Accepted</t>
        </is>
      </c>
      <c r="H1315" s="4" t="inlineStr">
        <is>
          <t>Python3</t>
        </is>
      </c>
      <c r="I1315" s="4" t="inlineStr">
        <is>
          <t>6720 ms</t>
        </is>
      </c>
      <c r="J1315" s="4" t="inlineStr">
        <is>
          <t>18.6 MB</t>
        </is>
      </c>
      <c r="K1315" s="4" t="n">
        <v>16.6</v>
      </c>
      <c r="L1315" s="4" t="inlineStr">
        <is>
          <t>65/65</t>
        </is>
      </c>
      <c r="M1315" s="9" t="inlineStr">
        <is>
          <t>Submission 1157762230</t>
        </is>
      </c>
      <c r="N1315" s="4" t="inlineStr">
        <is>
          <t>Yes</t>
        </is>
      </c>
    </row>
    <row r="1316">
      <c r="A1316" s="11" t="n">
        <v>45318.13751157407</v>
      </c>
      <c r="B1316" s="4" t="inlineStr">
        <is>
          <t>2024-01</t>
        </is>
      </c>
      <c r="C1316" s="4" t="n">
        <v>140</v>
      </c>
      <c r="D1316" s="9" t="inlineStr">
        <is>
          <t>Word Break II</t>
        </is>
      </c>
      <c r="E1316" s="4" t="inlineStr">
        <is>
          <t>Hard</t>
        </is>
      </c>
      <c r="F1316" s="4" t="inlineStr">
        <is>
          <t>Backtracking</t>
        </is>
      </c>
      <c r="G1316" s="4" t="inlineStr">
        <is>
          <t>Accepted</t>
        </is>
      </c>
      <c r="H1316" s="4" t="inlineStr">
        <is>
          <t>Python3</t>
        </is>
      </c>
      <c r="I1316" s="4" t="inlineStr">
        <is>
          <t>38 ms</t>
        </is>
      </c>
      <c r="J1316" s="4" t="inlineStr">
        <is>
          <t>17.2 MB</t>
        </is>
      </c>
      <c r="K1316" s="4" t="n">
        <v>0.3</v>
      </c>
      <c r="L1316" s="4" t="inlineStr">
        <is>
          <t>27/27</t>
        </is>
      </c>
      <c r="M1316" s="9" t="inlineStr">
        <is>
          <t>Submission 1157782018</t>
        </is>
      </c>
      <c r="N1316" s="4" t="inlineStr">
        <is>
          <t>Yes</t>
        </is>
      </c>
    </row>
    <row r="1317">
      <c r="A1317" s="11" t="n">
        <v>45318.13796296297</v>
      </c>
      <c r="B1317" s="4" t="inlineStr">
        <is>
          <t>2024-01</t>
        </is>
      </c>
      <c r="C1317" s="4" t="n">
        <v>140</v>
      </c>
      <c r="D1317" s="9" t="inlineStr">
        <is>
          <t>Word Break II</t>
        </is>
      </c>
      <c r="E1317" s="4" t="inlineStr">
        <is>
          <t>Hard</t>
        </is>
      </c>
      <c r="F1317" s="4" t="inlineStr">
        <is>
          <t>Backtracking</t>
        </is>
      </c>
      <c r="G1317" s="4" t="inlineStr">
        <is>
          <t>Accepted</t>
        </is>
      </c>
      <c r="H1317" s="4" t="inlineStr">
        <is>
          <t>Python3</t>
        </is>
      </c>
      <c r="I1317" s="4" t="inlineStr">
        <is>
          <t>34 ms</t>
        </is>
      </c>
      <c r="J1317" s="4" t="inlineStr">
        <is>
          <t>17.1 MB</t>
        </is>
      </c>
      <c r="K1317" s="4" t="n">
        <v>0.3</v>
      </c>
      <c r="L1317" s="4" t="inlineStr">
        <is>
          <t>27/27</t>
        </is>
      </c>
      <c r="M1317" s="9" t="inlineStr">
        <is>
          <t>Submission 1157782336</t>
        </is>
      </c>
      <c r="N1317" s="4" t="inlineStr">
        <is>
          <t>Yes</t>
        </is>
      </c>
    </row>
    <row r="1318">
      <c r="A1318" s="11" t="n">
        <v>45318.38810185185</v>
      </c>
      <c r="B1318" s="4" t="inlineStr">
        <is>
          <t>2024-01</t>
        </is>
      </c>
      <c r="C1318" s="4" t="n">
        <v>1424</v>
      </c>
      <c r="D1318" s="9" t="inlineStr">
        <is>
          <t>Diagonal Traverse II</t>
        </is>
      </c>
      <c r="E1318" s="4" t="inlineStr">
        <is>
          <t>Medium</t>
        </is>
      </c>
      <c r="F1318" s="4" t="inlineStr">
        <is>
          <t>Arrays, Hashing &amp; Sorting</t>
        </is>
      </c>
      <c r="G1318" s="4" t="inlineStr">
        <is>
          <t>Accepted</t>
        </is>
      </c>
      <c r="H1318" s="4" t="inlineStr">
        <is>
          <t>Python3</t>
        </is>
      </c>
      <c r="I1318" s="4" t="inlineStr">
        <is>
          <t>655 ms</t>
        </is>
      </c>
      <c r="J1318" s="4" t="inlineStr">
        <is>
          <t>37 MB</t>
        </is>
      </c>
      <c r="K1318" s="4" t="n">
        <v>5.3</v>
      </c>
      <c r="L1318" s="4" t="inlineStr">
        <is>
          <t>56/56</t>
        </is>
      </c>
      <c r="M1318" s="9" t="inlineStr">
        <is>
          <t>Submission 1157919798</t>
        </is>
      </c>
      <c r="N1318" s="4" t="inlineStr">
        <is>
          <t>No</t>
        </is>
      </c>
    </row>
    <row r="1319">
      <c r="A1319" s="11" t="n">
        <v>45318.39160879629</v>
      </c>
      <c r="B1319" s="4" t="inlineStr">
        <is>
          <t>2024-01</t>
        </is>
      </c>
      <c r="C1319" s="4" t="n">
        <v>778</v>
      </c>
      <c r="D1319" s="9" t="inlineStr">
        <is>
          <t>Swim in Rising Water</t>
        </is>
      </c>
      <c r="E1319" s="4" t="inlineStr">
        <is>
          <t>Hard</t>
        </is>
      </c>
      <c r="F1319" s="4" t="inlineStr">
        <is>
          <t>Graph: Shortest Path</t>
        </is>
      </c>
      <c r="G1319" s="4" t="inlineStr">
        <is>
          <t>Time Limit Exceeded</t>
        </is>
      </c>
      <c r="H1319" s="4" t="inlineStr">
        <is>
          <t>Python3</t>
        </is>
      </c>
      <c r="I1319" s="4" t="inlineStr">
        <is>
          <t>N/A</t>
        </is>
      </c>
      <c r="J1319" s="4" t="inlineStr">
        <is>
          <t>N/A</t>
        </is>
      </c>
      <c r="K1319" s="4" t="n"/>
      <c r="L1319" s="4" t="inlineStr">
        <is>
          <t>21/43</t>
        </is>
      </c>
      <c r="M1319" s="9" t="inlineStr">
        <is>
          <t>Submission 1157922059</t>
        </is>
      </c>
      <c r="N1319" s="4" t="inlineStr">
        <is>
          <t>No</t>
        </is>
      </c>
    </row>
    <row r="1320">
      <c r="A1320" s="11" t="n">
        <v>45318.39193287037</v>
      </c>
      <c r="B1320" s="4" t="inlineStr">
        <is>
          <t>2024-01</t>
        </is>
      </c>
      <c r="C1320" s="4" t="n">
        <v>778</v>
      </c>
      <c r="D1320" s="9" t="inlineStr">
        <is>
          <t>Swim in Rising Water</t>
        </is>
      </c>
      <c r="E1320" s="4" t="inlineStr">
        <is>
          <t>Hard</t>
        </is>
      </c>
      <c r="F1320" s="4" t="inlineStr">
        <is>
          <t>Graph: Shortest Path</t>
        </is>
      </c>
      <c r="G1320" s="4" t="inlineStr">
        <is>
          <t>Accepted</t>
        </is>
      </c>
      <c r="H1320" s="4" t="inlineStr">
        <is>
          <t>Python3</t>
        </is>
      </c>
      <c r="I1320" s="4" t="inlineStr">
        <is>
          <t>166 ms</t>
        </is>
      </c>
      <c r="J1320" s="4" t="inlineStr">
        <is>
          <t>18.2 MB</t>
        </is>
      </c>
      <c r="K1320" s="4" t="n">
        <v>5</v>
      </c>
      <c r="L1320" s="4" t="inlineStr">
        <is>
          <t>43/43</t>
        </is>
      </c>
      <c r="M1320" s="9" t="inlineStr">
        <is>
          <t>Submission 1157922288</t>
        </is>
      </c>
      <c r="N1320" s="4" t="inlineStr">
        <is>
          <t>No</t>
        </is>
      </c>
    </row>
    <row r="1321">
      <c r="A1321" s="11" t="n">
        <v>45318.45364583333</v>
      </c>
      <c r="B1321" s="4" t="inlineStr">
        <is>
          <t>2024-01</t>
        </is>
      </c>
      <c r="C1321" s="4" t="n">
        <v>17</v>
      </c>
      <c r="D1321" s="9" t="inlineStr">
        <is>
          <t>Letter Combinations of a Phone Number</t>
        </is>
      </c>
      <c r="E1321" s="4" t="inlineStr">
        <is>
          <t>Medium</t>
        </is>
      </c>
      <c r="F1321" s="4" t="inlineStr">
        <is>
          <t>Backtracking</t>
        </is>
      </c>
      <c r="G1321" s="4" t="inlineStr">
        <is>
          <t>Accepted</t>
        </is>
      </c>
      <c r="H1321" s="4" t="inlineStr">
        <is>
          <t>Python3</t>
        </is>
      </c>
      <c r="I1321" s="4" t="inlineStr">
        <is>
          <t>28 ms</t>
        </is>
      </c>
      <c r="J1321" s="4" t="inlineStr">
        <is>
          <t>16.6 MB</t>
        </is>
      </c>
      <c r="K1321" s="4" t="n">
        <v>0.1</v>
      </c>
      <c r="L1321" s="4" t="inlineStr">
        <is>
          <t>25/25</t>
        </is>
      </c>
      <c r="M1321" s="9" t="inlineStr">
        <is>
          <t>Submission 1157970096</t>
        </is>
      </c>
      <c r="N1321" s="4" t="inlineStr">
        <is>
          <t>Yes</t>
        </is>
      </c>
    </row>
    <row r="1322">
      <c r="A1322" s="11" t="n">
        <v>45318.93127314815</v>
      </c>
      <c r="B1322" s="4" t="inlineStr">
        <is>
          <t>2024-01</t>
        </is>
      </c>
      <c r="C1322" s="4" t="n">
        <v>1004</v>
      </c>
      <c r="D1322" s="9" t="inlineStr">
        <is>
          <t>Max Consecutive Ones III</t>
        </is>
      </c>
      <c r="E1322" s="4" t="inlineStr">
        <is>
          <t>Medium</t>
        </is>
      </c>
      <c r="F1322" s="4" t="inlineStr">
        <is>
          <t>Sliding Window</t>
        </is>
      </c>
      <c r="G1322" s="4" t="inlineStr">
        <is>
          <t>Accepted</t>
        </is>
      </c>
      <c r="H1322" s="4" t="inlineStr">
        <is>
          <t>Python3</t>
        </is>
      </c>
      <c r="I1322" s="4" t="inlineStr">
        <is>
          <t>724 ms</t>
        </is>
      </c>
      <c r="J1322" s="4" t="inlineStr">
        <is>
          <t>17.6 MB</t>
        </is>
      </c>
      <c r="K1322" s="4" t="n">
        <v>5.1</v>
      </c>
      <c r="L1322" s="4" t="inlineStr">
        <is>
          <t>55/55</t>
        </is>
      </c>
      <c r="M1322" s="9" t="inlineStr">
        <is>
          <t>Submission 1158417154</t>
        </is>
      </c>
      <c r="N1322" s="4" t="inlineStr">
        <is>
          <t>No</t>
        </is>
      </c>
    </row>
    <row r="1323">
      <c r="A1323" s="11" t="n">
        <v>45318.95361111111</v>
      </c>
      <c r="B1323" s="4" t="inlineStr">
        <is>
          <t>2024-01</t>
        </is>
      </c>
      <c r="C1323" s="4" t="n">
        <v>20</v>
      </c>
      <c r="D1323" s="9" t="inlineStr">
        <is>
          <t>Valid Parentheses</t>
        </is>
      </c>
      <c r="E1323" s="4" t="inlineStr">
        <is>
          <t>Easy</t>
        </is>
      </c>
      <c r="F1323" s="4" t="inlineStr">
        <is>
          <t>Stack</t>
        </is>
      </c>
      <c r="G1323" s="4" t="inlineStr">
        <is>
          <t>Accepted</t>
        </is>
      </c>
      <c r="H1323" s="4" t="inlineStr">
        <is>
          <t>Python3</t>
        </is>
      </c>
      <c r="I1323" s="4" t="inlineStr">
        <is>
          <t>40 ms</t>
        </is>
      </c>
      <c r="J1323" s="4" t="inlineStr">
        <is>
          <t>16.6 MB</t>
        </is>
      </c>
      <c r="K1323" s="4" t="n">
        <v>3.7</v>
      </c>
      <c r="L1323" s="4" t="inlineStr">
        <is>
          <t>96/96</t>
        </is>
      </c>
      <c r="M1323" s="9" t="inlineStr">
        <is>
          <t>Submission 1158444134</t>
        </is>
      </c>
      <c r="N1323" s="4" t="inlineStr">
        <is>
          <t>Yes</t>
        </is>
      </c>
    </row>
    <row r="1324">
      <c r="A1324" s="11" t="n">
        <v>45319.029375</v>
      </c>
      <c r="B1324" s="4" t="inlineStr">
        <is>
          <t>2024-01</t>
        </is>
      </c>
      <c r="C1324" s="4" t="n">
        <v>658</v>
      </c>
      <c r="D1324" s="9" t="inlineStr">
        <is>
          <t>Find K Closest Elements</t>
        </is>
      </c>
      <c r="E1324" s="4" t="inlineStr">
        <is>
          <t>Medium</t>
        </is>
      </c>
      <c r="F1324" s="4" t="inlineStr">
        <is>
          <t>Binary Search</t>
        </is>
      </c>
      <c r="G1324" s="4" t="inlineStr">
        <is>
          <t>Runtime Error</t>
        </is>
      </c>
      <c r="H1324" s="4" t="inlineStr">
        <is>
          <t>Python3</t>
        </is>
      </c>
      <c r="I1324" s="4" t="inlineStr">
        <is>
          <t>N/A</t>
        </is>
      </c>
      <c r="J1324" s="4" t="inlineStr">
        <is>
          <t>N/A</t>
        </is>
      </c>
      <c r="K1324" s="4" t="n"/>
      <c r="L1324" s="4" t="inlineStr">
        <is>
          <t>6/69</t>
        </is>
      </c>
      <c r="M1324" s="9" t="inlineStr">
        <is>
          <t>Submission 1158532712</t>
        </is>
      </c>
      <c r="N1324" s="4" t="inlineStr">
        <is>
          <t>Yes</t>
        </is>
      </c>
    </row>
    <row r="1325">
      <c r="A1325" s="11" t="n">
        <v>45319.11879629629</v>
      </c>
      <c r="B1325" s="4" t="inlineStr">
        <is>
          <t>2024-01</t>
        </is>
      </c>
      <c r="C1325" s="4" t="n">
        <v>692</v>
      </c>
      <c r="D1325" s="9" t="inlineStr">
        <is>
          <t>Top K Frequent Words</t>
        </is>
      </c>
      <c r="E1325" s="4" t="inlineStr">
        <is>
          <t>Medium</t>
        </is>
      </c>
      <c r="F1325" s="4" t="inlineStr">
        <is>
          <t>Heap / Top-K</t>
        </is>
      </c>
      <c r="G1325" s="4" t="inlineStr">
        <is>
          <t>Wrong Answer</t>
        </is>
      </c>
      <c r="H1325" s="4" t="inlineStr">
        <is>
          <t>Python3</t>
        </is>
      </c>
      <c r="I1325" s="4" t="inlineStr">
        <is>
          <t>N/A</t>
        </is>
      </c>
      <c r="J1325" s="4" t="inlineStr">
        <is>
          <t>N/A</t>
        </is>
      </c>
      <c r="K1325" s="4" t="n"/>
      <c r="L1325" s="4" t="inlineStr">
        <is>
          <t>31/110</t>
        </is>
      </c>
      <c r="M1325" s="9" t="inlineStr">
        <is>
          <t>Submission 1158610943</t>
        </is>
      </c>
      <c r="N1325" s="4" t="inlineStr">
        <is>
          <t>No</t>
        </is>
      </c>
    </row>
    <row r="1326">
      <c r="A1326" s="11" t="n">
        <v>45319.29091435186</v>
      </c>
      <c r="B1326" s="4" t="inlineStr">
        <is>
          <t>2024-01</t>
        </is>
      </c>
      <c r="C1326" s="4" t="n">
        <v>523</v>
      </c>
      <c r="D1326" s="9" t="inlineStr">
        <is>
          <t>Continuous Subarray Sum</t>
        </is>
      </c>
      <c r="E1326" s="4" t="inlineStr">
        <is>
          <t>Medium</t>
        </is>
      </c>
      <c r="F1326" s="4" t="inlineStr">
        <is>
          <t>Prefix Sum &amp; Difference Array</t>
        </is>
      </c>
      <c r="G1326" s="4" t="inlineStr">
        <is>
          <t>Wrong Answer</t>
        </is>
      </c>
      <c r="H1326" s="4" t="inlineStr">
        <is>
          <t>Python3</t>
        </is>
      </c>
      <c r="I1326" s="4" t="inlineStr">
        <is>
          <t>N/A</t>
        </is>
      </c>
      <c r="J1326" s="4" t="inlineStr">
        <is>
          <t>N/A</t>
        </is>
      </c>
      <c r="K1326" s="4" t="n"/>
      <c r="L1326" s="4" t="inlineStr">
        <is>
          <t>70/99</t>
        </is>
      </c>
      <c r="M1326" s="9" t="inlineStr">
        <is>
          <t>Submission 1158719599</t>
        </is>
      </c>
      <c r="N1326" s="4" t="inlineStr">
        <is>
          <t>No</t>
        </is>
      </c>
    </row>
    <row r="1327">
      <c r="A1327" s="11" t="n">
        <v>45319.29128472223</v>
      </c>
      <c r="B1327" s="4" t="inlineStr">
        <is>
          <t>2024-01</t>
        </is>
      </c>
      <c r="C1327" s="4" t="n">
        <v>523</v>
      </c>
      <c r="D1327" s="9" t="inlineStr">
        <is>
          <t>Continuous Subarray Sum</t>
        </is>
      </c>
      <c r="E1327" s="4" t="inlineStr">
        <is>
          <t>Medium</t>
        </is>
      </c>
      <c r="F1327" s="4" t="inlineStr">
        <is>
          <t>Prefix Sum &amp; Difference Array</t>
        </is>
      </c>
      <c r="G1327" s="4" t="inlineStr">
        <is>
          <t>Accepted</t>
        </is>
      </c>
      <c r="H1327" s="4" t="inlineStr">
        <is>
          <t>Python3</t>
        </is>
      </c>
      <c r="I1327" s="4" t="inlineStr">
        <is>
          <t>836 ms</t>
        </is>
      </c>
      <c r="J1327" s="4" t="inlineStr">
        <is>
          <t>37.8 MB</t>
        </is>
      </c>
      <c r="K1327" s="4" t="n"/>
      <c r="L1327" s="4" t="inlineStr"/>
      <c r="M1327" s="9" t="inlineStr">
        <is>
          <t>Submission 1158719802</t>
        </is>
      </c>
      <c r="N1327" s="4" t="inlineStr">
        <is>
          <t>No</t>
        </is>
      </c>
    </row>
    <row r="1328">
      <c r="A1328" s="11" t="n">
        <v>45319.29150462963</v>
      </c>
      <c r="B1328" s="4" t="inlineStr">
        <is>
          <t>2024-01</t>
        </is>
      </c>
      <c r="C1328" s="4" t="n">
        <v>523</v>
      </c>
      <c r="D1328" s="9" t="inlineStr">
        <is>
          <t>Continuous Subarray Sum</t>
        </is>
      </c>
      <c r="E1328" s="4" t="inlineStr">
        <is>
          <t>Medium</t>
        </is>
      </c>
      <c r="F1328" s="4" t="inlineStr">
        <is>
          <t>Prefix Sum &amp; Difference Array</t>
        </is>
      </c>
      <c r="G1328" s="4" t="inlineStr">
        <is>
          <t>Wrong Answer</t>
        </is>
      </c>
      <c r="H1328" s="4" t="inlineStr">
        <is>
          <t>Python3</t>
        </is>
      </c>
      <c r="I1328" s="4" t="inlineStr">
        <is>
          <t>N/A</t>
        </is>
      </c>
      <c r="J1328" s="4" t="inlineStr">
        <is>
          <t>N/A</t>
        </is>
      </c>
      <c r="K1328" s="4" t="n"/>
      <c r="L1328" s="4" t="inlineStr">
        <is>
          <t>70/99</t>
        </is>
      </c>
      <c r="M1328" s="9" t="inlineStr">
        <is>
          <t>Submission 1158719929</t>
        </is>
      </c>
      <c r="N1328" s="4" t="inlineStr">
        <is>
          <t>No</t>
        </is>
      </c>
    </row>
    <row r="1329">
      <c r="A1329" s="11" t="n">
        <v>45319.2937037037</v>
      </c>
      <c r="B1329" s="4" t="inlineStr">
        <is>
          <t>2024-01</t>
        </is>
      </c>
      <c r="C1329" s="4" t="n">
        <v>523</v>
      </c>
      <c r="D1329" s="9" t="inlineStr">
        <is>
          <t>Continuous Subarray Sum</t>
        </is>
      </c>
      <c r="E1329" s="4" t="inlineStr">
        <is>
          <t>Medium</t>
        </is>
      </c>
      <c r="F1329" s="4" t="inlineStr">
        <is>
          <t>Prefix Sum &amp; Difference Array</t>
        </is>
      </c>
      <c r="G1329" s="4" t="inlineStr">
        <is>
          <t>Output Limit Exceeded</t>
        </is>
      </c>
      <c r="H1329" s="4" t="inlineStr">
        <is>
          <t>Python3</t>
        </is>
      </c>
      <c r="I1329" s="4" t="inlineStr">
        <is>
          <t>N/A</t>
        </is>
      </c>
      <c r="J1329" s="4" t="inlineStr">
        <is>
          <t>N/A</t>
        </is>
      </c>
      <c r="K1329" s="4" t="n"/>
      <c r="L1329" s="4" t="inlineStr">
        <is>
          <t>79/99</t>
        </is>
      </c>
      <c r="M1329" s="9" t="inlineStr">
        <is>
          <t>Submission 1158721132</t>
        </is>
      </c>
      <c r="N1329" s="4" t="inlineStr">
        <is>
          <t>No</t>
        </is>
      </c>
    </row>
    <row r="1330">
      <c r="A1330" s="11" t="n">
        <v>45319.29383101852</v>
      </c>
      <c r="B1330" s="4" t="inlineStr">
        <is>
          <t>2024-01</t>
        </is>
      </c>
      <c r="C1330" s="4" t="n">
        <v>523</v>
      </c>
      <c r="D1330" s="9" t="inlineStr">
        <is>
          <t>Continuous Subarray Sum</t>
        </is>
      </c>
      <c r="E1330" s="4" t="inlineStr">
        <is>
          <t>Medium</t>
        </is>
      </c>
      <c r="F1330" s="4" t="inlineStr">
        <is>
          <t>Prefix Sum &amp; Difference Array</t>
        </is>
      </c>
      <c r="G1330" s="4" t="inlineStr">
        <is>
          <t>Accepted</t>
        </is>
      </c>
      <c r="H1330" s="4" t="inlineStr">
        <is>
          <t>Python3</t>
        </is>
      </c>
      <c r="I1330" s="4" t="inlineStr">
        <is>
          <t>807 ms</t>
        </is>
      </c>
      <c r="J1330" s="4" t="inlineStr">
        <is>
          <t>36.2 MB</t>
        </is>
      </c>
      <c r="K1330" s="4" t="n">
        <v>5.2</v>
      </c>
      <c r="L1330" s="4" t="inlineStr">
        <is>
          <t>99/99</t>
        </is>
      </c>
      <c r="M1330" s="9" t="inlineStr">
        <is>
          <t>Submission 1158721195</t>
        </is>
      </c>
      <c r="N1330" s="4" t="inlineStr">
        <is>
          <t>No</t>
        </is>
      </c>
    </row>
    <row r="1331">
      <c r="A1331" s="11" t="n">
        <v>45320.2225925926</v>
      </c>
      <c r="B1331" s="4" t="inlineStr">
        <is>
          <t>2024-01</t>
        </is>
      </c>
      <c r="C1331" s="4" t="n">
        <v>161</v>
      </c>
      <c r="D1331" s="9" t="inlineStr">
        <is>
          <t>One Edit Distance</t>
        </is>
      </c>
      <c r="E1331" s="4" t="inlineStr">
        <is>
          <t>Medium</t>
        </is>
      </c>
      <c r="F1331" s="4" t="inlineStr">
        <is>
          <t>Two Pointers</t>
        </is>
      </c>
      <c r="G1331" s="4" t="inlineStr">
        <is>
          <t>Runtime Error</t>
        </is>
      </c>
      <c r="H1331" s="4" t="inlineStr">
        <is>
          <t>Python3</t>
        </is>
      </c>
      <c r="I1331" s="4" t="inlineStr">
        <is>
          <t>N/A</t>
        </is>
      </c>
      <c r="J1331" s="4" t="inlineStr">
        <is>
          <t>N/A</t>
        </is>
      </c>
      <c r="K1331" s="4" t="n"/>
      <c r="L1331" s="4" t="inlineStr">
        <is>
          <t>2/136</t>
        </is>
      </c>
      <c r="M1331" s="9" t="inlineStr">
        <is>
          <t>Submission 1159605169</t>
        </is>
      </c>
      <c r="N1331" s="4" t="inlineStr">
        <is>
          <t>No</t>
        </is>
      </c>
    </row>
    <row r="1332">
      <c r="A1332" s="11" t="n">
        <v>45320.22846064815</v>
      </c>
      <c r="B1332" s="4" t="inlineStr">
        <is>
          <t>2024-01</t>
        </is>
      </c>
      <c r="C1332" s="4" t="n">
        <v>161</v>
      </c>
      <c r="D1332" s="9" t="inlineStr">
        <is>
          <t>One Edit Distance</t>
        </is>
      </c>
      <c r="E1332" s="4" t="inlineStr">
        <is>
          <t>Medium</t>
        </is>
      </c>
      <c r="F1332" s="4" t="inlineStr">
        <is>
          <t>Two Pointers</t>
        </is>
      </c>
      <c r="G1332" s="4" t="inlineStr">
        <is>
          <t>Runtime Error</t>
        </is>
      </c>
      <c r="H1332" s="4" t="inlineStr">
        <is>
          <t>Python3</t>
        </is>
      </c>
      <c r="I1332" s="4" t="inlineStr">
        <is>
          <t>N/A</t>
        </is>
      </c>
      <c r="J1332" s="4" t="inlineStr">
        <is>
          <t>N/A</t>
        </is>
      </c>
      <c r="K1332" s="4" t="n"/>
      <c r="L1332" s="4" t="inlineStr">
        <is>
          <t>2/136</t>
        </is>
      </c>
      <c r="M1332" s="9" t="inlineStr">
        <is>
          <t>Submission 1159608686</t>
        </is>
      </c>
      <c r="N1332" s="4" t="inlineStr">
        <is>
          <t>No</t>
        </is>
      </c>
    </row>
    <row r="1333">
      <c r="A1333" s="11" t="n">
        <v>45320.22997685185</v>
      </c>
      <c r="B1333" s="4" t="inlineStr">
        <is>
          <t>2024-01</t>
        </is>
      </c>
      <c r="C1333" s="4" t="n">
        <v>161</v>
      </c>
      <c r="D1333" s="9" t="inlineStr">
        <is>
          <t>One Edit Distance</t>
        </is>
      </c>
      <c r="E1333" s="4" t="inlineStr">
        <is>
          <t>Medium</t>
        </is>
      </c>
      <c r="F1333" s="4" t="inlineStr">
        <is>
          <t>Two Pointers</t>
        </is>
      </c>
      <c r="G1333" s="4" t="inlineStr">
        <is>
          <t>Wrong Answer</t>
        </is>
      </c>
      <c r="H1333" s="4" t="inlineStr">
        <is>
          <t>Python3</t>
        </is>
      </c>
      <c r="I1333" s="4" t="inlineStr">
        <is>
          <t>N/A</t>
        </is>
      </c>
      <c r="J1333" s="4" t="inlineStr">
        <is>
          <t>N/A</t>
        </is>
      </c>
      <c r="K1333" s="4" t="n"/>
      <c r="L1333" s="4" t="inlineStr">
        <is>
          <t>121/136</t>
        </is>
      </c>
      <c r="M1333" s="9" t="inlineStr">
        <is>
          <t>Submission 1159609608</t>
        </is>
      </c>
      <c r="N1333" s="4" t="inlineStr">
        <is>
          <t>No</t>
        </is>
      </c>
    </row>
    <row r="1334">
      <c r="A1334" s="11" t="n">
        <v>45320.23039351852</v>
      </c>
      <c r="B1334" s="4" t="inlineStr">
        <is>
          <t>2024-01</t>
        </is>
      </c>
      <c r="C1334" s="4" t="n">
        <v>161</v>
      </c>
      <c r="D1334" s="9" t="inlineStr">
        <is>
          <t>One Edit Distance</t>
        </is>
      </c>
      <c r="E1334" s="4" t="inlineStr">
        <is>
          <t>Medium</t>
        </is>
      </c>
      <c r="F1334" s="4" t="inlineStr">
        <is>
          <t>Two Pointers</t>
        </is>
      </c>
      <c r="G1334" s="4" t="inlineStr">
        <is>
          <t>Accepted</t>
        </is>
      </c>
      <c r="H1334" s="4" t="inlineStr">
        <is>
          <t>Python3</t>
        </is>
      </c>
      <c r="I1334" s="4" t="inlineStr">
        <is>
          <t>39 ms</t>
        </is>
      </c>
      <c r="J1334" s="4" t="inlineStr">
        <is>
          <t>16.6 MB</t>
        </is>
      </c>
      <c r="K1334" s="4" t="n">
        <v>5.7</v>
      </c>
      <c r="L1334" s="4" t="inlineStr">
        <is>
          <t>136/136</t>
        </is>
      </c>
      <c r="M1334" s="9" t="inlineStr">
        <is>
          <t>Submission 1159609851</t>
        </is>
      </c>
      <c r="N1334" s="4" t="inlineStr">
        <is>
          <t>No</t>
        </is>
      </c>
    </row>
    <row r="1335">
      <c r="A1335" s="11" t="n">
        <v>45321.02020833334</v>
      </c>
      <c r="B1335" s="4" t="inlineStr">
        <is>
          <t>2024-01</t>
        </is>
      </c>
      <c r="C1335" s="4" t="n">
        <v>253</v>
      </c>
      <c r="D1335" s="9" t="inlineStr">
        <is>
          <t>Meeting Rooms II</t>
        </is>
      </c>
      <c r="E1335" s="4" t="inlineStr">
        <is>
          <t>Medium</t>
        </is>
      </c>
      <c r="F1335" s="4" t="inlineStr">
        <is>
          <t>Intervals &amp; Sweep Line</t>
        </is>
      </c>
      <c r="G1335" s="4" t="inlineStr">
        <is>
          <t>Accepted</t>
        </is>
      </c>
      <c r="H1335" s="4" t="inlineStr">
        <is>
          <t>Python3</t>
        </is>
      </c>
      <c r="I1335" s="4" t="inlineStr">
        <is>
          <t>74 ms</t>
        </is>
      </c>
      <c r="J1335" s="4" t="inlineStr">
        <is>
          <t>20.3 MB</t>
        </is>
      </c>
      <c r="K1335" s="4" t="n">
        <v>6.7</v>
      </c>
      <c r="L1335" s="4" t="inlineStr">
        <is>
          <t>79/79</t>
        </is>
      </c>
      <c r="M1335" s="9" t="inlineStr">
        <is>
          <t>Submission 1160366589</t>
        </is>
      </c>
      <c r="N1335" s="4" t="inlineStr">
        <is>
          <t>Yes</t>
        </is>
      </c>
    </row>
    <row r="1336">
      <c r="A1336" s="11" t="n">
        <v>45321.17465277778</v>
      </c>
      <c r="B1336" s="4" t="inlineStr">
        <is>
          <t>2024-01</t>
        </is>
      </c>
      <c r="C1336" s="4" t="n">
        <v>536</v>
      </c>
      <c r="D1336" s="9" t="inlineStr">
        <is>
          <t>Construct Binary Tree from String</t>
        </is>
      </c>
      <c r="E1336" s="4" t="inlineStr">
        <is>
          <t>Medium</t>
        </is>
      </c>
      <c r="F1336" s="4" t="inlineStr">
        <is>
          <t>Binary Tree (DFS &amp; Recursion)</t>
        </is>
      </c>
      <c r="G1336" s="4" t="inlineStr">
        <is>
          <t>Runtime Error</t>
        </is>
      </c>
      <c r="H1336" s="4" t="inlineStr">
        <is>
          <t>Python3</t>
        </is>
      </c>
      <c r="I1336" s="4" t="inlineStr">
        <is>
          <t>N/A</t>
        </is>
      </c>
      <c r="J1336" s="4" t="inlineStr">
        <is>
          <t>N/A</t>
        </is>
      </c>
      <c r="K1336" s="4" t="n"/>
      <c r="L1336" s="4" t="inlineStr">
        <is>
          <t>5/86</t>
        </is>
      </c>
      <c r="M1336" s="9" t="inlineStr">
        <is>
          <t>Submission 1160500292</t>
        </is>
      </c>
      <c r="N1336" s="4" t="inlineStr">
        <is>
          <t>No</t>
        </is>
      </c>
    </row>
    <row r="1337">
      <c r="A1337" s="11" t="n">
        <v>45321.17630787037</v>
      </c>
      <c r="B1337" s="4" t="inlineStr">
        <is>
          <t>2024-01</t>
        </is>
      </c>
      <c r="C1337" s="4" t="n">
        <v>536</v>
      </c>
      <c r="D1337" s="9" t="inlineStr">
        <is>
          <t>Construct Binary Tree from String</t>
        </is>
      </c>
      <c r="E1337" s="4" t="inlineStr">
        <is>
          <t>Medium</t>
        </is>
      </c>
      <c r="F1337" s="4" t="inlineStr">
        <is>
          <t>Binary Tree (DFS &amp; Recursion)</t>
        </is>
      </c>
      <c r="G1337" s="4" t="inlineStr">
        <is>
          <t>Accepted</t>
        </is>
      </c>
      <c r="H1337" s="4" t="inlineStr">
        <is>
          <t>Python3</t>
        </is>
      </c>
      <c r="I1337" s="4" t="inlineStr">
        <is>
          <t>72 ms</t>
        </is>
      </c>
      <c r="J1337" s="4" t="inlineStr">
        <is>
          <t>17.4 MB</t>
        </is>
      </c>
      <c r="K1337" s="4" t="n">
        <v>6.6</v>
      </c>
      <c r="L1337" s="4" t="inlineStr">
        <is>
          <t>86/86</t>
        </is>
      </c>
      <c r="M1337" s="9" t="inlineStr">
        <is>
          <t>Submission 1160501419</t>
        </is>
      </c>
      <c r="N1337" s="4" t="inlineStr">
        <is>
          <t>No</t>
        </is>
      </c>
    </row>
    <row r="1338">
      <c r="A1338" s="11" t="n">
        <v>45324.37377314815</v>
      </c>
      <c r="B1338" s="4" t="inlineStr">
        <is>
          <t>2024-02</t>
        </is>
      </c>
      <c r="C1338" s="4" t="n">
        <v>791</v>
      </c>
      <c r="D1338" s="9" t="inlineStr">
        <is>
          <t>Custom Sort String</t>
        </is>
      </c>
      <c r="E1338" s="4" t="inlineStr">
        <is>
          <t>Medium</t>
        </is>
      </c>
      <c r="F1338" s="4" t="inlineStr">
        <is>
          <t>Arrays, Hashing &amp; Sorting</t>
        </is>
      </c>
      <c r="G1338" s="4" t="inlineStr">
        <is>
          <t>Accepted</t>
        </is>
      </c>
      <c r="H1338" s="4" t="inlineStr">
        <is>
          <t>Python3</t>
        </is>
      </c>
      <c r="I1338" s="4" t="inlineStr">
        <is>
          <t>36 ms</t>
        </is>
      </c>
      <c r="J1338" s="4" t="inlineStr">
        <is>
          <t>16.6 MB</t>
        </is>
      </c>
      <c r="K1338" s="4" t="n">
        <v>0.8</v>
      </c>
      <c r="L1338" s="4" t="inlineStr">
        <is>
          <t>39/39</t>
        </is>
      </c>
      <c r="M1338" s="9" t="inlineStr">
        <is>
          <t>Submission 1163535743</t>
        </is>
      </c>
      <c r="N1338" s="4" t="inlineStr">
        <is>
          <t>No</t>
        </is>
      </c>
    </row>
    <row r="1339">
      <c r="A1339" s="11" t="n">
        <v>45324.38583333333</v>
      </c>
      <c r="B1339" s="4" t="inlineStr">
        <is>
          <t>2024-02</t>
        </is>
      </c>
      <c r="C1339" s="4" t="n">
        <v>65</v>
      </c>
      <c r="D1339" s="9" t="inlineStr">
        <is>
          <t>Valid Number</t>
        </is>
      </c>
      <c r="E1339" s="4" t="inlineStr">
        <is>
          <t>Hard</t>
        </is>
      </c>
      <c r="F1339" s="4" t="inlineStr">
        <is>
          <t>Strings &amp; Simulation</t>
        </is>
      </c>
      <c r="G1339" s="4" t="inlineStr">
        <is>
          <t>Accepted</t>
        </is>
      </c>
      <c r="H1339" s="4" t="inlineStr">
        <is>
          <t>Python3</t>
        </is>
      </c>
      <c r="I1339" s="4" t="inlineStr">
        <is>
          <t>34 ms</t>
        </is>
      </c>
      <c r="J1339" s="4" t="inlineStr">
        <is>
          <t>16.6 MB</t>
        </is>
      </c>
      <c r="K1339" s="4" t="n">
        <v>3.8</v>
      </c>
      <c r="L1339" s="4" t="inlineStr">
        <is>
          <t>1494/1494</t>
        </is>
      </c>
      <c r="M1339" s="9" t="inlineStr">
        <is>
          <t>Submission 1163545671</t>
        </is>
      </c>
      <c r="N1339" s="4" t="inlineStr">
        <is>
          <t>No</t>
        </is>
      </c>
    </row>
    <row r="1340">
      <c r="A1340" s="11" t="n">
        <v>45325.10072916667</v>
      </c>
      <c r="B1340" s="4" t="inlineStr">
        <is>
          <t>2024-02</t>
        </is>
      </c>
      <c r="C1340" s="4" t="n">
        <v>691</v>
      </c>
      <c r="D1340" s="9" t="inlineStr">
        <is>
          <t>Stickers to Spell Word</t>
        </is>
      </c>
      <c r="E1340" s="4" t="inlineStr">
        <is>
          <t>Hard</t>
        </is>
      </c>
      <c r="F1340" s="4" t="inlineStr">
        <is>
          <t>DP: Bitmask</t>
        </is>
      </c>
      <c r="G1340" s="4" t="inlineStr">
        <is>
          <t>Wrong Answer</t>
        </is>
      </c>
      <c r="H1340" s="4" t="inlineStr">
        <is>
          <t>Python3</t>
        </is>
      </c>
      <c r="I1340" s="4" t="inlineStr">
        <is>
          <t>N/A</t>
        </is>
      </c>
      <c r="J1340" s="4" t="inlineStr">
        <is>
          <t>N/A</t>
        </is>
      </c>
      <c r="K1340" s="4" t="n"/>
      <c r="L1340" s="4" t="inlineStr">
        <is>
          <t>32/101</t>
        </is>
      </c>
      <c r="M1340" s="9" t="inlineStr">
        <is>
          <t>Submission 1164257844</t>
        </is>
      </c>
      <c r="N1340" s="4" t="inlineStr">
        <is>
          <t>No</t>
        </is>
      </c>
    </row>
    <row r="1341">
      <c r="A1341" s="11" t="n">
        <v>45325.10163194445</v>
      </c>
      <c r="B1341" s="4" t="inlineStr">
        <is>
          <t>2024-02</t>
        </is>
      </c>
      <c r="C1341" s="4" t="n">
        <v>691</v>
      </c>
      <c r="D1341" s="9" t="inlineStr">
        <is>
          <t>Stickers to Spell Word</t>
        </is>
      </c>
      <c r="E1341" s="4" t="inlineStr">
        <is>
          <t>Hard</t>
        </is>
      </c>
      <c r="F1341" s="4" t="inlineStr">
        <is>
          <t>DP: Bitmask</t>
        </is>
      </c>
      <c r="G1341" s="4" t="inlineStr">
        <is>
          <t>Wrong Answer</t>
        </is>
      </c>
      <c r="H1341" s="4" t="inlineStr">
        <is>
          <t>Python3</t>
        </is>
      </c>
      <c r="I1341" s="4" t="inlineStr">
        <is>
          <t>N/A</t>
        </is>
      </c>
      <c r="J1341" s="4" t="inlineStr">
        <is>
          <t>N/A</t>
        </is>
      </c>
      <c r="K1341" s="4" t="n"/>
      <c r="L1341" s="4" t="inlineStr">
        <is>
          <t>31/101</t>
        </is>
      </c>
      <c r="M1341" s="9" t="inlineStr">
        <is>
          <t>Submission 1164258554</t>
        </is>
      </c>
      <c r="N1341" s="4" t="inlineStr">
        <is>
          <t>No</t>
        </is>
      </c>
    </row>
    <row r="1342">
      <c r="A1342" s="11" t="n">
        <v>45325.10273148148</v>
      </c>
      <c r="B1342" s="4" t="inlineStr">
        <is>
          <t>2024-02</t>
        </is>
      </c>
      <c r="C1342" s="4" t="n">
        <v>691</v>
      </c>
      <c r="D1342" s="9" t="inlineStr">
        <is>
          <t>Stickers to Spell Word</t>
        </is>
      </c>
      <c r="E1342" s="4" t="inlineStr">
        <is>
          <t>Hard</t>
        </is>
      </c>
      <c r="F1342" s="4" t="inlineStr">
        <is>
          <t>DP: Bitmask</t>
        </is>
      </c>
      <c r="G1342" s="4" t="inlineStr">
        <is>
          <t>Time Limit Exceeded</t>
        </is>
      </c>
      <c r="H1342" s="4" t="inlineStr">
        <is>
          <t>Python3</t>
        </is>
      </c>
      <c r="I1342" s="4" t="inlineStr">
        <is>
          <t>N/A</t>
        </is>
      </c>
      <c r="J1342" s="4" t="inlineStr">
        <is>
          <t>N/A</t>
        </is>
      </c>
      <c r="K1342" s="4" t="n"/>
      <c r="L1342" s="4" t="inlineStr">
        <is>
          <t>32/101</t>
        </is>
      </c>
      <c r="M1342" s="9" t="inlineStr">
        <is>
          <t>Submission 1164259387</t>
        </is>
      </c>
      <c r="N1342" s="4" t="inlineStr">
        <is>
          <t>No</t>
        </is>
      </c>
    </row>
    <row r="1343">
      <c r="A1343" s="11" t="n">
        <v>45325.10402777778</v>
      </c>
      <c r="B1343" s="4" t="inlineStr">
        <is>
          <t>2024-02</t>
        </is>
      </c>
      <c r="C1343" s="4" t="n">
        <v>691</v>
      </c>
      <c r="D1343" s="9" t="inlineStr">
        <is>
          <t>Stickers to Spell Word</t>
        </is>
      </c>
      <c r="E1343" s="4" t="inlineStr">
        <is>
          <t>Hard</t>
        </is>
      </c>
      <c r="F1343" s="4" t="inlineStr">
        <is>
          <t>DP: Bitmask</t>
        </is>
      </c>
      <c r="G1343" s="4" t="inlineStr">
        <is>
          <t>Time Limit Exceeded</t>
        </is>
      </c>
      <c r="H1343" s="4" t="inlineStr">
        <is>
          <t>Python3</t>
        </is>
      </c>
      <c r="I1343" s="4" t="inlineStr">
        <is>
          <t>N/A</t>
        </is>
      </c>
      <c r="J1343" s="4" t="inlineStr">
        <is>
          <t>N/A</t>
        </is>
      </c>
      <c r="K1343" s="4" t="n"/>
      <c r="L1343" s="4" t="inlineStr">
        <is>
          <t>32/101</t>
        </is>
      </c>
      <c r="M1343" s="9" t="inlineStr">
        <is>
          <t>Submission 1164260405</t>
        </is>
      </c>
      <c r="N1343" s="4" t="inlineStr">
        <is>
          <t>No</t>
        </is>
      </c>
    </row>
    <row r="1344">
      <c r="A1344" s="11" t="n">
        <v>45325.10456018519</v>
      </c>
      <c r="B1344" s="4" t="inlineStr">
        <is>
          <t>2024-02</t>
        </is>
      </c>
      <c r="C1344" s="4" t="n">
        <v>691</v>
      </c>
      <c r="D1344" s="9" t="inlineStr">
        <is>
          <t>Stickers to Spell Word</t>
        </is>
      </c>
      <c r="E1344" s="4" t="inlineStr">
        <is>
          <t>Hard</t>
        </is>
      </c>
      <c r="F1344" s="4" t="inlineStr">
        <is>
          <t>DP: Bitmask</t>
        </is>
      </c>
      <c r="G1344" s="4" t="inlineStr">
        <is>
          <t>Time Limit Exceeded</t>
        </is>
      </c>
      <c r="H1344" s="4" t="inlineStr">
        <is>
          <t>Python3</t>
        </is>
      </c>
      <c r="I1344" s="4" t="inlineStr">
        <is>
          <t>N/A</t>
        </is>
      </c>
      <c r="J1344" s="4" t="inlineStr">
        <is>
          <t>N/A</t>
        </is>
      </c>
      <c r="K1344" s="4" t="n"/>
      <c r="L1344" s="4" t="inlineStr">
        <is>
          <t>32/101</t>
        </is>
      </c>
      <c r="M1344" s="9" t="inlineStr">
        <is>
          <t>Submission 1164260825</t>
        </is>
      </c>
      <c r="N1344" s="4" t="inlineStr">
        <is>
          <t>No</t>
        </is>
      </c>
    </row>
    <row r="1345">
      <c r="A1345" s="11" t="n">
        <v>45325.10799768518</v>
      </c>
      <c r="B1345" s="4" t="inlineStr">
        <is>
          <t>2024-02</t>
        </is>
      </c>
      <c r="C1345" s="4" t="n">
        <v>691</v>
      </c>
      <c r="D1345" s="9" t="inlineStr">
        <is>
          <t>Stickers to Spell Word</t>
        </is>
      </c>
      <c r="E1345" s="4" t="inlineStr">
        <is>
          <t>Hard</t>
        </is>
      </c>
      <c r="F1345" s="4" t="inlineStr">
        <is>
          <t>DP: Bitmask</t>
        </is>
      </c>
      <c r="G1345" s="4" t="inlineStr">
        <is>
          <t>Accepted</t>
        </is>
      </c>
      <c r="H1345" s="4" t="inlineStr">
        <is>
          <t>Python3</t>
        </is>
      </c>
      <c r="I1345" s="4" t="inlineStr">
        <is>
          <t>260 ms</t>
        </is>
      </c>
      <c r="J1345" s="4" t="inlineStr">
        <is>
          <t>17.4 MB</t>
        </is>
      </c>
      <c r="K1345" s="4" t="n">
        <v>45.7</v>
      </c>
      <c r="L1345" s="4" t="inlineStr">
        <is>
          <t>101/101</t>
        </is>
      </c>
      <c r="M1345" s="9" t="inlineStr">
        <is>
          <t>Submission 1164263323</t>
        </is>
      </c>
      <c r="N1345" s="4" t="inlineStr">
        <is>
          <t>No</t>
        </is>
      </c>
    </row>
    <row r="1346">
      <c r="A1346" s="11" t="n">
        <v>45325.10805555555</v>
      </c>
      <c r="B1346" s="4" t="inlineStr">
        <is>
          <t>2024-02</t>
        </is>
      </c>
      <c r="C1346" s="4" t="n">
        <v>691</v>
      </c>
      <c r="D1346" s="9" t="inlineStr">
        <is>
          <t>Stickers to Spell Word</t>
        </is>
      </c>
      <c r="E1346" s="4" t="inlineStr">
        <is>
          <t>Hard</t>
        </is>
      </c>
      <c r="F1346" s="4" t="inlineStr">
        <is>
          <t>DP: Bitmask</t>
        </is>
      </c>
      <c r="G1346" s="4" t="inlineStr">
        <is>
          <t>Accepted</t>
        </is>
      </c>
      <c r="H1346" s="4" t="inlineStr">
        <is>
          <t>Python3</t>
        </is>
      </c>
      <c r="I1346" s="4" t="inlineStr">
        <is>
          <t>262 ms</t>
        </is>
      </c>
      <c r="J1346" s="4" t="inlineStr">
        <is>
          <t>17 MB</t>
        </is>
      </c>
      <c r="K1346" s="4" t="n">
        <v>45.5</v>
      </c>
      <c r="L1346" s="4" t="inlineStr">
        <is>
          <t>101/101</t>
        </is>
      </c>
      <c r="M1346" s="9" t="inlineStr">
        <is>
          <t>Submission 1164263373</t>
        </is>
      </c>
      <c r="N1346" s="4" t="inlineStr">
        <is>
          <t>No</t>
        </is>
      </c>
    </row>
    <row r="1347">
      <c r="A1347" s="11" t="n">
        <v>45325.11079861111</v>
      </c>
      <c r="B1347" s="4" t="inlineStr">
        <is>
          <t>2024-02</t>
        </is>
      </c>
      <c r="C1347" s="4" t="n">
        <v>691</v>
      </c>
      <c r="D1347" s="9" t="inlineStr">
        <is>
          <t>Stickers to Spell Word</t>
        </is>
      </c>
      <c r="E1347" s="4" t="inlineStr">
        <is>
          <t>Hard</t>
        </is>
      </c>
      <c r="F1347" s="4" t="inlineStr">
        <is>
          <t>DP: Bitmask</t>
        </is>
      </c>
      <c r="G1347" s="4" t="inlineStr">
        <is>
          <t>Accepted</t>
        </is>
      </c>
      <c r="H1347" s="4" t="inlineStr">
        <is>
          <t>Python3</t>
        </is>
      </c>
      <c r="I1347" s="4" t="inlineStr">
        <is>
          <t>251 ms</t>
        </is>
      </c>
      <c r="J1347" s="4" t="inlineStr">
        <is>
          <t>17.6 MB</t>
        </is>
      </c>
      <c r="K1347" s="4" t="n">
        <v>46.1</v>
      </c>
      <c r="L1347" s="4" t="inlineStr">
        <is>
          <t>101/101</t>
        </is>
      </c>
      <c r="M1347" s="9" t="inlineStr">
        <is>
          <t>Submission 1164265403</t>
        </is>
      </c>
      <c r="N1347" s="4" t="inlineStr">
        <is>
          <t>No</t>
        </is>
      </c>
    </row>
    <row r="1348">
      <c r="A1348" s="11" t="n">
        <v>45325.11556712963</v>
      </c>
      <c r="B1348" s="4" t="inlineStr">
        <is>
          <t>2024-02</t>
        </is>
      </c>
      <c r="C1348" s="4" t="n">
        <v>670</v>
      </c>
      <c r="D1348" s="9" t="inlineStr">
        <is>
          <t>Maximum Swap</t>
        </is>
      </c>
      <c r="E1348" s="4" t="inlineStr">
        <is>
          <t>Medium</t>
        </is>
      </c>
      <c r="F1348" s="4" t="inlineStr">
        <is>
          <t>Greedy</t>
        </is>
      </c>
      <c r="G1348" s="4" t="inlineStr">
        <is>
          <t>Accepted</t>
        </is>
      </c>
      <c r="H1348" s="4" t="inlineStr">
        <is>
          <t>Python3</t>
        </is>
      </c>
      <c r="I1348" s="4" t="inlineStr">
        <is>
          <t>33 ms</t>
        </is>
      </c>
      <c r="J1348" s="4" t="inlineStr">
        <is>
          <t>16.5 MB</t>
        </is>
      </c>
      <c r="K1348" s="4" t="n">
        <v>0</v>
      </c>
      <c r="L1348" s="4" t="inlineStr">
        <is>
          <t>112/112</t>
        </is>
      </c>
      <c r="M1348" s="9" t="inlineStr">
        <is>
          <t>Submission 1164268995</t>
        </is>
      </c>
      <c r="N1348" s="4" t="inlineStr">
        <is>
          <t>No</t>
        </is>
      </c>
    </row>
    <row r="1349">
      <c r="A1349" s="11" t="n">
        <v>45325.26469907408</v>
      </c>
      <c r="B1349" s="4" t="inlineStr">
        <is>
          <t>2024-02</t>
        </is>
      </c>
      <c r="C1349" s="4" t="n">
        <v>1091</v>
      </c>
      <c r="D1349" s="9" t="inlineStr">
        <is>
          <t>Shortest Path in Binary Matrix</t>
        </is>
      </c>
      <c r="E1349" s="4" t="inlineStr">
        <is>
          <t>Medium</t>
        </is>
      </c>
      <c r="F1349" s="4" t="inlineStr">
        <is>
          <t>Graph: Shortest Path</t>
        </is>
      </c>
      <c r="G1349" s="4" t="inlineStr">
        <is>
          <t>Accepted</t>
        </is>
      </c>
      <c r="H1349" s="4" t="inlineStr">
        <is>
          <t>Python3</t>
        </is>
      </c>
      <c r="I1349" s="4" t="inlineStr">
        <is>
          <t>385 ms</t>
        </is>
      </c>
      <c r="J1349" s="4" t="inlineStr">
        <is>
          <t>16.9 MB</t>
        </is>
      </c>
      <c r="K1349" s="4" t="n">
        <v>5.1</v>
      </c>
      <c r="L1349" s="4" t="inlineStr">
        <is>
          <t>90/90</t>
        </is>
      </c>
      <c r="M1349" s="9" t="inlineStr">
        <is>
          <t>Submission 1164358567</t>
        </is>
      </c>
      <c r="N1349" s="4" t="inlineStr">
        <is>
          <t>Yes</t>
        </is>
      </c>
    </row>
    <row r="1350">
      <c r="A1350" s="11" t="n">
        <v>45325.94721064815</v>
      </c>
      <c r="B1350" s="4" t="inlineStr">
        <is>
          <t>2024-02</t>
        </is>
      </c>
      <c r="C1350" s="4" t="n">
        <v>791</v>
      </c>
      <c r="D1350" s="9" t="inlineStr">
        <is>
          <t>Custom Sort String</t>
        </is>
      </c>
      <c r="E1350" s="4" t="inlineStr">
        <is>
          <t>Medium</t>
        </is>
      </c>
      <c r="F1350" s="4" t="inlineStr">
        <is>
          <t>Arrays, Hashing &amp; Sorting</t>
        </is>
      </c>
      <c r="G1350" s="4" t="inlineStr">
        <is>
          <t>Accepted</t>
        </is>
      </c>
      <c r="H1350" s="4" t="inlineStr">
        <is>
          <t>Python3</t>
        </is>
      </c>
      <c r="I1350" s="4" t="inlineStr">
        <is>
          <t>34 ms</t>
        </is>
      </c>
      <c r="J1350" s="4" t="inlineStr">
        <is>
          <t>16.6 MB</t>
        </is>
      </c>
      <c r="K1350" s="4" t="n">
        <v>0.8</v>
      </c>
      <c r="L1350" s="4" t="inlineStr">
        <is>
          <t>39/39</t>
        </is>
      </c>
      <c r="M1350" s="9" t="inlineStr">
        <is>
          <t>Submission 1165061692</t>
        </is>
      </c>
      <c r="N1350" s="4" t="inlineStr">
        <is>
          <t>No</t>
        </is>
      </c>
    </row>
    <row r="1351">
      <c r="A1351" s="11" t="n">
        <v>45325.94953703704</v>
      </c>
      <c r="B1351" s="4" t="inlineStr">
        <is>
          <t>2024-02</t>
        </is>
      </c>
      <c r="C1351" s="4" t="n">
        <v>791</v>
      </c>
      <c r="D1351" s="9" t="inlineStr">
        <is>
          <t>Custom Sort String</t>
        </is>
      </c>
      <c r="E1351" s="4" t="inlineStr">
        <is>
          <t>Medium</t>
        </is>
      </c>
      <c r="F1351" s="4" t="inlineStr">
        <is>
          <t>Arrays, Hashing &amp; Sorting</t>
        </is>
      </c>
      <c r="G1351" s="4" t="inlineStr">
        <is>
          <t>Accepted</t>
        </is>
      </c>
      <c r="H1351" s="4" t="inlineStr">
        <is>
          <t>Python3</t>
        </is>
      </c>
      <c r="I1351" s="4" t="inlineStr">
        <is>
          <t>41 ms</t>
        </is>
      </c>
      <c r="J1351" s="4" t="inlineStr">
        <is>
          <t>16.6 MB</t>
        </is>
      </c>
      <c r="K1351" s="4" t="n">
        <v>0.8</v>
      </c>
      <c r="L1351" s="4" t="inlineStr">
        <is>
          <t>39/39</t>
        </is>
      </c>
      <c r="M1351" s="9" t="inlineStr">
        <is>
          <t>Submission 1165064991</t>
        </is>
      </c>
      <c r="N1351" s="4" t="inlineStr">
        <is>
          <t>No</t>
        </is>
      </c>
    </row>
    <row r="1352">
      <c r="A1352" s="11" t="n">
        <v>45325.95527777778</v>
      </c>
      <c r="B1352" s="4" t="inlineStr">
        <is>
          <t>2024-02</t>
        </is>
      </c>
      <c r="C1352" s="4" t="n">
        <v>791</v>
      </c>
      <c r="D1352" s="9" t="inlineStr">
        <is>
          <t>Custom Sort String</t>
        </is>
      </c>
      <c r="E1352" s="4" t="inlineStr">
        <is>
          <t>Medium</t>
        </is>
      </c>
      <c r="F1352" s="4" t="inlineStr">
        <is>
          <t>Arrays, Hashing &amp; Sorting</t>
        </is>
      </c>
      <c r="G1352" s="4" t="inlineStr">
        <is>
          <t>Accepted</t>
        </is>
      </c>
      <c r="H1352" s="4" t="inlineStr">
        <is>
          <t>Python3</t>
        </is>
      </c>
      <c r="I1352" s="4" t="inlineStr">
        <is>
          <t>37 ms</t>
        </is>
      </c>
      <c r="J1352" s="4" t="inlineStr">
        <is>
          <t>16.6 MB</t>
        </is>
      </c>
      <c r="K1352" s="4" t="n">
        <v>0.8</v>
      </c>
      <c r="L1352" s="4" t="inlineStr">
        <is>
          <t>39/39</t>
        </is>
      </c>
      <c r="M1352" s="9" t="inlineStr">
        <is>
          <t>Submission 1165073106</t>
        </is>
      </c>
      <c r="N1352" s="4" t="inlineStr">
        <is>
          <t>No</t>
        </is>
      </c>
    </row>
    <row r="1353">
      <c r="A1353" s="11" t="n">
        <v>45326.01806712963</v>
      </c>
      <c r="B1353" s="4" t="inlineStr">
        <is>
          <t>2024-02</t>
        </is>
      </c>
      <c r="C1353" s="4" t="n">
        <v>270</v>
      </c>
      <c r="D1353" s="9" t="inlineStr">
        <is>
          <t>Closest Binary Search Tree Value</t>
        </is>
      </c>
      <c r="E1353" s="4" t="inlineStr">
        <is>
          <t>Easy</t>
        </is>
      </c>
      <c r="F1353" s="4" t="inlineStr">
        <is>
          <t>Binary Search Tree</t>
        </is>
      </c>
      <c r="G1353" s="4" t="inlineStr">
        <is>
          <t>Accepted</t>
        </is>
      </c>
      <c r="H1353" s="4" t="inlineStr">
        <is>
          <t>Python3</t>
        </is>
      </c>
      <c r="I1353" s="4" t="inlineStr">
        <is>
          <t>39 ms</t>
        </is>
      </c>
      <c r="J1353" s="4" t="inlineStr">
        <is>
          <t>18.1 MB</t>
        </is>
      </c>
      <c r="K1353" s="4" t="n">
        <v>2.5</v>
      </c>
      <c r="L1353" s="4" t="inlineStr">
        <is>
          <t>65/65</t>
        </is>
      </c>
      <c r="M1353" s="9" t="inlineStr">
        <is>
          <t>Submission 1165155357</t>
        </is>
      </c>
      <c r="N1353" s="4" t="inlineStr">
        <is>
          <t>Yes</t>
        </is>
      </c>
    </row>
    <row r="1354">
      <c r="A1354" s="11" t="n">
        <v>45326.03240740741</v>
      </c>
      <c r="B1354" s="4" t="inlineStr">
        <is>
          <t>2024-02</t>
        </is>
      </c>
      <c r="C1354" s="4" t="n">
        <v>270</v>
      </c>
      <c r="D1354" s="9" t="inlineStr">
        <is>
          <t>Closest Binary Search Tree Value</t>
        </is>
      </c>
      <c r="E1354" s="4" t="inlineStr">
        <is>
          <t>Easy</t>
        </is>
      </c>
      <c r="F1354" s="4" t="inlineStr">
        <is>
          <t>Binary Search Tree</t>
        </is>
      </c>
      <c r="G1354" s="4" t="inlineStr">
        <is>
          <t>Wrong Answer</t>
        </is>
      </c>
      <c r="H1354" s="4" t="inlineStr">
        <is>
          <t>Python3</t>
        </is>
      </c>
      <c r="I1354" s="4" t="inlineStr">
        <is>
          <t>N/A</t>
        </is>
      </c>
      <c r="J1354" s="4" t="inlineStr">
        <is>
          <t>N/A</t>
        </is>
      </c>
      <c r="K1354" s="4" t="n"/>
      <c r="L1354" s="4" t="inlineStr">
        <is>
          <t>43/65</t>
        </is>
      </c>
      <c r="M1354" s="9" t="inlineStr">
        <is>
          <t>Submission 1165170326</t>
        </is>
      </c>
      <c r="N1354" s="4" t="inlineStr">
        <is>
          <t>Yes</t>
        </is>
      </c>
    </row>
    <row r="1355">
      <c r="A1355" s="11" t="n">
        <v>45326.03291666666</v>
      </c>
      <c r="B1355" s="4" t="inlineStr">
        <is>
          <t>2024-02</t>
        </is>
      </c>
      <c r="C1355" s="4" t="n">
        <v>270</v>
      </c>
      <c r="D1355" s="9" t="inlineStr">
        <is>
          <t>Closest Binary Search Tree Value</t>
        </is>
      </c>
      <c r="E1355" s="4" t="inlineStr">
        <is>
          <t>Easy</t>
        </is>
      </c>
      <c r="F1355" s="4" t="inlineStr">
        <is>
          <t>Binary Search Tree</t>
        </is>
      </c>
      <c r="G1355" s="4" t="inlineStr">
        <is>
          <t>Wrong Answer</t>
        </is>
      </c>
      <c r="H1355" s="4" t="inlineStr">
        <is>
          <t>Python3</t>
        </is>
      </c>
      <c r="I1355" s="4" t="inlineStr">
        <is>
          <t>N/A</t>
        </is>
      </c>
      <c r="J1355" s="4" t="inlineStr">
        <is>
          <t>N/A</t>
        </is>
      </c>
      <c r="K1355" s="4" t="n"/>
      <c r="L1355" s="4" t="inlineStr">
        <is>
          <t>35/65</t>
        </is>
      </c>
      <c r="M1355" s="9" t="inlineStr">
        <is>
          <t>Submission 1165170857</t>
        </is>
      </c>
      <c r="N1355" s="4" t="inlineStr">
        <is>
          <t>Yes</t>
        </is>
      </c>
    </row>
    <row r="1356">
      <c r="A1356" s="11" t="n">
        <v>45326.03309027778</v>
      </c>
      <c r="B1356" s="4" t="inlineStr">
        <is>
          <t>2024-02</t>
        </is>
      </c>
      <c r="C1356" s="4" t="n">
        <v>270</v>
      </c>
      <c r="D1356" s="9" t="inlineStr">
        <is>
          <t>Closest Binary Search Tree Value</t>
        </is>
      </c>
      <c r="E1356" s="4" t="inlineStr">
        <is>
          <t>Easy</t>
        </is>
      </c>
      <c r="F1356" s="4" t="inlineStr">
        <is>
          <t>Binary Search Tree</t>
        </is>
      </c>
      <c r="G1356" s="4" t="inlineStr">
        <is>
          <t>Accepted</t>
        </is>
      </c>
      <c r="H1356" s="4" t="inlineStr">
        <is>
          <t>Python3</t>
        </is>
      </c>
      <c r="I1356" s="4" t="inlineStr">
        <is>
          <t>44 ms</t>
        </is>
      </c>
      <c r="J1356" s="4" t="inlineStr">
        <is>
          <t>18.3 MB</t>
        </is>
      </c>
      <c r="K1356" s="4" t="n">
        <v>2.5</v>
      </c>
      <c r="L1356" s="4" t="inlineStr">
        <is>
          <t>65/65</t>
        </is>
      </c>
      <c r="M1356" s="9" t="inlineStr">
        <is>
          <t>Submission 1165171041</t>
        </is>
      </c>
      <c r="N1356" s="4" t="inlineStr">
        <is>
          <t>Yes</t>
        </is>
      </c>
    </row>
    <row r="1357">
      <c r="A1357" s="11" t="n">
        <v>45326.04966435185</v>
      </c>
      <c r="B1357" s="4" t="inlineStr">
        <is>
          <t>2024-02</t>
        </is>
      </c>
      <c r="C1357" s="4" t="n">
        <v>543</v>
      </c>
      <c r="D1357" s="9" t="inlineStr">
        <is>
          <t>Diameter of Binary Tree</t>
        </is>
      </c>
      <c r="E1357" s="4" t="inlineStr">
        <is>
          <t>Easy</t>
        </is>
      </c>
      <c r="F1357" s="4" t="inlineStr">
        <is>
          <t>DP: On Trees</t>
        </is>
      </c>
      <c r="G1357" s="4" t="inlineStr">
        <is>
          <t>Accepted</t>
        </is>
      </c>
      <c r="H1357" s="4" t="inlineStr">
        <is>
          <t>Python3</t>
        </is>
      </c>
      <c r="I1357" s="4" t="inlineStr">
        <is>
          <t>39 ms</t>
        </is>
      </c>
      <c r="J1357" s="4" t="inlineStr">
        <is>
          <t>18 MB</t>
        </is>
      </c>
      <c r="K1357" s="4" t="n">
        <v>5.1</v>
      </c>
      <c r="L1357" s="4" t="inlineStr">
        <is>
          <t>105/105</t>
        </is>
      </c>
      <c r="M1357" s="9" t="inlineStr">
        <is>
          <t>Submission 1165187633</t>
        </is>
      </c>
      <c r="N1357" s="4" t="inlineStr">
        <is>
          <t>No</t>
        </is>
      </c>
    </row>
    <row r="1358">
      <c r="A1358" s="11" t="n">
        <v>45326.41494212963</v>
      </c>
      <c r="B1358" s="4" t="inlineStr">
        <is>
          <t>2024-02</t>
        </is>
      </c>
      <c r="C1358" s="4" t="n">
        <v>125</v>
      </c>
      <c r="D1358" s="9" t="inlineStr">
        <is>
          <t>Valid Palindrome</t>
        </is>
      </c>
      <c r="E1358" s="4" t="inlineStr">
        <is>
          <t>Easy</t>
        </is>
      </c>
      <c r="F1358" s="4" t="inlineStr">
        <is>
          <t>Two Pointers</t>
        </is>
      </c>
      <c r="G1358" s="4" t="inlineStr">
        <is>
          <t>Accepted</t>
        </is>
      </c>
      <c r="H1358" s="4" t="inlineStr">
        <is>
          <t>Python3</t>
        </is>
      </c>
      <c r="I1358" s="4" t="inlineStr">
        <is>
          <t>44 ms</t>
        </is>
      </c>
      <c r="J1358" s="4" t="inlineStr">
        <is>
          <t>22.7 MB</t>
        </is>
      </c>
      <c r="K1358" s="4" t="n">
        <v>6</v>
      </c>
      <c r="L1358" s="4" t="inlineStr">
        <is>
          <t>485/485</t>
        </is>
      </c>
      <c r="M1358" s="9" t="inlineStr">
        <is>
          <t>Submission 1165501847</t>
        </is>
      </c>
      <c r="N1358" s="4" t="inlineStr">
        <is>
          <t>No</t>
        </is>
      </c>
    </row>
    <row r="1359">
      <c r="A1359" s="11" t="n">
        <v>45326.42065972222</v>
      </c>
      <c r="B1359" s="4" t="inlineStr">
        <is>
          <t>2024-02</t>
        </is>
      </c>
      <c r="C1359" s="4" t="n">
        <v>200</v>
      </c>
      <c r="D1359" s="9" t="inlineStr">
        <is>
          <t>Number of Islands</t>
        </is>
      </c>
      <c r="E1359" s="4" t="inlineStr">
        <is>
          <t>Medium</t>
        </is>
      </c>
      <c r="F1359" s="4" t="inlineStr">
        <is>
          <t>Graph: Grid BFS/DFS</t>
        </is>
      </c>
      <c r="G1359" s="4" t="inlineStr">
        <is>
          <t>Accepted</t>
        </is>
      </c>
      <c r="H1359" s="4" t="inlineStr">
        <is>
          <t>Python3</t>
        </is>
      </c>
      <c r="I1359" s="4" t="inlineStr">
        <is>
          <t>272 ms</t>
        </is>
      </c>
      <c r="J1359" s="4" t="inlineStr">
        <is>
          <t>27.3 MB</t>
        </is>
      </c>
      <c r="K1359" s="4" t="n">
        <v>16.6</v>
      </c>
      <c r="L1359" s="4" t="inlineStr">
        <is>
          <t>49/49</t>
        </is>
      </c>
      <c r="M1359" s="9" t="inlineStr">
        <is>
          <t>Submission 1165506805</t>
        </is>
      </c>
      <c r="N1359" s="4" t="inlineStr">
        <is>
          <t>Yes</t>
        </is>
      </c>
    </row>
    <row r="1360">
      <c r="A1360" s="11" t="n">
        <v>45326.42981481482</v>
      </c>
      <c r="B1360" s="4" t="inlineStr">
        <is>
          <t>2024-02</t>
        </is>
      </c>
      <c r="C1360" s="4" t="n">
        <v>523</v>
      </c>
      <c r="D1360" s="9" t="inlineStr">
        <is>
          <t>Continuous Subarray Sum</t>
        </is>
      </c>
      <c r="E1360" s="4" t="inlineStr">
        <is>
          <t>Medium</t>
        </is>
      </c>
      <c r="F1360" s="4" t="inlineStr">
        <is>
          <t>Prefix Sum &amp; Difference Array</t>
        </is>
      </c>
      <c r="G1360" s="4" t="inlineStr">
        <is>
          <t>Wrong Answer</t>
        </is>
      </c>
      <c r="H1360" s="4" t="inlineStr">
        <is>
          <t>Python3</t>
        </is>
      </c>
      <c r="I1360" s="4" t="inlineStr">
        <is>
          <t>N/A</t>
        </is>
      </c>
      <c r="J1360" s="4" t="inlineStr">
        <is>
          <t>N/A</t>
        </is>
      </c>
      <c r="K1360" s="4" t="n"/>
      <c r="L1360" s="4" t="inlineStr">
        <is>
          <t>84/99</t>
        </is>
      </c>
      <c r="M1360" s="9" t="inlineStr">
        <is>
          <t>Submission 1165514876</t>
        </is>
      </c>
      <c r="N1360" s="4" t="inlineStr">
        <is>
          <t>No</t>
        </is>
      </c>
    </row>
    <row r="1361">
      <c r="A1361" s="11" t="n">
        <v>45326.43099537037</v>
      </c>
      <c r="B1361" s="4" t="inlineStr">
        <is>
          <t>2024-02</t>
        </is>
      </c>
      <c r="C1361" s="4" t="n">
        <v>523</v>
      </c>
      <c r="D1361" s="9" t="inlineStr">
        <is>
          <t>Continuous Subarray Sum</t>
        </is>
      </c>
      <c r="E1361" s="4" t="inlineStr">
        <is>
          <t>Medium</t>
        </is>
      </c>
      <c r="F1361" s="4" t="inlineStr">
        <is>
          <t>Prefix Sum &amp; Difference Array</t>
        </is>
      </c>
      <c r="G1361" s="4" t="inlineStr">
        <is>
          <t>Wrong Answer</t>
        </is>
      </c>
      <c r="H1361" s="4" t="inlineStr">
        <is>
          <t>Python3</t>
        </is>
      </c>
      <c r="I1361" s="4" t="inlineStr">
        <is>
          <t>N/A</t>
        </is>
      </c>
      <c r="J1361" s="4" t="inlineStr">
        <is>
          <t>N/A</t>
        </is>
      </c>
      <c r="K1361" s="4" t="n"/>
      <c r="L1361" s="4" t="inlineStr">
        <is>
          <t>87/99</t>
        </is>
      </c>
      <c r="M1361" s="9" t="inlineStr">
        <is>
          <t>Submission 1165515906</t>
        </is>
      </c>
      <c r="N1361" s="4" t="inlineStr">
        <is>
          <t>No</t>
        </is>
      </c>
    </row>
    <row r="1362">
      <c r="A1362" s="11" t="n">
        <v>45326.43119212963</v>
      </c>
      <c r="B1362" s="4" t="inlineStr">
        <is>
          <t>2024-02</t>
        </is>
      </c>
      <c r="C1362" s="4" t="n">
        <v>523</v>
      </c>
      <c r="D1362" s="9" t="inlineStr">
        <is>
          <t>Continuous Subarray Sum</t>
        </is>
      </c>
      <c r="E1362" s="4" t="inlineStr">
        <is>
          <t>Medium</t>
        </is>
      </c>
      <c r="F1362" s="4" t="inlineStr">
        <is>
          <t>Prefix Sum &amp; Difference Array</t>
        </is>
      </c>
      <c r="G1362" s="4" t="inlineStr">
        <is>
          <t>Wrong Answer</t>
        </is>
      </c>
      <c r="H1362" s="4" t="inlineStr">
        <is>
          <t>Python3</t>
        </is>
      </c>
      <c r="I1362" s="4" t="inlineStr">
        <is>
          <t>N/A</t>
        </is>
      </c>
      <c r="J1362" s="4" t="inlineStr">
        <is>
          <t>N/A</t>
        </is>
      </c>
      <c r="K1362" s="4" t="n"/>
      <c r="L1362" s="4" t="inlineStr">
        <is>
          <t>92/99</t>
        </is>
      </c>
      <c r="M1362" s="9" t="inlineStr">
        <is>
          <t>Submission 1165516092</t>
        </is>
      </c>
      <c r="N1362" s="4" t="inlineStr">
        <is>
          <t>No</t>
        </is>
      </c>
    </row>
    <row r="1363">
      <c r="A1363" s="11" t="n">
        <v>45326.43152777778</v>
      </c>
      <c r="B1363" s="4" t="inlineStr">
        <is>
          <t>2024-02</t>
        </is>
      </c>
      <c r="C1363" s="4" t="n">
        <v>523</v>
      </c>
      <c r="D1363" s="9" t="inlineStr">
        <is>
          <t>Continuous Subarray Sum</t>
        </is>
      </c>
      <c r="E1363" s="4" t="inlineStr">
        <is>
          <t>Medium</t>
        </is>
      </c>
      <c r="F1363" s="4" t="inlineStr">
        <is>
          <t>Prefix Sum &amp; Difference Array</t>
        </is>
      </c>
      <c r="G1363" s="4" t="inlineStr">
        <is>
          <t>Time Limit Exceeded</t>
        </is>
      </c>
      <c r="H1363" s="4" t="inlineStr">
        <is>
          <t>Python3</t>
        </is>
      </c>
      <c r="I1363" s="4" t="inlineStr">
        <is>
          <t>N/A</t>
        </is>
      </c>
      <c r="J1363" s="4" t="inlineStr">
        <is>
          <t>N/A</t>
        </is>
      </c>
      <c r="K1363" s="4" t="n"/>
      <c r="L1363" s="4" t="inlineStr">
        <is>
          <t>94/99</t>
        </is>
      </c>
      <c r="M1363" s="9" t="inlineStr">
        <is>
          <t>Submission 1165516402</t>
        </is>
      </c>
      <c r="N1363" s="4" t="inlineStr">
        <is>
          <t>No</t>
        </is>
      </c>
    </row>
    <row r="1364">
      <c r="A1364" s="11" t="n">
        <v>45326.43288194444</v>
      </c>
      <c r="B1364" s="4" t="inlineStr">
        <is>
          <t>2024-02</t>
        </is>
      </c>
      <c r="C1364" s="4" t="n">
        <v>523</v>
      </c>
      <c r="D1364" s="9" t="inlineStr">
        <is>
          <t>Continuous Subarray Sum</t>
        </is>
      </c>
      <c r="E1364" s="4" t="inlineStr">
        <is>
          <t>Medium</t>
        </is>
      </c>
      <c r="F1364" s="4" t="inlineStr">
        <is>
          <t>Prefix Sum &amp; Difference Array</t>
        </is>
      </c>
      <c r="G1364" s="4" t="inlineStr">
        <is>
          <t>Wrong Answer</t>
        </is>
      </c>
      <c r="H1364" s="4" t="inlineStr">
        <is>
          <t>Python3</t>
        </is>
      </c>
      <c r="I1364" s="4" t="inlineStr">
        <is>
          <t>N/A</t>
        </is>
      </c>
      <c r="J1364" s="4" t="inlineStr">
        <is>
          <t>N/A</t>
        </is>
      </c>
      <c r="K1364" s="4" t="n"/>
      <c r="L1364" s="4" t="inlineStr">
        <is>
          <t>73/99</t>
        </is>
      </c>
      <c r="M1364" s="9" t="inlineStr">
        <is>
          <t>Submission 1165517657</t>
        </is>
      </c>
      <c r="N1364" s="4" t="inlineStr">
        <is>
          <t>No</t>
        </is>
      </c>
    </row>
    <row r="1365">
      <c r="A1365" s="11" t="n">
        <v>45326.49115740741</v>
      </c>
      <c r="B1365" s="4" t="inlineStr">
        <is>
          <t>2024-02</t>
        </is>
      </c>
      <c r="C1365" s="4" t="n">
        <v>689</v>
      </c>
      <c r="D1365" s="9" t="inlineStr">
        <is>
          <t>Maximum Sum of 3 Non-Overlapping Subarrays</t>
        </is>
      </c>
      <c r="E1365" s="4" t="inlineStr">
        <is>
          <t>Hard</t>
        </is>
      </c>
      <c r="F1365" s="4" t="inlineStr">
        <is>
          <t>Prefix Sum &amp; Difference Array</t>
        </is>
      </c>
      <c r="G1365" s="4" t="inlineStr">
        <is>
          <t>Wrong Answer</t>
        </is>
      </c>
      <c r="H1365" s="4" t="inlineStr">
        <is>
          <t>Python3</t>
        </is>
      </c>
      <c r="I1365" s="4" t="inlineStr">
        <is>
          <t>N/A</t>
        </is>
      </c>
      <c r="J1365" s="4" t="inlineStr">
        <is>
          <t>N/A</t>
        </is>
      </c>
      <c r="K1365" s="4" t="n"/>
      <c r="L1365" s="4" t="inlineStr">
        <is>
          <t>19/43</t>
        </is>
      </c>
      <c r="M1365" s="9" t="inlineStr">
        <is>
          <t>Submission 1165575011</t>
        </is>
      </c>
      <c r="N1365" s="4" t="inlineStr">
        <is>
          <t>No</t>
        </is>
      </c>
    </row>
    <row r="1366">
      <c r="A1366" s="11" t="n">
        <v>45327.09721064815</v>
      </c>
      <c r="B1366" s="4" t="inlineStr">
        <is>
          <t>2024-02</t>
        </is>
      </c>
      <c r="C1366" s="4" t="n">
        <v>827</v>
      </c>
      <c r="D1366" s="9" t="inlineStr">
        <is>
          <t>Making A Large Island</t>
        </is>
      </c>
      <c r="E1366" s="4" t="inlineStr">
        <is>
          <t>Hard</t>
        </is>
      </c>
      <c r="F1366" s="4" t="inlineStr">
        <is>
          <t>Graph: Grid BFS/DFS</t>
        </is>
      </c>
      <c r="G1366" s="4" t="inlineStr">
        <is>
          <t>Wrong Answer</t>
        </is>
      </c>
      <c r="H1366" s="4" t="inlineStr">
        <is>
          <t>Python3</t>
        </is>
      </c>
      <c r="I1366" s="4" t="inlineStr">
        <is>
          <t>N/A</t>
        </is>
      </c>
      <c r="J1366" s="4" t="inlineStr">
        <is>
          <t>N/A</t>
        </is>
      </c>
      <c r="K1366" s="4" t="n"/>
      <c r="L1366" s="4" t="inlineStr">
        <is>
          <t>37/75</t>
        </is>
      </c>
      <c r="M1366" s="9" t="inlineStr">
        <is>
          <t>Submission 1166193482</t>
        </is>
      </c>
      <c r="N1366" s="4" t="inlineStr">
        <is>
          <t>No</t>
        </is>
      </c>
    </row>
    <row r="1367">
      <c r="A1367" s="11" t="n">
        <v>45327.09782407407</v>
      </c>
      <c r="B1367" s="4" t="inlineStr">
        <is>
          <t>2024-02</t>
        </is>
      </c>
      <c r="C1367" s="4" t="n">
        <v>827</v>
      </c>
      <c r="D1367" s="9" t="inlineStr">
        <is>
          <t>Making A Large Island</t>
        </is>
      </c>
      <c r="E1367" s="4" t="inlineStr">
        <is>
          <t>Hard</t>
        </is>
      </c>
      <c r="F1367" s="4" t="inlineStr">
        <is>
          <t>Graph: Grid BFS/DFS</t>
        </is>
      </c>
      <c r="G1367" s="4" t="inlineStr">
        <is>
          <t>Wrong Answer</t>
        </is>
      </c>
      <c r="H1367" s="4" t="inlineStr">
        <is>
          <t>Python3</t>
        </is>
      </c>
      <c r="I1367" s="4" t="inlineStr">
        <is>
          <t>N/A</t>
        </is>
      </c>
      <c r="J1367" s="4" t="inlineStr">
        <is>
          <t>N/A</t>
        </is>
      </c>
      <c r="K1367" s="4" t="n"/>
      <c r="L1367" s="4" t="inlineStr">
        <is>
          <t>37/75</t>
        </is>
      </c>
      <c r="M1367" s="9" t="inlineStr">
        <is>
          <t>Submission 1166193965</t>
        </is>
      </c>
      <c r="N1367" s="4" t="inlineStr">
        <is>
          <t>No</t>
        </is>
      </c>
    </row>
    <row r="1368">
      <c r="A1368" s="11" t="n">
        <v>45327.09901620371</v>
      </c>
      <c r="B1368" s="4" t="inlineStr">
        <is>
          <t>2024-02</t>
        </is>
      </c>
      <c r="C1368" s="4" t="n">
        <v>827</v>
      </c>
      <c r="D1368" s="9" t="inlineStr">
        <is>
          <t>Making A Large Island</t>
        </is>
      </c>
      <c r="E1368" s="4" t="inlineStr">
        <is>
          <t>Hard</t>
        </is>
      </c>
      <c r="F1368" s="4" t="inlineStr">
        <is>
          <t>Graph: Grid BFS/DFS</t>
        </is>
      </c>
      <c r="G1368" s="4" t="inlineStr">
        <is>
          <t>Time Limit Exceeded</t>
        </is>
      </c>
      <c r="H1368" s="4" t="inlineStr">
        <is>
          <t>Python3</t>
        </is>
      </c>
      <c r="I1368" s="4" t="inlineStr">
        <is>
          <t>N/A</t>
        </is>
      </c>
      <c r="J1368" s="4" t="inlineStr">
        <is>
          <t>N/A</t>
        </is>
      </c>
      <c r="K1368" s="4" t="n"/>
      <c r="L1368" s="4" t="inlineStr">
        <is>
          <t>70/75</t>
        </is>
      </c>
      <c r="M1368" s="9" t="inlineStr">
        <is>
          <t>Submission 1166194969</t>
        </is>
      </c>
      <c r="N1368" s="4" t="inlineStr">
        <is>
          <t>No</t>
        </is>
      </c>
    </row>
    <row r="1369">
      <c r="A1369" s="11" t="n">
        <v>45327.09944444444</v>
      </c>
      <c r="B1369" s="4" t="inlineStr">
        <is>
          <t>2024-02</t>
        </is>
      </c>
      <c r="C1369" s="4" t="n">
        <v>827</v>
      </c>
      <c r="D1369" s="9" t="inlineStr">
        <is>
          <t>Making A Large Island</t>
        </is>
      </c>
      <c r="E1369" s="4" t="inlineStr">
        <is>
          <t>Hard</t>
        </is>
      </c>
      <c r="F1369" s="4" t="inlineStr">
        <is>
          <t>Graph: Grid BFS/DFS</t>
        </is>
      </c>
      <c r="G1369" s="4" t="inlineStr">
        <is>
          <t>Time Limit Exceeded</t>
        </is>
      </c>
      <c r="H1369" s="4" t="inlineStr">
        <is>
          <t>Python3</t>
        </is>
      </c>
      <c r="I1369" s="4" t="inlineStr">
        <is>
          <t>N/A</t>
        </is>
      </c>
      <c r="J1369" s="4" t="inlineStr">
        <is>
          <t>N/A</t>
        </is>
      </c>
      <c r="K1369" s="4" t="n"/>
      <c r="L1369" s="4" t="inlineStr">
        <is>
          <t>72/75</t>
        </is>
      </c>
      <c r="M1369" s="9" t="inlineStr">
        <is>
          <t>Submission 1166195328</t>
        </is>
      </c>
      <c r="N1369" s="4" t="inlineStr">
        <is>
          <t>No</t>
        </is>
      </c>
    </row>
    <row r="1370">
      <c r="A1370" s="11" t="n">
        <v>45327.10744212963</v>
      </c>
      <c r="B1370" s="4" t="inlineStr">
        <is>
          <t>2024-02</t>
        </is>
      </c>
      <c r="C1370" s="4" t="n">
        <v>827</v>
      </c>
      <c r="D1370" s="9" t="inlineStr">
        <is>
          <t>Making A Large Island</t>
        </is>
      </c>
      <c r="E1370" s="4" t="inlineStr">
        <is>
          <t>Hard</t>
        </is>
      </c>
      <c r="F1370" s="4" t="inlineStr">
        <is>
          <t>Graph: Grid BFS/DFS</t>
        </is>
      </c>
      <c r="G1370" s="4" t="inlineStr">
        <is>
          <t>Time Limit Exceeded</t>
        </is>
      </c>
      <c r="H1370" s="4" t="inlineStr">
        <is>
          <t>Python3</t>
        </is>
      </c>
      <c r="I1370" s="4" t="inlineStr">
        <is>
          <t>N/A</t>
        </is>
      </c>
      <c r="J1370" s="4" t="inlineStr">
        <is>
          <t>N/A</t>
        </is>
      </c>
      <c r="K1370" s="4" t="n"/>
      <c r="L1370" s="4" t="inlineStr">
        <is>
          <t>70/75</t>
        </is>
      </c>
      <c r="M1370" s="9" t="inlineStr">
        <is>
          <t>Submission 1166202010</t>
        </is>
      </c>
      <c r="N1370" s="4" t="inlineStr">
        <is>
          <t>No</t>
        </is>
      </c>
    </row>
    <row r="1371">
      <c r="A1371" s="11" t="n">
        <v>45327.19188657407</v>
      </c>
      <c r="B1371" s="4" t="inlineStr">
        <is>
          <t>2024-02</t>
        </is>
      </c>
      <c r="C1371" s="4" t="n">
        <v>827</v>
      </c>
      <c r="D1371" s="9" t="inlineStr">
        <is>
          <t>Making A Large Island</t>
        </is>
      </c>
      <c r="E1371" s="4" t="inlineStr">
        <is>
          <t>Hard</t>
        </is>
      </c>
      <c r="F1371" s="4" t="inlineStr">
        <is>
          <t>Graph: Grid BFS/DFS</t>
        </is>
      </c>
      <c r="G1371" s="4" t="inlineStr">
        <is>
          <t>Accepted</t>
        </is>
      </c>
      <c r="H1371" s="4" t="inlineStr">
        <is>
          <t>Python3</t>
        </is>
      </c>
      <c r="I1371" s="4" t="inlineStr">
        <is>
          <t>2842 ms</t>
        </is>
      </c>
      <c r="J1371" s="4" t="inlineStr">
        <is>
          <t>25.4 MB</t>
        </is>
      </c>
      <c r="K1371" s="4" t="n">
        <v>5</v>
      </c>
      <c r="L1371" s="4" t="inlineStr">
        <is>
          <t>75/75</t>
        </is>
      </c>
      <c r="M1371" s="9" t="inlineStr">
        <is>
          <t>Submission 1166264777</t>
        </is>
      </c>
      <c r="N1371" s="4" t="inlineStr">
        <is>
          <t>No</t>
        </is>
      </c>
    </row>
    <row r="1372">
      <c r="A1372" s="11" t="n">
        <v>45327.30167824074</v>
      </c>
      <c r="B1372" s="4" t="inlineStr">
        <is>
          <t>2024-02</t>
        </is>
      </c>
      <c r="C1372" s="4" t="n">
        <v>296</v>
      </c>
      <c r="D1372" s="9" t="inlineStr">
        <is>
          <t>Best Meeting Point</t>
        </is>
      </c>
      <c r="E1372" s="4" t="inlineStr">
        <is>
          <t>Hard</t>
        </is>
      </c>
      <c r="F1372" s="4" t="inlineStr">
        <is>
          <t>Math &amp; Bit Manipulation</t>
        </is>
      </c>
      <c r="G1372" s="4" t="inlineStr">
        <is>
          <t>Runtime Error</t>
        </is>
      </c>
      <c r="H1372" s="4" t="inlineStr">
        <is>
          <t>Python3</t>
        </is>
      </c>
      <c r="I1372" s="4" t="inlineStr">
        <is>
          <t>N/A</t>
        </is>
      </c>
      <c r="J1372" s="4" t="inlineStr">
        <is>
          <t>N/A</t>
        </is>
      </c>
      <c r="K1372" s="4" t="n"/>
      <c r="L1372" s="4" t="inlineStr">
        <is>
          <t>0/58</t>
        </is>
      </c>
      <c r="M1372" s="9" t="inlineStr">
        <is>
          <t>Submission 1166342304</t>
        </is>
      </c>
      <c r="N1372" s="4" t="inlineStr">
        <is>
          <t>No</t>
        </is>
      </c>
    </row>
    <row r="1373">
      <c r="A1373" s="11" t="n">
        <v>45327.32019675926</v>
      </c>
      <c r="B1373" s="4" t="inlineStr">
        <is>
          <t>2024-02</t>
        </is>
      </c>
      <c r="C1373" s="4" t="n">
        <v>163</v>
      </c>
      <c r="D1373" s="9" t="inlineStr">
        <is>
          <t>Missing Ranges</t>
        </is>
      </c>
      <c r="E1373" s="4" t="inlineStr">
        <is>
          <t>Easy</t>
        </is>
      </c>
      <c r="F1373" s="4" t="inlineStr">
        <is>
          <t>Arrays, Hashing &amp; Sorting</t>
        </is>
      </c>
      <c r="G1373" s="4" t="inlineStr">
        <is>
          <t>Wrong Answer</t>
        </is>
      </c>
      <c r="H1373" s="4" t="inlineStr">
        <is>
          <t>Python3</t>
        </is>
      </c>
      <c r="I1373" s="4" t="inlineStr">
        <is>
          <t>N/A</t>
        </is>
      </c>
      <c r="J1373" s="4" t="inlineStr">
        <is>
          <t>N/A</t>
        </is>
      </c>
      <c r="K1373" s="4" t="n"/>
      <c r="L1373" s="4" t="inlineStr">
        <is>
          <t>32/39</t>
        </is>
      </c>
      <c r="M1373" s="9" t="inlineStr">
        <is>
          <t>Submission 1166355998</t>
        </is>
      </c>
      <c r="N1373" s="4" t="inlineStr">
        <is>
          <t>No</t>
        </is>
      </c>
    </row>
    <row r="1374">
      <c r="A1374" s="11" t="n">
        <v>45327.32180555556</v>
      </c>
      <c r="B1374" s="4" t="inlineStr">
        <is>
          <t>2024-02</t>
        </is>
      </c>
      <c r="C1374" s="4" t="n">
        <v>163</v>
      </c>
      <c r="D1374" s="9" t="inlineStr">
        <is>
          <t>Missing Ranges</t>
        </is>
      </c>
      <c r="E1374" s="4" t="inlineStr">
        <is>
          <t>Easy</t>
        </is>
      </c>
      <c r="F1374" s="4" t="inlineStr">
        <is>
          <t>Arrays, Hashing &amp; Sorting</t>
        </is>
      </c>
      <c r="G1374" s="4" t="inlineStr">
        <is>
          <t>Accepted</t>
        </is>
      </c>
      <c r="H1374" s="4" t="inlineStr">
        <is>
          <t>Python3</t>
        </is>
      </c>
      <c r="I1374" s="4" t="inlineStr">
        <is>
          <t>35 ms</t>
        </is>
      </c>
      <c r="J1374" s="4" t="inlineStr">
        <is>
          <t>16.8 MB</t>
        </is>
      </c>
      <c r="K1374" s="4" t="n">
        <v>0</v>
      </c>
      <c r="L1374" s="4" t="inlineStr">
        <is>
          <t>39/39</t>
        </is>
      </c>
      <c r="M1374" s="9" t="inlineStr">
        <is>
          <t>Submission 1166357219</t>
        </is>
      </c>
      <c r="N1374" s="4" t="inlineStr">
        <is>
          <t>No</t>
        </is>
      </c>
    </row>
    <row r="1375">
      <c r="A1375" s="11" t="n">
        <v>45327.32188657407</v>
      </c>
      <c r="B1375" s="4" t="inlineStr">
        <is>
          <t>2024-02</t>
        </is>
      </c>
      <c r="C1375" s="4" t="n">
        <v>163</v>
      </c>
      <c r="D1375" s="9" t="inlineStr">
        <is>
          <t>Missing Ranges</t>
        </is>
      </c>
      <c r="E1375" s="4" t="inlineStr">
        <is>
          <t>Easy</t>
        </is>
      </c>
      <c r="F1375" s="4" t="inlineStr">
        <is>
          <t>Arrays, Hashing &amp; Sorting</t>
        </is>
      </c>
      <c r="G1375" s="4" t="inlineStr">
        <is>
          <t>Accepted</t>
        </is>
      </c>
      <c r="H1375" s="4" t="inlineStr">
        <is>
          <t>Python3</t>
        </is>
      </c>
      <c r="I1375" s="4" t="inlineStr">
        <is>
          <t>30 ms</t>
        </is>
      </c>
      <c r="J1375" s="4" t="inlineStr">
        <is>
          <t>16.6 MB</t>
        </is>
      </c>
      <c r="K1375" s="4" t="n">
        <v>0</v>
      </c>
      <c r="L1375" s="4" t="inlineStr">
        <is>
          <t>39/39</t>
        </is>
      </c>
      <c r="M1375" s="9" t="inlineStr">
        <is>
          <t>Submission 1166357276</t>
        </is>
      </c>
      <c r="N1375" s="4" t="inlineStr">
        <is>
          <t>No</t>
        </is>
      </c>
    </row>
    <row r="1376">
      <c r="A1376" s="11" t="n">
        <v>45327.89678240741</v>
      </c>
      <c r="B1376" s="4" t="inlineStr">
        <is>
          <t>2024-02</t>
        </is>
      </c>
      <c r="C1376" s="4" t="n">
        <v>1249</v>
      </c>
      <c r="D1376" s="9" t="inlineStr">
        <is>
          <t>Minimum Remove to Make Valid Parentheses</t>
        </is>
      </c>
      <c r="E1376" s="4" t="inlineStr">
        <is>
          <t>Medium</t>
        </is>
      </c>
      <c r="F1376" s="4" t="inlineStr">
        <is>
          <t>Stack</t>
        </is>
      </c>
      <c r="G1376" s="4" t="inlineStr">
        <is>
          <t>Accepted</t>
        </is>
      </c>
      <c r="H1376" s="4" t="inlineStr">
        <is>
          <t>Python3</t>
        </is>
      </c>
      <c r="I1376" s="4" t="inlineStr">
        <is>
          <t>1082 ms</t>
        </is>
      </c>
      <c r="J1376" s="4" t="inlineStr">
        <is>
          <t>18.8 MB</t>
        </is>
      </c>
      <c r="K1376" s="4" t="n">
        <v>5</v>
      </c>
      <c r="L1376" s="4" t="inlineStr">
        <is>
          <t>62/62</t>
        </is>
      </c>
      <c r="M1376" s="9" t="inlineStr">
        <is>
          <t>Submission 1166928511</t>
        </is>
      </c>
      <c r="N1376" s="4" t="inlineStr">
        <is>
          <t>No</t>
        </is>
      </c>
    </row>
    <row r="1377">
      <c r="A1377" s="11" t="n">
        <v>45328.22459490741</v>
      </c>
      <c r="B1377" s="4" t="inlineStr">
        <is>
          <t>2024-02</t>
        </is>
      </c>
      <c r="C1377" s="4" t="n">
        <v>129</v>
      </c>
      <c r="D1377" s="9" t="inlineStr">
        <is>
          <t>Sum Root to Leaf Numbers</t>
        </is>
      </c>
      <c r="E1377" s="4" t="inlineStr">
        <is>
          <t>Medium</t>
        </is>
      </c>
      <c r="F1377" s="4" t="inlineStr">
        <is>
          <t>Binary Tree (DFS &amp; Recursion)</t>
        </is>
      </c>
      <c r="G1377" s="4" t="inlineStr">
        <is>
          <t>Accepted</t>
        </is>
      </c>
      <c r="H1377" s="4" t="inlineStr">
        <is>
          <t>Python3</t>
        </is>
      </c>
      <c r="I1377" s="4" t="inlineStr">
        <is>
          <t>33 ms</t>
        </is>
      </c>
      <c r="J1377" s="4" t="inlineStr">
        <is>
          <t>16.7 MB</t>
        </is>
      </c>
      <c r="K1377" s="4" t="n">
        <v>0.2</v>
      </c>
      <c r="L1377" s="4" t="inlineStr">
        <is>
          <t>108/108</t>
        </is>
      </c>
      <c r="M1377" s="9" t="inlineStr">
        <is>
          <t>Submission 1167280079</t>
        </is>
      </c>
      <c r="N1377" s="4" t="inlineStr">
        <is>
          <t>Yes</t>
        </is>
      </c>
    </row>
    <row r="1378">
      <c r="A1378" s="11" t="n">
        <v>45328.22479166667</v>
      </c>
      <c r="B1378" s="4" t="inlineStr">
        <is>
          <t>2024-02</t>
        </is>
      </c>
      <c r="C1378" s="4" t="n">
        <v>129</v>
      </c>
      <c r="D1378" s="9" t="inlineStr">
        <is>
          <t>Sum Root to Leaf Numbers</t>
        </is>
      </c>
      <c r="E1378" s="4" t="inlineStr">
        <is>
          <t>Medium</t>
        </is>
      </c>
      <c r="F1378" s="4" t="inlineStr">
        <is>
          <t>Binary Tree (DFS &amp; Recursion)</t>
        </is>
      </c>
      <c r="G1378" s="4" t="inlineStr">
        <is>
          <t>Accepted</t>
        </is>
      </c>
      <c r="H1378" s="4" t="inlineStr">
        <is>
          <t>Python3</t>
        </is>
      </c>
      <c r="I1378" s="4" t="inlineStr">
        <is>
          <t>28 ms</t>
        </is>
      </c>
      <c r="J1378" s="4" t="inlineStr">
        <is>
          <t>16.6 MB</t>
        </is>
      </c>
      <c r="K1378" s="4" t="n">
        <v>0.2</v>
      </c>
      <c r="L1378" s="4" t="inlineStr">
        <is>
          <t>108/108</t>
        </is>
      </c>
      <c r="M1378" s="9" t="inlineStr">
        <is>
          <t>Submission 1167280195</t>
        </is>
      </c>
      <c r="N1378" s="4" t="inlineStr">
        <is>
          <t>Yes</t>
        </is>
      </c>
    </row>
    <row r="1379">
      <c r="A1379" s="11" t="n">
        <v>45328.22484953704</v>
      </c>
      <c r="B1379" s="4" t="inlineStr">
        <is>
          <t>2024-02</t>
        </is>
      </c>
      <c r="C1379" s="4" t="n">
        <v>129</v>
      </c>
      <c r="D1379" s="9" t="inlineStr">
        <is>
          <t>Sum Root to Leaf Numbers</t>
        </is>
      </c>
      <c r="E1379" s="4" t="inlineStr">
        <is>
          <t>Medium</t>
        </is>
      </c>
      <c r="F1379" s="4" t="inlineStr">
        <is>
          <t>Binary Tree (DFS &amp; Recursion)</t>
        </is>
      </c>
      <c r="G1379" s="4" t="inlineStr">
        <is>
          <t>Accepted</t>
        </is>
      </c>
      <c r="H1379" s="4" t="inlineStr">
        <is>
          <t>Python3</t>
        </is>
      </c>
      <c r="I1379" s="4" t="inlineStr">
        <is>
          <t>36 ms</t>
        </is>
      </c>
      <c r="J1379" s="4" t="inlineStr">
        <is>
          <t>16.7 MB</t>
        </is>
      </c>
      <c r="K1379" s="4" t="n">
        <v>0.2</v>
      </c>
      <c r="L1379" s="4" t="inlineStr">
        <is>
          <t>108/108</t>
        </is>
      </c>
      <c r="M1379" s="9" t="inlineStr">
        <is>
          <t>Submission 1167280238</t>
        </is>
      </c>
      <c r="N1379" s="4" t="inlineStr">
        <is>
          <t>Yes</t>
        </is>
      </c>
    </row>
    <row r="1380">
      <c r="A1380" s="11" t="n">
        <v>45328.22490740741</v>
      </c>
      <c r="B1380" s="4" t="inlineStr">
        <is>
          <t>2024-02</t>
        </is>
      </c>
      <c r="C1380" s="4" t="n">
        <v>129</v>
      </c>
      <c r="D1380" s="9" t="inlineStr">
        <is>
          <t>Sum Root to Leaf Numbers</t>
        </is>
      </c>
      <c r="E1380" s="4" t="inlineStr">
        <is>
          <t>Medium</t>
        </is>
      </c>
      <c r="F1380" s="4" t="inlineStr">
        <is>
          <t>Binary Tree (DFS &amp; Recursion)</t>
        </is>
      </c>
      <c r="G1380" s="4" t="inlineStr">
        <is>
          <t>Accepted</t>
        </is>
      </c>
      <c r="H1380" s="4" t="inlineStr">
        <is>
          <t>Python3</t>
        </is>
      </c>
      <c r="I1380" s="4" t="inlineStr">
        <is>
          <t>36 ms</t>
        </is>
      </c>
      <c r="J1380" s="4" t="inlineStr">
        <is>
          <t>16.6 MB</t>
        </is>
      </c>
      <c r="K1380" s="4" t="n">
        <v>0.2</v>
      </c>
      <c r="L1380" s="4" t="inlineStr">
        <is>
          <t>108/108</t>
        </is>
      </c>
      <c r="M1380" s="9" t="inlineStr">
        <is>
          <t>Submission 1167280282</t>
        </is>
      </c>
      <c r="N1380" s="4" t="inlineStr">
        <is>
          <t>Yes</t>
        </is>
      </c>
    </row>
    <row r="1381">
      <c r="A1381" s="11" t="n">
        <v>45328.22938657407</v>
      </c>
      <c r="B1381" s="4" t="inlineStr">
        <is>
          <t>2024-02</t>
        </is>
      </c>
      <c r="C1381" s="4" t="n">
        <v>973</v>
      </c>
      <c r="D1381" s="9" t="inlineStr">
        <is>
          <t>K Closest Points to Origin</t>
        </is>
      </c>
      <c r="E1381" s="4" t="inlineStr">
        <is>
          <t>Medium</t>
        </is>
      </c>
      <c r="F1381" s="4" t="inlineStr">
        <is>
          <t>Heap / Top-K</t>
        </is>
      </c>
      <c r="G1381" s="4" t="inlineStr">
        <is>
          <t>Accepted</t>
        </is>
      </c>
      <c r="H1381" s="4" t="inlineStr">
        <is>
          <t>Python3</t>
        </is>
      </c>
      <c r="I1381" s="4" t="inlineStr">
        <is>
          <t>633 ms</t>
        </is>
      </c>
      <c r="J1381" s="4" t="inlineStr">
        <is>
          <t>23.1 MB</t>
        </is>
      </c>
      <c r="K1381" s="4" t="n">
        <v>5</v>
      </c>
      <c r="L1381" s="4" t="inlineStr">
        <is>
          <t>87/87</t>
        </is>
      </c>
      <c r="M1381" s="9" t="inlineStr">
        <is>
          <t>Submission 1167283292</t>
        </is>
      </c>
      <c r="N1381" s="4" t="inlineStr">
        <is>
          <t>Yes</t>
        </is>
      </c>
    </row>
    <row r="1382">
      <c r="A1382" s="11" t="n">
        <v>45328.23423611111</v>
      </c>
      <c r="B1382" s="4" t="inlineStr">
        <is>
          <t>2024-02</t>
        </is>
      </c>
      <c r="C1382" s="4" t="n">
        <v>162</v>
      </c>
      <c r="D1382" s="9" t="inlineStr">
        <is>
          <t>Find Peak Element</t>
        </is>
      </c>
      <c r="E1382" s="4" t="inlineStr">
        <is>
          <t>Medium</t>
        </is>
      </c>
      <c r="F1382" s="4" t="inlineStr">
        <is>
          <t>Binary Search</t>
        </is>
      </c>
      <c r="G1382" s="4" t="inlineStr">
        <is>
          <t>Accepted</t>
        </is>
      </c>
      <c r="H1382" s="4" t="inlineStr">
        <is>
          <t>Python3</t>
        </is>
      </c>
      <c r="I1382" s="4" t="inlineStr">
        <is>
          <t>30 ms</t>
        </is>
      </c>
      <c r="J1382" s="4" t="inlineStr">
        <is>
          <t>16.9 MB</t>
        </is>
      </c>
      <c r="K1382" s="4" t="n">
        <v>0.3</v>
      </c>
      <c r="L1382" s="4" t="inlineStr">
        <is>
          <t>66/66</t>
        </is>
      </c>
      <c r="M1382" s="9" t="inlineStr">
        <is>
          <t>Submission 1167286757</t>
        </is>
      </c>
      <c r="N1382" s="4" t="inlineStr">
        <is>
          <t>Yes</t>
        </is>
      </c>
    </row>
    <row r="1383">
      <c r="A1383" s="11" t="n">
        <v>45328.24839120371</v>
      </c>
      <c r="B1383" s="4" t="inlineStr">
        <is>
          <t>2024-02</t>
        </is>
      </c>
      <c r="C1383" s="4" t="n">
        <v>18</v>
      </c>
      <c r="D1383" s="9" t="inlineStr">
        <is>
          <t>4Sum</t>
        </is>
      </c>
      <c r="E1383" s="4" t="inlineStr">
        <is>
          <t>Medium</t>
        </is>
      </c>
      <c r="F1383" s="4" t="inlineStr">
        <is>
          <t>Two Pointers</t>
        </is>
      </c>
      <c r="G1383" s="4" t="inlineStr">
        <is>
          <t>Wrong Answer</t>
        </is>
      </c>
      <c r="H1383" s="4" t="inlineStr">
        <is>
          <t>Python3</t>
        </is>
      </c>
      <c r="I1383" s="4" t="inlineStr">
        <is>
          <t>N/A</t>
        </is>
      </c>
      <c r="J1383" s="4" t="inlineStr">
        <is>
          <t>N/A</t>
        </is>
      </c>
      <c r="K1383" s="4" t="n"/>
      <c r="L1383" s="4" t="inlineStr">
        <is>
          <t>256/294</t>
        </is>
      </c>
      <c r="M1383" s="9" t="inlineStr">
        <is>
          <t>Submission 1167296963</t>
        </is>
      </c>
      <c r="N1383" s="4" t="inlineStr">
        <is>
          <t>No</t>
        </is>
      </c>
    </row>
    <row r="1384">
      <c r="A1384" s="11" t="n">
        <v>45328.24900462963</v>
      </c>
      <c r="B1384" s="4" t="inlineStr">
        <is>
          <t>2024-02</t>
        </is>
      </c>
      <c r="C1384" s="4" t="n">
        <v>18</v>
      </c>
      <c r="D1384" s="9" t="inlineStr">
        <is>
          <t>4Sum</t>
        </is>
      </c>
      <c r="E1384" s="4" t="inlineStr">
        <is>
          <t>Medium</t>
        </is>
      </c>
      <c r="F1384" s="4" t="inlineStr">
        <is>
          <t>Two Pointers</t>
        </is>
      </c>
      <c r="G1384" s="4" t="inlineStr">
        <is>
          <t>Accepted</t>
        </is>
      </c>
      <c r="H1384" s="4" t="inlineStr">
        <is>
          <t>Python3</t>
        </is>
      </c>
      <c r="I1384" s="4" t="inlineStr">
        <is>
          <t>503 ms</t>
        </is>
      </c>
      <c r="J1384" s="4" t="inlineStr">
        <is>
          <t>16.5 MB</t>
        </is>
      </c>
      <c r="K1384" s="4" t="n">
        <v>17.7</v>
      </c>
      <c r="L1384" s="4" t="inlineStr">
        <is>
          <t>294/294</t>
        </is>
      </c>
      <c r="M1384" s="9" t="inlineStr">
        <is>
          <t>Submission 1167297427</t>
        </is>
      </c>
      <c r="N1384" s="4" t="inlineStr">
        <is>
          <t>No</t>
        </is>
      </c>
    </row>
    <row r="1385">
      <c r="A1385" s="11" t="n">
        <v>45328.25865740741</v>
      </c>
      <c r="B1385" s="4" t="inlineStr">
        <is>
          <t>2024-02</t>
        </is>
      </c>
      <c r="C1385" s="4" t="n">
        <v>18</v>
      </c>
      <c r="D1385" s="9" t="inlineStr">
        <is>
          <t>4Sum</t>
        </is>
      </c>
      <c r="E1385" s="4" t="inlineStr">
        <is>
          <t>Medium</t>
        </is>
      </c>
      <c r="F1385" s="4" t="inlineStr">
        <is>
          <t>Two Pointers</t>
        </is>
      </c>
      <c r="G1385" s="4" t="inlineStr">
        <is>
          <t>Accepted</t>
        </is>
      </c>
      <c r="H1385" s="4" t="inlineStr">
        <is>
          <t>Python3</t>
        </is>
      </c>
      <c r="I1385" s="4" t="inlineStr">
        <is>
          <t>715 ms</t>
        </is>
      </c>
      <c r="J1385" s="4" t="inlineStr">
        <is>
          <t>16.6 MB</t>
        </is>
      </c>
      <c r="K1385" s="4" t="n">
        <v>7.8</v>
      </c>
      <c r="L1385" s="4" t="inlineStr">
        <is>
          <t>294/294</t>
        </is>
      </c>
      <c r="M1385" s="9" t="inlineStr">
        <is>
          <t>Submission 1167304301</t>
        </is>
      </c>
      <c r="N1385" s="4" t="inlineStr">
        <is>
          <t>No</t>
        </is>
      </c>
    </row>
    <row r="1386">
      <c r="A1386" s="11" t="n">
        <v>45328.27107638889</v>
      </c>
      <c r="B1386" s="4" t="inlineStr">
        <is>
          <t>2024-02</t>
        </is>
      </c>
      <c r="C1386" s="4" t="n">
        <v>270</v>
      </c>
      <c r="D1386" s="9" t="inlineStr">
        <is>
          <t>Closest Binary Search Tree Value</t>
        </is>
      </c>
      <c r="E1386" s="4" t="inlineStr">
        <is>
          <t>Easy</t>
        </is>
      </c>
      <c r="F1386" s="4" t="inlineStr">
        <is>
          <t>Binary Search Tree</t>
        </is>
      </c>
      <c r="G1386" s="4" t="inlineStr">
        <is>
          <t>Wrong Answer</t>
        </is>
      </c>
      <c r="H1386" s="4" t="inlineStr">
        <is>
          <t>Python3</t>
        </is>
      </c>
      <c r="I1386" s="4" t="inlineStr">
        <is>
          <t>N/A</t>
        </is>
      </c>
      <c r="J1386" s="4" t="inlineStr">
        <is>
          <t>N/A</t>
        </is>
      </c>
      <c r="K1386" s="4" t="n"/>
      <c r="L1386" s="4" t="inlineStr">
        <is>
          <t>64/65</t>
        </is>
      </c>
      <c r="M1386" s="9" t="inlineStr">
        <is>
          <t>Submission 1167313367</t>
        </is>
      </c>
      <c r="N1386" s="4" t="inlineStr">
        <is>
          <t>Yes</t>
        </is>
      </c>
    </row>
    <row r="1387">
      <c r="A1387" s="11" t="n">
        <v>45328.28502314815</v>
      </c>
      <c r="B1387" s="4" t="inlineStr">
        <is>
          <t>2024-02</t>
        </is>
      </c>
      <c r="C1387" s="4" t="n">
        <v>1091</v>
      </c>
      <c r="D1387" s="9" t="inlineStr">
        <is>
          <t>Shortest Path in Binary Matrix</t>
        </is>
      </c>
      <c r="E1387" s="4" t="inlineStr">
        <is>
          <t>Medium</t>
        </is>
      </c>
      <c r="F1387" s="4" t="inlineStr">
        <is>
          <t>Graph: Shortest Path</t>
        </is>
      </c>
      <c r="G1387" s="4" t="inlineStr">
        <is>
          <t>Accepted</t>
        </is>
      </c>
      <c r="H1387" s="4" t="inlineStr">
        <is>
          <t>Python3</t>
        </is>
      </c>
      <c r="I1387" s="4" t="inlineStr">
        <is>
          <t>410 ms</t>
        </is>
      </c>
      <c r="J1387" s="4" t="inlineStr">
        <is>
          <t>18.3 MB</t>
        </is>
      </c>
      <c r="K1387" s="4" t="n">
        <v>5.1</v>
      </c>
      <c r="L1387" s="4" t="inlineStr">
        <is>
          <t>90/90</t>
        </is>
      </c>
      <c r="M1387" s="9" t="inlineStr">
        <is>
          <t>Submission 1167323415</t>
        </is>
      </c>
      <c r="N1387" s="4" t="inlineStr">
        <is>
          <t>Yes</t>
        </is>
      </c>
    </row>
    <row r="1388">
      <c r="A1388" s="11" t="n">
        <v>45328.30020833333</v>
      </c>
      <c r="B1388" s="4" t="inlineStr">
        <is>
          <t>2024-02</t>
        </is>
      </c>
      <c r="C1388" s="4" t="n">
        <v>827</v>
      </c>
      <c r="D1388" s="9" t="inlineStr">
        <is>
          <t>Making A Large Island</t>
        </is>
      </c>
      <c r="E1388" s="4" t="inlineStr">
        <is>
          <t>Hard</t>
        </is>
      </c>
      <c r="F1388" s="4" t="inlineStr">
        <is>
          <t>Graph: Grid BFS/DFS</t>
        </is>
      </c>
      <c r="G1388" s="4" t="inlineStr">
        <is>
          <t>Accepted</t>
        </is>
      </c>
      <c r="H1388" s="4" t="inlineStr">
        <is>
          <t>Python3</t>
        </is>
      </c>
      <c r="I1388" s="4" t="inlineStr">
        <is>
          <t>2890 ms</t>
        </is>
      </c>
      <c r="J1388" s="4" t="inlineStr">
        <is>
          <t>25.4 MB</t>
        </is>
      </c>
      <c r="K1388" s="4" t="n">
        <v>5</v>
      </c>
      <c r="L1388" s="4" t="inlineStr">
        <is>
          <t>75/75</t>
        </is>
      </c>
      <c r="M1388" s="9" t="inlineStr">
        <is>
          <t>Submission 1167335012</t>
        </is>
      </c>
      <c r="N1388" s="4" t="inlineStr">
        <is>
          <t>No</t>
        </is>
      </c>
    </row>
    <row r="1389">
      <c r="A1389" s="11" t="n">
        <v>45328.45270833333</v>
      </c>
      <c r="B1389" s="4" t="inlineStr">
        <is>
          <t>2024-02</t>
        </is>
      </c>
      <c r="C1389" s="4" t="n">
        <v>1382</v>
      </c>
      <c r="D1389" s="9" t="inlineStr">
        <is>
          <t>Balance a Binary Search Tree</t>
        </is>
      </c>
      <c r="E1389" s="4" t="inlineStr">
        <is>
          <t>Medium</t>
        </is>
      </c>
      <c r="F1389" s="4" t="inlineStr">
        <is>
          <t>Binary Search Tree</t>
        </is>
      </c>
      <c r="G1389" s="4" t="inlineStr">
        <is>
          <t>Accepted</t>
        </is>
      </c>
      <c r="H1389" s="4" t="inlineStr">
        <is>
          <t>Python3</t>
        </is>
      </c>
      <c r="I1389" s="4" t="inlineStr">
        <is>
          <t>199 ms</t>
        </is>
      </c>
      <c r="J1389" s="4" t="inlineStr">
        <is>
          <t>20.3 MB</t>
        </is>
      </c>
      <c r="K1389" s="4" t="n">
        <v>6.2</v>
      </c>
      <c r="L1389" s="4" t="inlineStr">
        <is>
          <t>17/17</t>
        </is>
      </c>
      <c r="M1389" s="9" t="inlineStr">
        <is>
          <t>Submission 1167477754</t>
        </is>
      </c>
      <c r="N1389" s="4" t="inlineStr">
        <is>
          <t>No</t>
        </is>
      </c>
    </row>
    <row r="1390">
      <c r="A1390" s="11" t="n">
        <v>45328.4637962963</v>
      </c>
      <c r="B1390" s="4" t="inlineStr">
        <is>
          <t>2024-02</t>
        </is>
      </c>
      <c r="C1390" s="4" t="n">
        <v>2265</v>
      </c>
      <c r="D1390" s="9" t="inlineStr">
        <is>
          <t>Count Nodes Equal to Average of Subtree</t>
        </is>
      </c>
      <c r="E1390" s="4" t="inlineStr">
        <is>
          <t>Medium</t>
        </is>
      </c>
      <c r="F1390" s="4" t="inlineStr">
        <is>
          <t>Binary Tree (DFS &amp; Recursion)</t>
        </is>
      </c>
      <c r="G1390" s="4" t="inlineStr">
        <is>
          <t>Accepted</t>
        </is>
      </c>
      <c r="H1390" s="4" t="inlineStr">
        <is>
          <t>Python3</t>
        </is>
      </c>
      <c r="I1390" s="4" t="inlineStr">
        <is>
          <t>47 ms</t>
        </is>
      </c>
      <c r="J1390" s="4" t="inlineStr">
        <is>
          <t>16.8 MB</t>
        </is>
      </c>
      <c r="K1390" s="4" t="n">
        <v>77.5</v>
      </c>
      <c r="L1390" s="4" t="inlineStr">
        <is>
          <t>139/139</t>
        </is>
      </c>
      <c r="M1390" s="9" t="inlineStr">
        <is>
          <t>Submission 1167489848</t>
        </is>
      </c>
      <c r="N1390" s="4" t="inlineStr">
        <is>
          <t>No</t>
        </is>
      </c>
    </row>
    <row r="1391">
      <c r="A1391" s="11" t="n">
        <v>45328.49252314815</v>
      </c>
      <c r="B1391" s="4" t="inlineStr">
        <is>
          <t>2024-02</t>
        </is>
      </c>
      <c r="C1391" s="4" t="n">
        <v>140</v>
      </c>
      <c r="D1391" s="9" t="inlineStr">
        <is>
          <t>Word Break II</t>
        </is>
      </c>
      <c r="E1391" s="4" t="inlineStr">
        <is>
          <t>Hard</t>
        </is>
      </c>
      <c r="F1391" s="4" t="inlineStr">
        <is>
          <t>Backtracking</t>
        </is>
      </c>
      <c r="G1391" s="4" t="inlineStr">
        <is>
          <t>Accepted</t>
        </is>
      </c>
      <c r="H1391" s="4" t="inlineStr">
        <is>
          <t>Python3</t>
        </is>
      </c>
      <c r="I1391" s="4" t="inlineStr">
        <is>
          <t>42 ms</t>
        </is>
      </c>
      <c r="J1391" s="4" t="inlineStr">
        <is>
          <t>17.3 MB</t>
        </is>
      </c>
      <c r="K1391" s="4" t="n">
        <v>0.3</v>
      </c>
      <c r="L1391" s="4" t="inlineStr">
        <is>
          <t>27/27</t>
        </is>
      </c>
      <c r="M1391" s="9" t="inlineStr">
        <is>
          <t>Submission 1167521775</t>
        </is>
      </c>
      <c r="N1391" s="4" t="inlineStr">
        <is>
          <t>Yes</t>
        </is>
      </c>
    </row>
    <row r="1392">
      <c r="A1392" s="11" t="n">
        <v>45328.49771990741</v>
      </c>
      <c r="B1392" s="4" t="inlineStr">
        <is>
          <t>2024-02</t>
        </is>
      </c>
      <c r="C1392" s="4" t="n">
        <v>140</v>
      </c>
      <c r="D1392" s="9" t="inlineStr">
        <is>
          <t>Word Break II</t>
        </is>
      </c>
      <c r="E1392" s="4" t="inlineStr">
        <is>
          <t>Hard</t>
        </is>
      </c>
      <c r="F1392" s="4" t="inlineStr">
        <is>
          <t>Backtracking</t>
        </is>
      </c>
      <c r="G1392" s="4" t="inlineStr">
        <is>
          <t>Accepted</t>
        </is>
      </c>
      <c r="H1392" s="4" t="inlineStr">
        <is>
          <t>Python3</t>
        </is>
      </c>
      <c r="I1392" s="4" t="inlineStr">
        <is>
          <t>35 ms</t>
        </is>
      </c>
      <c r="J1392" s="4" t="inlineStr">
        <is>
          <t>17.2 MB</t>
        </is>
      </c>
      <c r="K1392" s="4" t="n">
        <v>0.3</v>
      </c>
      <c r="L1392" s="4" t="inlineStr">
        <is>
          <t>27/27</t>
        </is>
      </c>
      <c r="M1392" s="9" t="inlineStr">
        <is>
          <t>Submission 1167527618</t>
        </is>
      </c>
      <c r="N1392" s="4" t="inlineStr">
        <is>
          <t>Yes</t>
        </is>
      </c>
    </row>
    <row r="1393">
      <c r="A1393" s="11" t="n">
        <v>45328.51577546296</v>
      </c>
      <c r="B1393" s="4" t="inlineStr">
        <is>
          <t>2024-02</t>
        </is>
      </c>
      <c r="C1393" s="4" t="n">
        <v>1539</v>
      </c>
      <c r="D1393" s="9" t="inlineStr">
        <is>
          <t>Kth Missing Positive Number</t>
        </is>
      </c>
      <c r="E1393" s="4" t="inlineStr">
        <is>
          <t>Easy</t>
        </is>
      </c>
      <c r="F1393" s="4" t="inlineStr">
        <is>
          <t>Binary Search</t>
        </is>
      </c>
      <c r="G1393" s="4" t="inlineStr">
        <is>
          <t>Wrong Answer</t>
        </is>
      </c>
      <c r="H1393" s="4" t="inlineStr">
        <is>
          <t>Python3</t>
        </is>
      </c>
      <c r="I1393" s="4" t="inlineStr">
        <is>
          <t>N/A</t>
        </is>
      </c>
      <c r="J1393" s="4" t="inlineStr">
        <is>
          <t>N/A</t>
        </is>
      </c>
      <c r="K1393" s="4" t="n"/>
      <c r="L1393" s="4" t="inlineStr">
        <is>
          <t>13/86</t>
        </is>
      </c>
      <c r="M1393" s="9" t="inlineStr">
        <is>
          <t>Submission 1167548075</t>
        </is>
      </c>
      <c r="N1393" s="4" t="inlineStr">
        <is>
          <t>No</t>
        </is>
      </c>
    </row>
    <row r="1394">
      <c r="A1394" s="11" t="n">
        <v>45328.53753472222</v>
      </c>
      <c r="B1394" s="4" t="inlineStr">
        <is>
          <t>2024-02</t>
        </is>
      </c>
      <c r="C1394" s="4" t="n">
        <v>1161</v>
      </c>
      <c r="D1394" s="9" t="inlineStr">
        <is>
          <t>Maximum Level Sum of a Binary Tree</t>
        </is>
      </c>
      <c r="E1394" s="4" t="inlineStr">
        <is>
          <t>Medium</t>
        </is>
      </c>
      <c r="F1394" s="4" t="inlineStr">
        <is>
          <t>Binary Tree (BFS / Level Order)</t>
        </is>
      </c>
      <c r="G1394" s="4" t="inlineStr">
        <is>
          <t>Wrong Answer</t>
        </is>
      </c>
      <c r="H1394" s="4" t="inlineStr">
        <is>
          <t>Python3</t>
        </is>
      </c>
      <c r="I1394" s="4" t="inlineStr">
        <is>
          <t>N/A</t>
        </is>
      </c>
      <c r="J1394" s="4" t="inlineStr">
        <is>
          <t>N/A</t>
        </is>
      </c>
      <c r="K1394" s="4" t="n"/>
      <c r="L1394" s="4" t="inlineStr">
        <is>
          <t>38/41</t>
        </is>
      </c>
      <c r="M1394" s="9" t="inlineStr">
        <is>
          <t>Submission 1167571169</t>
        </is>
      </c>
      <c r="N1394" s="4" t="inlineStr">
        <is>
          <t>No</t>
        </is>
      </c>
    </row>
    <row r="1395">
      <c r="A1395" s="11" t="n">
        <v>45328.53829861111</v>
      </c>
      <c r="B1395" s="4" t="inlineStr">
        <is>
          <t>2024-02</t>
        </is>
      </c>
      <c r="C1395" s="4" t="n">
        <v>1161</v>
      </c>
      <c r="D1395" s="9" t="inlineStr">
        <is>
          <t>Maximum Level Sum of a Binary Tree</t>
        </is>
      </c>
      <c r="E1395" s="4" t="inlineStr">
        <is>
          <t>Medium</t>
        </is>
      </c>
      <c r="F1395" s="4" t="inlineStr">
        <is>
          <t>Binary Tree (BFS / Level Order)</t>
        </is>
      </c>
      <c r="G1395" s="4" t="inlineStr">
        <is>
          <t>Accepted</t>
        </is>
      </c>
      <c r="H1395" s="4" t="inlineStr">
        <is>
          <t>Python3</t>
        </is>
      </c>
      <c r="I1395" s="4" t="inlineStr">
        <is>
          <t>154 ms</t>
        </is>
      </c>
      <c r="J1395" s="4" t="inlineStr">
        <is>
          <t>20.1 MB</t>
        </is>
      </c>
      <c r="K1395" s="4" t="n">
        <v>5.2</v>
      </c>
      <c r="L1395" s="4" t="inlineStr">
        <is>
          <t>41/41</t>
        </is>
      </c>
      <c r="M1395" s="9" t="inlineStr">
        <is>
          <t>Submission 1167571941</t>
        </is>
      </c>
      <c r="N1395" s="4" t="inlineStr">
        <is>
          <t>No</t>
        </is>
      </c>
    </row>
    <row r="1396">
      <c r="A1396" s="11" t="n">
        <v>45328.54186342593</v>
      </c>
      <c r="B1396" s="4" t="inlineStr">
        <is>
          <t>2024-02</t>
        </is>
      </c>
      <c r="C1396" s="4" t="n">
        <v>1644</v>
      </c>
      <c r="D1396" s="9" t="inlineStr">
        <is>
          <t>Lowest Common Ancestor of a Binary Tree II</t>
        </is>
      </c>
      <c r="E1396" s="4" t="inlineStr">
        <is>
          <t>Medium</t>
        </is>
      </c>
      <c r="F1396" s="4" t="inlineStr">
        <is>
          <t>Binary Tree (DFS &amp; Recursion)</t>
        </is>
      </c>
      <c r="G1396" s="4" t="inlineStr">
        <is>
          <t>Accepted</t>
        </is>
      </c>
      <c r="H1396" s="4" t="inlineStr">
        <is>
          <t>Python3</t>
        </is>
      </c>
      <c r="I1396" s="4" t="inlineStr">
        <is>
          <t>153 ms</t>
        </is>
      </c>
      <c r="J1396" s="4" t="inlineStr">
        <is>
          <t>21 MB</t>
        </is>
      </c>
      <c r="K1396" s="4" t="n">
        <v>37.1</v>
      </c>
      <c r="L1396" s="4" t="inlineStr">
        <is>
          <t>80/80</t>
        </is>
      </c>
      <c r="M1396" s="9" t="inlineStr">
        <is>
          <t>Submission 1167575616</t>
        </is>
      </c>
      <c r="N1396" s="4" t="inlineStr">
        <is>
          <t>No</t>
        </is>
      </c>
    </row>
    <row r="1397">
      <c r="A1397" s="11" t="n">
        <v>45328.54612268518</v>
      </c>
      <c r="B1397" s="4" t="inlineStr">
        <is>
          <t>2024-02</t>
        </is>
      </c>
      <c r="C1397" s="4" t="n">
        <v>1644</v>
      </c>
      <c r="D1397" s="9" t="inlineStr">
        <is>
          <t>Lowest Common Ancestor of a Binary Tree II</t>
        </is>
      </c>
      <c r="E1397" s="4" t="inlineStr">
        <is>
          <t>Medium</t>
        </is>
      </c>
      <c r="F1397" s="4" t="inlineStr">
        <is>
          <t>Binary Tree (DFS &amp; Recursion)</t>
        </is>
      </c>
      <c r="G1397" s="4" t="inlineStr">
        <is>
          <t>Accepted</t>
        </is>
      </c>
      <c r="H1397" s="4" t="inlineStr">
        <is>
          <t>Python3</t>
        </is>
      </c>
      <c r="I1397" s="4" t="inlineStr">
        <is>
          <t>151 ms</t>
        </is>
      </c>
      <c r="J1397" s="4" t="inlineStr">
        <is>
          <t>21.1 MB</t>
        </is>
      </c>
      <c r="K1397" s="4" t="n">
        <v>45.9</v>
      </c>
      <c r="L1397" s="4" t="inlineStr">
        <is>
          <t>80/80</t>
        </is>
      </c>
      <c r="M1397" s="9" t="inlineStr">
        <is>
          <t>Submission 1167580078</t>
        </is>
      </c>
      <c r="N1397" s="4" t="inlineStr">
        <is>
          <t>No</t>
        </is>
      </c>
    </row>
    <row r="1398">
      <c r="A1398" s="11" t="n">
        <v>45328.55619212963</v>
      </c>
      <c r="B1398" s="4" t="inlineStr">
        <is>
          <t>2024-02</t>
        </is>
      </c>
      <c r="C1398" s="4" t="n">
        <v>111</v>
      </c>
      <c r="D1398" s="9" t="inlineStr">
        <is>
          <t>Minimum Depth of Binary Tree</t>
        </is>
      </c>
      <c r="E1398" s="4" t="inlineStr">
        <is>
          <t>Easy</t>
        </is>
      </c>
      <c r="F1398" s="4" t="inlineStr">
        <is>
          <t>Binary Tree (BFS / Level Order)</t>
        </is>
      </c>
      <c r="G1398" s="4" t="inlineStr">
        <is>
          <t>Runtime Error</t>
        </is>
      </c>
      <c r="H1398" s="4" t="inlineStr">
        <is>
          <t>Python3</t>
        </is>
      </c>
      <c r="I1398" s="4" t="inlineStr">
        <is>
          <t>N/A</t>
        </is>
      </c>
      <c r="J1398" s="4" t="inlineStr">
        <is>
          <t>N/A</t>
        </is>
      </c>
      <c r="K1398" s="4" t="n"/>
      <c r="L1398" s="4" t="inlineStr">
        <is>
          <t>2/53</t>
        </is>
      </c>
      <c r="M1398" s="9" t="inlineStr">
        <is>
          <t>Submission 1167590140</t>
        </is>
      </c>
      <c r="N1398" s="4" t="inlineStr">
        <is>
          <t>No</t>
        </is>
      </c>
    </row>
    <row r="1399">
      <c r="A1399" s="11" t="n">
        <v>45328.55657407407</v>
      </c>
      <c r="B1399" s="4" t="inlineStr">
        <is>
          <t>2024-02</t>
        </is>
      </c>
      <c r="C1399" s="4" t="n">
        <v>111</v>
      </c>
      <c r="D1399" s="9" t="inlineStr">
        <is>
          <t>Minimum Depth of Binary Tree</t>
        </is>
      </c>
      <c r="E1399" s="4" t="inlineStr">
        <is>
          <t>Easy</t>
        </is>
      </c>
      <c r="F1399" s="4" t="inlineStr">
        <is>
          <t>Binary Tree (BFS / Level Order)</t>
        </is>
      </c>
      <c r="G1399" s="4" t="inlineStr">
        <is>
          <t>Runtime Error</t>
        </is>
      </c>
      <c r="H1399" s="4" t="inlineStr">
        <is>
          <t>Python3</t>
        </is>
      </c>
      <c r="I1399" s="4" t="inlineStr">
        <is>
          <t>N/A</t>
        </is>
      </c>
      <c r="J1399" s="4" t="inlineStr">
        <is>
          <t>N/A</t>
        </is>
      </c>
      <c r="K1399" s="4" t="n"/>
      <c r="L1399" s="4" t="inlineStr">
        <is>
          <t>2/53</t>
        </is>
      </c>
      <c r="M1399" s="9" t="inlineStr">
        <is>
          <t>Submission 1167590527</t>
        </is>
      </c>
      <c r="N1399" s="4" t="inlineStr">
        <is>
          <t>No</t>
        </is>
      </c>
    </row>
    <row r="1400">
      <c r="A1400" s="11" t="n">
        <v>45328.55681712963</v>
      </c>
      <c r="B1400" s="4" t="inlineStr">
        <is>
          <t>2024-02</t>
        </is>
      </c>
      <c r="C1400" s="4" t="n">
        <v>111</v>
      </c>
      <c r="D1400" s="9" t="inlineStr">
        <is>
          <t>Minimum Depth of Binary Tree</t>
        </is>
      </c>
      <c r="E1400" s="4" t="inlineStr">
        <is>
          <t>Easy</t>
        </is>
      </c>
      <c r="F1400" s="4" t="inlineStr">
        <is>
          <t>Binary Tree (BFS / Level Order)</t>
        </is>
      </c>
      <c r="G1400" s="4" t="inlineStr">
        <is>
          <t>Accepted</t>
        </is>
      </c>
      <c r="H1400" s="4" t="inlineStr">
        <is>
          <t>Python3</t>
        </is>
      </c>
      <c r="I1400" s="4" t="inlineStr">
        <is>
          <t>264 ms</t>
        </is>
      </c>
      <c r="J1400" s="4" t="inlineStr">
        <is>
          <t>43.4 MB</t>
        </is>
      </c>
      <c r="K1400" s="4" t="n">
        <v>5.2</v>
      </c>
      <c r="L1400" s="4" t="inlineStr">
        <is>
          <t>53/53</t>
        </is>
      </c>
      <c r="M1400" s="9" t="inlineStr">
        <is>
          <t>Submission 1167590796</t>
        </is>
      </c>
      <c r="N1400" s="4" t="inlineStr">
        <is>
          <t>No</t>
        </is>
      </c>
    </row>
    <row r="1401">
      <c r="A1401" s="11" t="n">
        <v>45328.87229166667</v>
      </c>
      <c r="B1401" s="4" t="inlineStr">
        <is>
          <t>2024-02</t>
        </is>
      </c>
      <c r="C1401" s="4" t="n">
        <v>863</v>
      </c>
      <c r="D1401" s="9" t="inlineStr">
        <is>
          <t>All Nodes Distance K in Binary Tree</t>
        </is>
      </c>
      <c r="E1401" s="4" t="inlineStr">
        <is>
          <t>Medium</t>
        </is>
      </c>
      <c r="F1401" s="4" t="inlineStr">
        <is>
          <t>Binary Tree (DFS &amp; Recursion)</t>
        </is>
      </c>
      <c r="G1401" s="4" t="inlineStr">
        <is>
          <t>Accepted</t>
        </is>
      </c>
      <c r="H1401" s="4" t="inlineStr">
        <is>
          <t>Python3</t>
        </is>
      </c>
      <c r="I1401" s="4" t="inlineStr">
        <is>
          <t>51 ms</t>
        </is>
      </c>
      <c r="J1401" s="4" t="inlineStr">
        <is>
          <t>17.1 MB</t>
        </is>
      </c>
      <c r="K1401" s="4" t="n">
        <v>45.1</v>
      </c>
      <c r="L1401" s="4" t="inlineStr">
        <is>
          <t>57/57</t>
        </is>
      </c>
      <c r="M1401" s="9" t="inlineStr">
        <is>
          <t>Submission 1167903284</t>
        </is>
      </c>
      <c r="N1401" s="4" t="inlineStr">
        <is>
          <t>Yes</t>
        </is>
      </c>
    </row>
    <row r="1402">
      <c r="A1402" s="11" t="n">
        <v>45328.89805555555</v>
      </c>
      <c r="B1402" s="4" t="inlineStr">
        <is>
          <t>2024-02</t>
        </is>
      </c>
      <c r="C1402" s="4" t="n">
        <v>865</v>
      </c>
      <c r="D1402" s="9" t="inlineStr">
        <is>
          <t>Smallest Subtree with all the Deepest Nodes</t>
        </is>
      </c>
      <c r="E1402" s="4" t="inlineStr">
        <is>
          <t>Medium</t>
        </is>
      </c>
      <c r="F1402" s="4" t="inlineStr">
        <is>
          <t>Binary Tree (DFS &amp; Recursion)</t>
        </is>
      </c>
      <c r="G1402" s="4" t="inlineStr">
        <is>
          <t>Accepted</t>
        </is>
      </c>
      <c r="H1402" s="4" t="inlineStr">
        <is>
          <t>Python3</t>
        </is>
      </c>
      <c r="I1402" s="4" t="inlineStr">
        <is>
          <t>36 ms</t>
        </is>
      </c>
      <c r="J1402" s="4" t="inlineStr">
        <is>
          <t>16.7 MB</t>
        </is>
      </c>
      <c r="K1402" s="4" t="n">
        <v>1.5</v>
      </c>
      <c r="L1402" s="4" t="inlineStr">
        <is>
          <t>58/58</t>
        </is>
      </c>
      <c r="M1402" s="9" t="inlineStr">
        <is>
          <t>Submission 1167935171</t>
        </is>
      </c>
      <c r="N1402" s="4" t="inlineStr">
        <is>
          <t>No</t>
        </is>
      </c>
    </row>
    <row r="1403">
      <c r="A1403" s="11" t="n">
        <v>45328.97233796296</v>
      </c>
      <c r="B1403" s="4" t="inlineStr">
        <is>
          <t>2024-02</t>
        </is>
      </c>
      <c r="C1403" s="4" t="n">
        <v>253</v>
      </c>
      <c r="D1403" s="9" t="inlineStr">
        <is>
          <t>Meeting Rooms II</t>
        </is>
      </c>
      <c r="E1403" s="4" t="inlineStr">
        <is>
          <t>Medium</t>
        </is>
      </c>
      <c r="F1403" s="4" t="inlineStr">
        <is>
          <t>Intervals &amp; Sweep Line</t>
        </is>
      </c>
      <c r="G1403" s="4" t="inlineStr">
        <is>
          <t>Accepted</t>
        </is>
      </c>
      <c r="H1403" s="4" t="inlineStr">
        <is>
          <t>Python3</t>
        </is>
      </c>
      <c r="I1403" s="4" t="inlineStr">
        <is>
          <t>70 ms</t>
        </is>
      </c>
      <c r="J1403" s="4" t="inlineStr">
        <is>
          <t>20.5 MB</t>
        </is>
      </c>
      <c r="K1403" s="4" t="n">
        <v>6.7</v>
      </c>
      <c r="L1403" s="4" t="inlineStr">
        <is>
          <t>79/79</t>
        </is>
      </c>
      <c r="M1403" s="9" t="inlineStr">
        <is>
          <t>Submission 1168041195</t>
        </is>
      </c>
      <c r="N1403" s="4" t="inlineStr">
        <is>
          <t>Yes</t>
        </is>
      </c>
    </row>
    <row r="1404">
      <c r="A1404" s="11" t="n">
        <v>45328.9724537037</v>
      </c>
      <c r="B1404" s="4" t="inlineStr">
        <is>
          <t>2024-02</t>
        </is>
      </c>
      <c r="C1404" s="4" t="n">
        <v>253</v>
      </c>
      <c r="D1404" s="9" t="inlineStr">
        <is>
          <t>Meeting Rooms II</t>
        </is>
      </c>
      <c r="E1404" s="4" t="inlineStr">
        <is>
          <t>Medium</t>
        </is>
      </c>
      <c r="F1404" s="4" t="inlineStr">
        <is>
          <t>Intervals &amp; Sweep Line</t>
        </is>
      </c>
      <c r="G1404" s="4" t="inlineStr">
        <is>
          <t>Wrong Answer</t>
        </is>
      </c>
      <c r="H1404" s="4" t="inlineStr">
        <is>
          <t>Python3</t>
        </is>
      </c>
      <c r="I1404" s="4" t="inlineStr">
        <is>
          <t>N/A</t>
        </is>
      </c>
      <c r="J1404" s="4" t="inlineStr">
        <is>
          <t>N/A</t>
        </is>
      </c>
      <c r="K1404" s="4" t="n"/>
      <c r="L1404" s="4" t="inlineStr">
        <is>
          <t>57/79</t>
        </is>
      </c>
      <c r="M1404" s="9" t="inlineStr">
        <is>
          <t>Submission 1168041343</t>
        </is>
      </c>
      <c r="N1404" s="4" t="inlineStr">
        <is>
          <t>Yes</t>
        </is>
      </c>
    </row>
    <row r="1405">
      <c r="A1405" s="11" t="n">
        <v>45328.98082175926</v>
      </c>
      <c r="B1405" s="4" t="inlineStr">
        <is>
          <t>2024-02</t>
        </is>
      </c>
      <c r="C1405" s="4" t="n">
        <v>253</v>
      </c>
      <c r="D1405" s="9" t="inlineStr">
        <is>
          <t>Meeting Rooms II</t>
        </is>
      </c>
      <c r="E1405" s="4" t="inlineStr">
        <is>
          <t>Medium</t>
        </is>
      </c>
      <c r="F1405" s="4" t="inlineStr">
        <is>
          <t>Intervals &amp; Sweep Line</t>
        </is>
      </c>
      <c r="G1405" s="4" t="inlineStr">
        <is>
          <t>Accepted</t>
        </is>
      </c>
      <c r="H1405" s="4" t="inlineStr">
        <is>
          <t>Python3</t>
        </is>
      </c>
      <c r="I1405" s="4" t="inlineStr">
        <is>
          <t>79 ms</t>
        </is>
      </c>
      <c r="J1405" s="4" t="inlineStr">
        <is>
          <t>20.2 MB</t>
        </is>
      </c>
      <c r="K1405" s="4" t="n">
        <v>6.7</v>
      </c>
      <c r="L1405" s="4" t="inlineStr">
        <is>
          <t>79/79</t>
        </is>
      </c>
      <c r="M1405" s="9" t="inlineStr">
        <is>
          <t>Submission 1168053663</t>
        </is>
      </c>
      <c r="N1405" s="4" t="inlineStr">
        <is>
          <t>Yes</t>
        </is>
      </c>
    </row>
    <row r="1406">
      <c r="A1406" s="11" t="n">
        <v>45328.98886574074</v>
      </c>
      <c r="B1406" s="4" t="inlineStr">
        <is>
          <t>2024-02</t>
        </is>
      </c>
      <c r="C1406" s="4" t="n">
        <v>253</v>
      </c>
      <c r="D1406" s="9" t="inlineStr">
        <is>
          <t>Meeting Rooms II</t>
        </is>
      </c>
      <c r="E1406" s="4" t="inlineStr">
        <is>
          <t>Medium</t>
        </is>
      </c>
      <c r="F1406" s="4" t="inlineStr">
        <is>
          <t>Intervals &amp; Sweep Line</t>
        </is>
      </c>
      <c r="G1406" s="4" t="inlineStr">
        <is>
          <t>Accepted</t>
        </is>
      </c>
      <c r="H1406" s="4" t="inlineStr">
        <is>
          <t>Python3</t>
        </is>
      </c>
      <c r="I1406" s="4" t="inlineStr">
        <is>
          <t>81 ms</t>
        </is>
      </c>
      <c r="J1406" s="4" t="inlineStr">
        <is>
          <t>20.4 MB</t>
        </is>
      </c>
      <c r="K1406" s="4" t="n">
        <v>6.7</v>
      </c>
      <c r="L1406" s="4" t="inlineStr">
        <is>
          <t>79/79</t>
        </is>
      </c>
      <c r="M1406" s="9" t="inlineStr">
        <is>
          <t>Submission 1168065445</t>
        </is>
      </c>
      <c r="N1406" s="4" t="inlineStr">
        <is>
          <t>Yes</t>
        </is>
      </c>
    </row>
    <row r="1407">
      <c r="A1407" s="11" t="n">
        <v>45329.03001157408</v>
      </c>
      <c r="B1407" s="4" t="inlineStr">
        <is>
          <t>2024-02</t>
        </is>
      </c>
      <c r="C1407" s="4" t="n">
        <v>658</v>
      </c>
      <c r="D1407" s="9" t="inlineStr">
        <is>
          <t>Find K Closest Elements</t>
        </is>
      </c>
      <c r="E1407" s="4" t="inlineStr">
        <is>
          <t>Medium</t>
        </is>
      </c>
      <c r="F1407" s="4" t="inlineStr">
        <is>
          <t>Binary Search</t>
        </is>
      </c>
      <c r="G1407" s="4" t="inlineStr">
        <is>
          <t>Wrong Answer</t>
        </is>
      </c>
      <c r="H1407" s="4" t="inlineStr">
        <is>
          <t>Python3</t>
        </is>
      </c>
      <c r="I1407" s="4" t="inlineStr">
        <is>
          <t>N/A</t>
        </is>
      </c>
      <c r="J1407" s="4" t="inlineStr">
        <is>
          <t>N/A</t>
        </is>
      </c>
      <c r="K1407" s="4" t="n"/>
      <c r="L1407" s="4" t="inlineStr">
        <is>
          <t>48/69</t>
        </is>
      </c>
      <c r="M1407" s="9" t="inlineStr">
        <is>
          <t>Submission 1168118751</t>
        </is>
      </c>
      <c r="N1407" s="4" t="inlineStr">
        <is>
          <t>Yes</t>
        </is>
      </c>
    </row>
    <row r="1408">
      <c r="A1408" s="11" t="n">
        <v>45329.03010416667</v>
      </c>
      <c r="B1408" s="4" t="inlineStr">
        <is>
          <t>2024-02</t>
        </is>
      </c>
      <c r="C1408" s="4" t="n">
        <v>658</v>
      </c>
      <c r="D1408" s="9" t="inlineStr">
        <is>
          <t>Find K Closest Elements</t>
        </is>
      </c>
      <c r="E1408" s="4" t="inlineStr">
        <is>
          <t>Medium</t>
        </is>
      </c>
      <c r="F1408" s="4" t="inlineStr">
        <is>
          <t>Binary Search</t>
        </is>
      </c>
      <c r="G1408" s="4" t="inlineStr">
        <is>
          <t>Wrong Answer</t>
        </is>
      </c>
      <c r="H1408" s="4" t="inlineStr">
        <is>
          <t>Python3</t>
        </is>
      </c>
      <c r="I1408" s="4" t="inlineStr">
        <is>
          <t>N/A</t>
        </is>
      </c>
      <c r="J1408" s="4" t="inlineStr">
        <is>
          <t>N/A</t>
        </is>
      </c>
      <c r="K1408" s="4" t="n"/>
      <c r="L1408" s="4" t="inlineStr">
        <is>
          <t>45/69</t>
        </is>
      </c>
      <c r="M1408" s="9" t="inlineStr">
        <is>
          <t>Submission 1168118838</t>
        </is>
      </c>
      <c r="N1408" s="4" t="inlineStr">
        <is>
          <t>Yes</t>
        </is>
      </c>
    </row>
    <row r="1409">
      <c r="A1409" s="11" t="n">
        <v>45329.03041666667</v>
      </c>
      <c r="B1409" s="4" t="inlineStr">
        <is>
          <t>2024-02</t>
        </is>
      </c>
      <c r="C1409" s="4" t="n">
        <v>658</v>
      </c>
      <c r="D1409" s="9" t="inlineStr">
        <is>
          <t>Find K Closest Elements</t>
        </is>
      </c>
      <c r="E1409" s="4" t="inlineStr">
        <is>
          <t>Medium</t>
        </is>
      </c>
      <c r="F1409" s="4" t="inlineStr">
        <is>
          <t>Binary Search</t>
        </is>
      </c>
      <c r="G1409" s="4" t="inlineStr">
        <is>
          <t>Accepted</t>
        </is>
      </c>
      <c r="H1409" s="4" t="inlineStr">
        <is>
          <t>Python3</t>
        </is>
      </c>
      <c r="I1409" s="4" t="inlineStr">
        <is>
          <t>226 ms</t>
        </is>
      </c>
      <c r="J1409" s="4" t="inlineStr">
        <is>
          <t>18.4 MB</t>
        </is>
      </c>
      <c r="K1409" s="4" t="n">
        <v>5.1</v>
      </c>
      <c r="L1409" s="4" t="inlineStr">
        <is>
          <t>69/69</t>
        </is>
      </c>
      <c r="M1409" s="9" t="inlineStr">
        <is>
          <t>Submission 1168119142</t>
        </is>
      </c>
      <c r="N1409" s="4" t="inlineStr">
        <is>
          <t>Yes</t>
        </is>
      </c>
    </row>
    <row r="1410">
      <c r="A1410" s="11" t="n">
        <v>45329.04130787037</v>
      </c>
      <c r="B1410" s="4" t="inlineStr">
        <is>
          <t>2024-02</t>
        </is>
      </c>
      <c r="C1410" s="4" t="n">
        <v>658</v>
      </c>
      <c r="D1410" s="9" t="inlineStr">
        <is>
          <t>Find K Closest Elements</t>
        </is>
      </c>
      <c r="E1410" s="4" t="inlineStr">
        <is>
          <t>Medium</t>
        </is>
      </c>
      <c r="F1410" s="4" t="inlineStr">
        <is>
          <t>Binary Search</t>
        </is>
      </c>
      <c r="G1410" s="4" t="inlineStr">
        <is>
          <t>Wrong Answer</t>
        </is>
      </c>
      <c r="H1410" s="4" t="inlineStr">
        <is>
          <t>Python3</t>
        </is>
      </c>
      <c r="I1410" s="4" t="inlineStr">
        <is>
          <t>N/A</t>
        </is>
      </c>
      <c r="J1410" s="4" t="inlineStr">
        <is>
          <t>N/A</t>
        </is>
      </c>
      <c r="K1410" s="4" t="n"/>
      <c r="L1410" s="4" t="inlineStr">
        <is>
          <t>45/69</t>
        </is>
      </c>
      <c r="M1410" s="9" t="inlineStr">
        <is>
          <t>Submission 1168130995</t>
        </is>
      </c>
      <c r="N1410" s="4" t="inlineStr">
        <is>
          <t>Yes</t>
        </is>
      </c>
    </row>
    <row r="1411">
      <c r="A1411" s="11" t="n">
        <v>45329.04177083333</v>
      </c>
      <c r="B1411" s="4" t="inlineStr">
        <is>
          <t>2024-02</t>
        </is>
      </c>
      <c r="C1411" s="4" t="n">
        <v>658</v>
      </c>
      <c r="D1411" s="9" t="inlineStr">
        <is>
          <t>Find K Closest Elements</t>
        </is>
      </c>
      <c r="E1411" s="4" t="inlineStr">
        <is>
          <t>Medium</t>
        </is>
      </c>
      <c r="F1411" s="4" t="inlineStr">
        <is>
          <t>Binary Search</t>
        </is>
      </c>
      <c r="G1411" s="4" t="inlineStr">
        <is>
          <t>Wrong Answer</t>
        </is>
      </c>
      <c r="H1411" s="4" t="inlineStr">
        <is>
          <t>Python3</t>
        </is>
      </c>
      <c r="I1411" s="4" t="inlineStr">
        <is>
          <t>N/A</t>
        </is>
      </c>
      <c r="J1411" s="4" t="inlineStr">
        <is>
          <t>N/A</t>
        </is>
      </c>
      <c r="K1411" s="4" t="n"/>
      <c r="L1411" s="4" t="inlineStr">
        <is>
          <t>51/69</t>
        </is>
      </c>
      <c r="M1411" s="9" t="inlineStr">
        <is>
          <t>Submission 1168131478</t>
        </is>
      </c>
      <c r="N1411" s="4" t="inlineStr">
        <is>
          <t>Yes</t>
        </is>
      </c>
    </row>
    <row r="1412">
      <c r="A1412" s="11" t="n">
        <v>45329.0430787037</v>
      </c>
      <c r="B1412" s="4" t="inlineStr">
        <is>
          <t>2024-02</t>
        </is>
      </c>
      <c r="C1412" s="4" t="n">
        <v>658</v>
      </c>
      <c r="D1412" s="9" t="inlineStr">
        <is>
          <t>Find K Closest Elements</t>
        </is>
      </c>
      <c r="E1412" s="4" t="inlineStr">
        <is>
          <t>Medium</t>
        </is>
      </c>
      <c r="F1412" s="4" t="inlineStr">
        <is>
          <t>Binary Search</t>
        </is>
      </c>
      <c r="G1412" s="4" t="inlineStr">
        <is>
          <t>Accepted</t>
        </is>
      </c>
      <c r="H1412" s="4" t="inlineStr">
        <is>
          <t>Python3</t>
        </is>
      </c>
      <c r="I1412" s="4" t="inlineStr">
        <is>
          <t>211 ms</t>
        </is>
      </c>
      <c r="J1412" s="4" t="inlineStr">
        <is>
          <t>18.4 MB</t>
        </is>
      </c>
      <c r="K1412" s="4" t="n">
        <v>5.1</v>
      </c>
      <c r="L1412" s="4" t="inlineStr">
        <is>
          <t>69/69</t>
        </is>
      </c>
      <c r="M1412" s="9" t="inlineStr">
        <is>
          <t>Submission 1168132889</t>
        </is>
      </c>
      <c r="N1412" s="4" t="inlineStr">
        <is>
          <t>Yes</t>
        </is>
      </c>
    </row>
    <row r="1413">
      <c r="A1413" s="11" t="n">
        <v>45329.04327546297</v>
      </c>
      <c r="B1413" s="4" t="inlineStr">
        <is>
          <t>2024-02</t>
        </is>
      </c>
      <c r="C1413" s="4" t="n">
        <v>658</v>
      </c>
      <c r="D1413" s="9" t="inlineStr">
        <is>
          <t>Find K Closest Elements</t>
        </is>
      </c>
      <c r="E1413" s="4" t="inlineStr">
        <is>
          <t>Medium</t>
        </is>
      </c>
      <c r="F1413" s="4" t="inlineStr">
        <is>
          <t>Binary Search</t>
        </is>
      </c>
      <c r="G1413" s="4" t="inlineStr">
        <is>
          <t>Accepted</t>
        </is>
      </c>
      <c r="H1413" s="4" t="inlineStr">
        <is>
          <t>Python3</t>
        </is>
      </c>
      <c r="I1413" s="4" t="inlineStr">
        <is>
          <t>224 ms</t>
        </is>
      </c>
      <c r="J1413" s="4" t="inlineStr">
        <is>
          <t>18.2 MB</t>
        </is>
      </c>
      <c r="K1413" s="4" t="n">
        <v>5.1</v>
      </c>
      <c r="L1413" s="4" t="inlineStr">
        <is>
          <t>69/69</t>
        </is>
      </c>
      <c r="M1413" s="9" t="inlineStr">
        <is>
          <t>Submission 1168133103</t>
        </is>
      </c>
      <c r="N1413" s="4" t="inlineStr">
        <is>
          <t>Yes</t>
        </is>
      </c>
    </row>
    <row r="1414">
      <c r="A1414" s="11" t="n">
        <v>45329.04430555556</v>
      </c>
      <c r="B1414" s="4" t="inlineStr">
        <is>
          <t>2024-02</t>
        </is>
      </c>
      <c r="C1414" s="4" t="n">
        <v>658</v>
      </c>
      <c r="D1414" s="9" t="inlineStr">
        <is>
          <t>Find K Closest Elements</t>
        </is>
      </c>
      <c r="E1414" s="4" t="inlineStr">
        <is>
          <t>Medium</t>
        </is>
      </c>
      <c r="F1414" s="4" t="inlineStr">
        <is>
          <t>Binary Search</t>
        </is>
      </c>
      <c r="G1414" s="4" t="inlineStr">
        <is>
          <t>Wrong Answer</t>
        </is>
      </c>
      <c r="H1414" s="4" t="inlineStr">
        <is>
          <t>Python3</t>
        </is>
      </c>
      <c r="I1414" s="4" t="inlineStr">
        <is>
          <t>N/A</t>
        </is>
      </c>
      <c r="J1414" s="4" t="inlineStr">
        <is>
          <t>N/A</t>
        </is>
      </c>
      <c r="K1414" s="4" t="n"/>
      <c r="L1414" s="4" t="inlineStr">
        <is>
          <t>51/69</t>
        </is>
      </c>
      <c r="M1414" s="9" t="inlineStr">
        <is>
          <t>Submission 1168134202</t>
        </is>
      </c>
      <c r="N1414" s="4" t="inlineStr">
        <is>
          <t>Yes</t>
        </is>
      </c>
    </row>
    <row r="1415">
      <c r="A1415" s="11" t="n">
        <v>45329.04521990741</v>
      </c>
      <c r="B1415" s="4" t="inlineStr">
        <is>
          <t>2024-02</t>
        </is>
      </c>
      <c r="C1415" s="4" t="n">
        <v>658</v>
      </c>
      <c r="D1415" s="9" t="inlineStr">
        <is>
          <t>Find K Closest Elements</t>
        </is>
      </c>
      <c r="E1415" s="4" t="inlineStr">
        <is>
          <t>Medium</t>
        </is>
      </c>
      <c r="F1415" s="4" t="inlineStr">
        <is>
          <t>Binary Search</t>
        </is>
      </c>
      <c r="G1415" s="4" t="inlineStr">
        <is>
          <t>Wrong Answer</t>
        </is>
      </c>
      <c r="H1415" s="4" t="inlineStr">
        <is>
          <t>Python3</t>
        </is>
      </c>
      <c r="I1415" s="4" t="inlineStr">
        <is>
          <t>N/A</t>
        </is>
      </c>
      <c r="J1415" s="4" t="inlineStr">
        <is>
          <t>N/A</t>
        </is>
      </c>
      <c r="K1415" s="4" t="n"/>
      <c r="L1415" s="4" t="inlineStr">
        <is>
          <t>20/69</t>
        </is>
      </c>
      <c r="M1415" s="9" t="inlineStr">
        <is>
          <t>Submission 1168135186</t>
        </is>
      </c>
      <c r="N1415" s="4" t="inlineStr">
        <is>
          <t>Yes</t>
        </is>
      </c>
    </row>
    <row r="1416">
      <c r="A1416" s="11" t="n">
        <v>45329.04527777778</v>
      </c>
      <c r="B1416" s="4" t="inlineStr">
        <is>
          <t>2024-02</t>
        </is>
      </c>
      <c r="C1416" s="4" t="n">
        <v>658</v>
      </c>
      <c r="D1416" s="9" t="inlineStr">
        <is>
          <t>Find K Closest Elements</t>
        </is>
      </c>
      <c r="E1416" s="4" t="inlineStr">
        <is>
          <t>Medium</t>
        </is>
      </c>
      <c r="F1416" s="4" t="inlineStr">
        <is>
          <t>Binary Search</t>
        </is>
      </c>
      <c r="G1416" s="4" t="inlineStr">
        <is>
          <t>Accepted</t>
        </is>
      </c>
      <c r="H1416" s="4" t="inlineStr">
        <is>
          <t>Python3</t>
        </is>
      </c>
      <c r="I1416" s="4" t="inlineStr">
        <is>
          <t>206 ms</t>
        </is>
      </c>
      <c r="J1416" s="4" t="inlineStr">
        <is>
          <t>18.5 MB</t>
        </is>
      </c>
      <c r="K1416" s="4" t="n"/>
      <c r="L1416" s="4" t="inlineStr"/>
      <c r="M1416" s="9" t="inlineStr">
        <is>
          <t>Submission 1168135240</t>
        </is>
      </c>
      <c r="N1416" s="4" t="inlineStr">
        <is>
          <t>Yes</t>
        </is>
      </c>
    </row>
    <row r="1417">
      <c r="A1417" s="11" t="n">
        <v>45329.05927083334</v>
      </c>
      <c r="B1417" s="4" t="inlineStr">
        <is>
          <t>2024-02</t>
        </is>
      </c>
      <c r="C1417" s="4" t="n">
        <v>658</v>
      </c>
      <c r="D1417" s="9" t="inlineStr">
        <is>
          <t>Find K Closest Elements</t>
        </is>
      </c>
      <c r="E1417" s="4" t="inlineStr">
        <is>
          <t>Medium</t>
        </is>
      </c>
      <c r="F1417" s="4" t="inlineStr">
        <is>
          <t>Binary Search</t>
        </is>
      </c>
      <c r="G1417" s="4" t="inlineStr">
        <is>
          <t>Wrong Answer</t>
        </is>
      </c>
      <c r="H1417" s="4" t="inlineStr">
        <is>
          <t>Python3</t>
        </is>
      </c>
      <c r="I1417" s="4" t="inlineStr">
        <is>
          <t>N/A</t>
        </is>
      </c>
      <c r="J1417" s="4" t="inlineStr">
        <is>
          <t>N/A</t>
        </is>
      </c>
      <c r="K1417" s="4" t="n"/>
      <c r="L1417" s="4" t="inlineStr">
        <is>
          <t>56/69</t>
        </is>
      </c>
      <c r="M1417" s="9" t="inlineStr">
        <is>
          <t>Submission 1168149623</t>
        </is>
      </c>
      <c r="N1417" s="4" t="inlineStr">
        <is>
          <t>Yes</t>
        </is>
      </c>
    </row>
    <row r="1418">
      <c r="A1418" s="11" t="n">
        <v>45329.07023148148</v>
      </c>
      <c r="B1418" s="4" t="inlineStr">
        <is>
          <t>2024-02</t>
        </is>
      </c>
      <c r="C1418" s="4" t="n">
        <v>658</v>
      </c>
      <c r="D1418" s="9" t="inlineStr">
        <is>
          <t>Find K Closest Elements</t>
        </is>
      </c>
      <c r="E1418" s="4" t="inlineStr">
        <is>
          <t>Medium</t>
        </is>
      </c>
      <c r="F1418" s="4" t="inlineStr">
        <is>
          <t>Binary Search</t>
        </is>
      </c>
      <c r="G1418" s="4" t="inlineStr">
        <is>
          <t>Accepted</t>
        </is>
      </c>
      <c r="H1418" s="4" t="inlineStr">
        <is>
          <t>Python3</t>
        </is>
      </c>
      <c r="I1418" s="4" t="inlineStr">
        <is>
          <t>208 ms</t>
        </is>
      </c>
      <c r="J1418" s="4" t="inlineStr">
        <is>
          <t>18.5 MB</t>
        </is>
      </c>
      <c r="K1418" s="4" t="n">
        <v>5.1</v>
      </c>
      <c r="L1418" s="4" t="inlineStr">
        <is>
          <t>69/69</t>
        </is>
      </c>
      <c r="M1418" s="9" t="inlineStr">
        <is>
          <t>Submission 1168160380</t>
        </is>
      </c>
      <c r="N1418" s="4" t="inlineStr">
        <is>
          <t>Yes</t>
        </is>
      </c>
    </row>
    <row r="1419">
      <c r="A1419" s="11" t="n">
        <v>45329.0712037037</v>
      </c>
      <c r="B1419" s="4" t="inlineStr">
        <is>
          <t>2024-02</t>
        </is>
      </c>
      <c r="C1419" s="4" t="n">
        <v>1161</v>
      </c>
      <c r="D1419" s="9" t="inlineStr">
        <is>
          <t>Maximum Level Sum of a Binary Tree</t>
        </is>
      </c>
      <c r="E1419" s="4" t="inlineStr">
        <is>
          <t>Medium</t>
        </is>
      </c>
      <c r="F1419" s="4" t="inlineStr">
        <is>
          <t>Binary Tree (BFS / Level Order)</t>
        </is>
      </c>
      <c r="G1419" s="4" t="inlineStr">
        <is>
          <t>Accepted</t>
        </is>
      </c>
      <c r="H1419" s="4" t="inlineStr">
        <is>
          <t>Python3</t>
        </is>
      </c>
      <c r="I1419" s="4" t="inlineStr">
        <is>
          <t>147 ms</t>
        </is>
      </c>
      <c r="J1419" s="4" t="inlineStr">
        <is>
          <t>20 MB</t>
        </is>
      </c>
      <c r="K1419" s="4" t="n">
        <v>5.2</v>
      </c>
      <c r="L1419" s="4" t="inlineStr">
        <is>
          <t>41/41</t>
        </is>
      </c>
      <c r="M1419" s="9" t="inlineStr">
        <is>
          <t>Submission 1168161300</t>
        </is>
      </c>
      <c r="N1419" s="4" t="inlineStr">
        <is>
          <t>No</t>
        </is>
      </c>
    </row>
    <row r="1420">
      <c r="A1420" s="11" t="n">
        <v>45329.31252314815</v>
      </c>
      <c r="B1420" s="4" t="inlineStr">
        <is>
          <t>2024-02</t>
        </is>
      </c>
      <c r="C1420" s="4" t="n">
        <v>428</v>
      </c>
      <c r="D1420" s="9" t="inlineStr">
        <is>
          <t>Serialize and Deserialize N-ary Tree</t>
        </is>
      </c>
      <c r="E1420" s="4" t="inlineStr">
        <is>
          <t>Hard</t>
        </is>
      </c>
      <c r="F1420" s="4" t="inlineStr">
        <is>
          <t>Binary Tree (DFS &amp; Recursion)</t>
        </is>
      </c>
      <c r="G1420" s="4" t="inlineStr">
        <is>
          <t>Accepted</t>
        </is>
      </c>
      <c r="H1420" s="4" t="inlineStr">
        <is>
          <t>Python3</t>
        </is>
      </c>
      <c r="I1420" s="4" t="inlineStr">
        <is>
          <t>48 ms</t>
        </is>
      </c>
      <c r="J1420" s="4" t="inlineStr">
        <is>
          <t>19 MB</t>
        </is>
      </c>
      <c r="K1420" s="4" t="n">
        <v>100</v>
      </c>
      <c r="L1420" s="4" t="inlineStr">
        <is>
          <t>38/38</t>
        </is>
      </c>
      <c r="M1420" s="9" t="inlineStr">
        <is>
          <t>Submission 1168339130</t>
        </is>
      </c>
      <c r="N1420" s="4" t="inlineStr">
        <is>
          <t>Yes</t>
        </is>
      </c>
    </row>
    <row r="1421">
      <c r="A1421" s="11" t="n">
        <v>45331.81553240741</v>
      </c>
      <c r="B1421" s="4" t="inlineStr">
        <is>
          <t>2024-02</t>
        </is>
      </c>
      <c r="C1421" s="4" t="n">
        <v>139</v>
      </c>
      <c r="D1421" s="9" t="inlineStr">
        <is>
          <t>Word Break</t>
        </is>
      </c>
      <c r="E1421" s="4" t="inlineStr">
        <is>
          <t>Medium</t>
        </is>
      </c>
      <c r="F1421" s="4" t="inlineStr">
        <is>
          <t>DP: 1D / Linear</t>
        </is>
      </c>
      <c r="G1421" s="4" t="inlineStr">
        <is>
          <t>Accepted</t>
        </is>
      </c>
      <c r="H1421" s="4" t="inlineStr">
        <is>
          <t>Python3</t>
        </is>
      </c>
      <c r="I1421" s="4" t="inlineStr">
        <is>
          <t>38 ms</t>
        </is>
      </c>
      <c r="J1421" s="4" t="inlineStr">
        <is>
          <t>17.7 MB</t>
        </is>
      </c>
      <c r="K1421" s="4" t="n">
        <v>5.2</v>
      </c>
      <c r="L1421" s="4" t="inlineStr">
        <is>
          <t>46/46</t>
        </is>
      </c>
      <c r="M1421" s="9" t="inlineStr">
        <is>
          <t>Submission 1170645773</t>
        </is>
      </c>
      <c r="N1421" s="4" t="inlineStr">
        <is>
          <t>Yes</t>
        </is>
      </c>
    </row>
    <row r="1422">
      <c r="A1422" s="11" t="n">
        <v>45331.83422453704</v>
      </c>
      <c r="B1422" s="4" t="inlineStr">
        <is>
          <t>2024-02</t>
        </is>
      </c>
      <c r="C1422" s="4" t="n">
        <v>772</v>
      </c>
      <c r="D1422" s="9" t="inlineStr">
        <is>
          <t>Basic Calculator III</t>
        </is>
      </c>
      <c r="E1422" s="4" t="inlineStr">
        <is>
          <t>Hard</t>
        </is>
      </c>
      <c r="F1422" s="4" t="inlineStr">
        <is>
          <t>Stack</t>
        </is>
      </c>
      <c r="G1422" s="4" t="inlineStr">
        <is>
          <t>Accepted</t>
        </is>
      </c>
      <c r="H1422" s="4" t="inlineStr">
        <is>
          <t>Python3</t>
        </is>
      </c>
      <c r="I1422" s="4" t="inlineStr">
        <is>
          <t>37 ms</t>
        </is>
      </c>
      <c r="J1422" s="4" t="inlineStr">
        <is>
          <t>16.7 MB</t>
        </is>
      </c>
      <c r="K1422" s="4" t="n">
        <v>5.7</v>
      </c>
      <c r="L1422" s="4" t="inlineStr">
        <is>
          <t>79/79</t>
        </is>
      </c>
      <c r="M1422" s="9" t="inlineStr">
        <is>
          <t>Submission 1170664443</t>
        </is>
      </c>
      <c r="N1422" s="4" t="inlineStr">
        <is>
          <t>Yes</t>
        </is>
      </c>
    </row>
    <row r="1423">
      <c r="A1423" s="11" t="n">
        <v>45331.88569444444</v>
      </c>
      <c r="B1423" s="4" t="inlineStr">
        <is>
          <t>2024-02</t>
        </is>
      </c>
      <c r="C1423" s="4" t="n">
        <v>772</v>
      </c>
      <c r="D1423" s="9" t="inlineStr">
        <is>
          <t>Basic Calculator III</t>
        </is>
      </c>
      <c r="E1423" s="4" t="inlineStr">
        <is>
          <t>Hard</t>
        </is>
      </c>
      <c r="F1423" s="4" t="inlineStr">
        <is>
          <t>Stack</t>
        </is>
      </c>
      <c r="G1423" s="4" t="inlineStr">
        <is>
          <t>Accepted</t>
        </is>
      </c>
      <c r="H1423" s="4" t="inlineStr">
        <is>
          <t>Python3</t>
        </is>
      </c>
      <c r="I1423" s="4" t="inlineStr">
        <is>
          <t>49 ms</t>
        </is>
      </c>
      <c r="J1423" s="4" t="inlineStr">
        <is>
          <t>17 MB</t>
        </is>
      </c>
      <c r="K1423" s="4" t="n">
        <v>5.7</v>
      </c>
      <c r="L1423" s="4" t="inlineStr">
        <is>
          <t>79/79</t>
        </is>
      </c>
      <c r="M1423" s="9" t="inlineStr">
        <is>
          <t>Submission 1170716534</t>
        </is>
      </c>
      <c r="N1423" s="4" t="inlineStr">
        <is>
          <t>Yes</t>
        </is>
      </c>
    </row>
    <row r="1424">
      <c r="A1424" s="11" t="n">
        <v>45331.89366898148</v>
      </c>
      <c r="B1424" s="4" t="inlineStr">
        <is>
          <t>2024-02</t>
        </is>
      </c>
      <c r="C1424" s="4" t="n">
        <v>224</v>
      </c>
      <c r="D1424" s="9" t="inlineStr">
        <is>
          <t>Basic Calculator</t>
        </is>
      </c>
      <c r="E1424" s="4" t="inlineStr">
        <is>
          <t>Hard</t>
        </is>
      </c>
      <c r="F1424" s="4" t="inlineStr">
        <is>
          <t>Stack</t>
        </is>
      </c>
      <c r="G1424" s="4" t="inlineStr">
        <is>
          <t>Wrong Answer</t>
        </is>
      </c>
      <c r="H1424" s="4" t="inlineStr">
        <is>
          <t>Python3</t>
        </is>
      </c>
      <c r="I1424" s="4" t="inlineStr">
        <is>
          <t>N/A</t>
        </is>
      </c>
      <c r="J1424" s="4" t="inlineStr">
        <is>
          <t>N/A</t>
        </is>
      </c>
      <c r="K1424" s="4" t="n"/>
      <c r="L1424" s="4" t="inlineStr">
        <is>
          <t>26/45</t>
        </is>
      </c>
      <c r="M1424" s="9" t="inlineStr">
        <is>
          <t>Submission 1170724697</t>
        </is>
      </c>
      <c r="N1424" s="4" t="inlineStr">
        <is>
          <t>No</t>
        </is>
      </c>
    </row>
    <row r="1425">
      <c r="A1425" s="11" t="n">
        <v>45331.89545138889</v>
      </c>
      <c r="B1425" s="4" t="inlineStr">
        <is>
          <t>2024-02</t>
        </is>
      </c>
      <c r="C1425" s="4" t="n">
        <v>224</v>
      </c>
      <c r="D1425" s="9" t="inlineStr">
        <is>
          <t>Basic Calculator</t>
        </is>
      </c>
      <c r="E1425" s="4" t="inlineStr">
        <is>
          <t>Hard</t>
        </is>
      </c>
      <c r="F1425" s="4" t="inlineStr">
        <is>
          <t>Stack</t>
        </is>
      </c>
      <c r="G1425" s="4" t="inlineStr">
        <is>
          <t>Accepted</t>
        </is>
      </c>
      <c r="H1425" s="4" t="inlineStr">
        <is>
          <t>Python3</t>
        </is>
      </c>
      <c r="I1425" s="4" t="inlineStr">
        <is>
          <t>59 ms</t>
        </is>
      </c>
      <c r="J1425" s="4" t="inlineStr">
        <is>
          <t>18.3 MB</t>
        </is>
      </c>
      <c r="K1425" s="4" t="n">
        <v>29</v>
      </c>
      <c r="L1425" s="4" t="inlineStr">
        <is>
          <t>45/45</t>
        </is>
      </c>
      <c r="M1425" s="9" t="inlineStr">
        <is>
          <t>Submission 1170726441</t>
        </is>
      </c>
      <c r="N1425" s="4" t="inlineStr">
        <is>
          <t>No</t>
        </is>
      </c>
    </row>
    <row r="1426">
      <c r="A1426" s="11" t="n">
        <v>45331.89951388889</v>
      </c>
      <c r="B1426" s="4" t="inlineStr">
        <is>
          <t>2024-02</t>
        </is>
      </c>
      <c r="C1426" s="4" t="n">
        <v>273</v>
      </c>
      <c r="D1426" s="9" t="inlineStr">
        <is>
          <t>Integer to English Words</t>
        </is>
      </c>
      <c r="E1426" s="4" t="inlineStr">
        <is>
          <t>Hard</t>
        </is>
      </c>
      <c r="F1426" s="4" t="inlineStr">
        <is>
          <t>Strings &amp; Simulation</t>
        </is>
      </c>
      <c r="G1426" s="4" t="inlineStr">
        <is>
          <t>Accepted</t>
        </is>
      </c>
      <c r="H1426" s="4" t="inlineStr">
        <is>
          <t>Python3</t>
        </is>
      </c>
      <c r="I1426" s="4" t="inlineStr">
        <is>
          <t>29 ms</t>
        </is>
      </c>
      <c r="J1426" s="4" t="inlineStr">
        <is>
          <t>16.8 MB</t>
        </is>
      </c>
      <c r="K1426" s="4" t="n"/>
      <c r="L1426" s="4" t="inlineStr"/>
      <c r="M1426" s="9" t="inlineStr">
        <is>
          <t>Submission 1170730755</t>
        </is>
      </c>
      <c r="N1426" s="4" t="inlineStr">
        <is>
          <t>No</t>
        </is>
      </c>
    </row>
    <row r="1427">
      <c r="A1427" s="11" t="n">
        <v>45331.93569444444</v>
      </c>
      <c r="B1427" s="4" t="inlineStr">
        <is>
          <t>2024-02</t>
        </is>
      </c>
      <c r="C1427" s="4" t="n">
        <v>658</v>
      </c>
      <c r="D1427" s="9" t="inlineStr">
        <is>
          <t>Find K Closest Elements</t>
        </is>
      </c>
      <c r="E1427" s="4" t="inlineStr">
        <is>
          <t>Medium</t>
        </is>
      </c>
      <c r="F1427" s="4" t="inlineStr">
        <is>
          <t>Binary Search</t>
        </is>
      </c>
      <c r="G1427" s="4" t="inlineStr">
        <is>
          <t>Wrong Answer</t>
        </is>
      </c>
      <c r="H1427" s="4" t="inlineStr">
        <is>
          <t>Python3</t>
        </is>
      </c>
      <c r="I1427" s="4" t="inlineStr">
        <is>
          <t>N/A</t>
        </is>
      </c>
      <c r="J1427" s="4" t="inlineStr">
        <is>
          <t>N/A</t>
        </is>
      </c>
      <c r="K1427" s="4" t="n"/>
      <c r="L1427" s="4" t="inlineStr">
        <is>
          <t>51/69</t>
        </is>
      </c>
      <c r="M1427" s="9" t="inlineStr">
        <is>
          <t>Submission 1170772336</t>
        </is>
      </c>
      <c r="N1427" s="4" t="inlineStr">
        <is>
          <t>Yes</t>
        </is>
      </c>
    </row>
    <row r="1428">
      <c r="A1428" s="11" t="n">
        <v>45331.93975694444</v>
      </c>
      <c r="B1428" s="4" t="inlineStr">
        <is>
          <t>2024-02</t>
        </is>
      </c>
      <c r="C1428" s="4" t="n">
        <v>658</v>
      </c>
      <c r="D1428" s="9" t="inlineStr">
        <is>
          <t>Find K Closest Elements</t>
        </is>
      </c>
      <c r="E1428" s="4" t="inlineStr">
        <is>
          <t>Medium</t>
        </is>
      </c>
      <c r="F1428" s="4" t="inlineStr">
        <is>
          <t>Binary Search</t>
        </is>
      </c>
      <c r="G1428" s="4" t="inlineStr">
        <is>
          <t>Accepted</t>
        </is>
      </c>
      <c r="H1428" s="4" t="inlineStr">
        <is>
          <t>Python3</t>
        </is>
      </c>
      <c r="I1428" s="4" t="inlineStr">
        <is>
          <t>220 ms</t>
        </is>
      </c>
      <c r="J1428" s="4" t="inlineStr">
        <is>
          <t>18.7 MB</t>
        </is>
      </c>
      <c r="K1428" s="4" t="n">
        <v>5.1</v>
      </c>
      <c r="L1428" s="4" t="inlineStr">
        <is>
          <t>69/69</t>
        </is>
      </c>
      <c r="M1428" s="9" t="inlineStr">
        <is>
          <t>Submission 1170777129</t>
        </is>
      </c>
      <c r="N1428" s="4" t="inlineStr">
        <is>
          <t>Yes</t>
        </is>
      </c>
    </row>
    <row r="1429">
      <c r="A1429" s="11" t="n">
        <v>45331.93991898148</v>
      </c>
      <c r="B1429" s="4" t="inlineStr">
        <is>
          <t>2024-02</t>
        </is>
      </c>
      <c r="C1429" s="4" t="n">
        <v>658</v>
      </c>
      <c r="D1429" s="9" t="inlineStr">
        <is>
          <t>Find K Closest Elements</t>
        </is>
      </c>
      <c r="E1429" s="4" t="inlineStr">
        <is>
          <t>Medium</t>
        </is>
      </c>
      <c r="F1429" s="4" t="inlineStr">
        <is>
          <t>Binary Search</t>
        </is>
      </c>
      <c r="G1429" s="4" t="inlineStr">
        <is>
          <t>Accepted</t>
        </is>
      </c>
      <c r="H1429" s="4" t="inlineStr">
        <is>
          <t>Python3</t>
        </is>
      </c>
      <c r="I1429" s="4" t="inlineStr">
        <is>
          <t>214 ms</t>
        </is>
      </c>
      <c r="J1429" s="4" t="inlineStr">
        <is>
          <t>18.5 MB</t>
        </is>
      </c>
      <c r="K1429" s="4" t="n">
        <v>5.1</v>
      </c>
      <c r="L1429" s="4" t="inlineStr">
        <is>
          <t>69/69</t>
        </is>
      </c>
      <c r="M1429" s="9" t="inlineStr">
        <is>
          <t>Submission 1170777298</t>
        </is>
      </c>
      <c r="N1429" s="4" t="inlineStr">
        <is>
          <t>Yes</t>
        </is>
      </c>
    </row>
    <row r="1430">
      <c r="A1430" s="11" t="n">
        <v>45332.03578703704</v>
      </c>
      <c r="B1430" s="4" t="inlineStr">
        <is>
          <t>2024-02</t>
        </is>
      </c>
      <c r="C1430" s="4" t="n">
        <v>65</v>
      </c>
      <c r="D1430" s="9" t="inlineStr">
        <is>
          <t>Valid Number</t>
        </is>
      </c>
      <c r="E1430" s="4" t="inlineStr">
        <is>
          <t>Hard</t>
        </is>
      </c>
      <c r="F1430" s="4" t="inlineStr">
        <is>
          <t>Strings &amp; Simulation</t>
        </is>
      </c>
      <c r="G1430" s="4" t="inlineStr">
        <is>
          <t>Wrong Answer</t>
        </is>
      </c>
      <c r="H1430" s="4" t="inlineStr">
        <is>
          <t>Python3</t>
        </is>
      </c>
      <c r="I1430" s="4" t="inlineStr">
        <is>
          <t>N/A</t>
        </is>
      </c>
      <c r="J1430" s="4" t="inlineStr">
        <is>
          <t>N/A</t>
        </is>
      </c>
      <c r="K1430" s="4" t="n"/>
      <c r="L1430" s="4" t="inlineStr">
        <is>
          <t>1073/1494</t>
        </is>
      </c>
      <c r="M1430" s="9" t="inlineStr">
        <is>
          <t>Submission 1170889769</t>
        </is>
      </c>
      <c r="N1430" s="4" t="inlineStr">
        <is>
          <t>No</t>
        </is>
      </c>
    </row>
    <row r="1431">
      <c r="A1431" s="11" t="n">
        <v>45332.03614583334</v>
      </c>
      <c r="B1431" s="4" t="inlineStr">
        <is>
          <t>2024-02</t>
        </is>
      </c>
      <c r="C1431" s="4" t="n">
        <v>65</v>
      </c>
      <c r="D1431" s="9" t="inlineStr">
        <is>
          <t>Valid Number</t>
        </is>
      </c>
      <c r="E1431" s="4" t="inlineStr">
        <is>
          <t>Hard</t>
        </is>
      </c>
      <c r="F1431" s="4" t="inlineStr">
        <is>
          <t>Strings &amp; Simulation</t>
        </is>
      </c>
      <c r="G1431" s="4" t="inlineStr">
        <is>
          <t>Wrong Answer</t>
        </is>
      </c>
      <c r="H1431" s="4" t="inlineStr">
        <is>
          <t>Python3</t>
        </is>
      </c>
      <c r="I1431" s="4" t="inlineStr">
        <is>
          <t>N/A</t>
        </is>
      </c>
      <c r="J1431" s="4" t="inlineStr">
        <is>
          <t>N/A</t>
        </is>
      </c>
      <c r="K1431" s="4" t="n"/>
      <c r="L1431" s="4" t="inlineStr">
        <is>
          <t>1115/1494</t>
        </is>
      </c>
      <c r="M1431" s="9" t="inlineStr">
        <is>
          <t>Submission 1170890107</t>
        </is>
      </c>
      <c r="N1431" s="4" t="inlineStr">
        <is>
          <t>No</t>
        </is>
      </c>
    </row>
    <row r="1432">
      <c r="A1432" s="11" t="n">
        <v>45332.03668981481</v>
      </c>
      <c r="B1432" s="4" t="inlineStr">
        <is>
          <t>2024-02</t>
        </is>
      </c>
      <c r="C1432" s="4" t="n">
        <v>65</v>
      </c>
      <c r="D1432" s="9" t="inlineStr">
        <is>
          <t>Valid Number</t>
        </is>
      </c>
      <c r="E1432" s="4" t="inlineStr">
        <is>
          <t>Hard</t>
        </is>
      </c>
      <c r="F1432" s="4" t="inlineStr">
        <is>
          <t>Strings &amp; Simulation</t>
        </is>
      </c>
      <c r="G1432" s="4" t="inlineStr">
        <is>
          <t>Accepted</t>
        </is>
      </c>
      <c r="H1432" s="4" t="inlineStr">
        <is>
          <t>Python3</t>
        </is>
      </c>
      <c r="I1432" s="4" t="inlineStr">
        <is>
          <t>34 ms</t>
        </is>
      </c>
      <c r="J1432" s="4" t="inlineStr">
        <is>
          <t>16.5 MB</t>
        </is>
      </c>
      <c r="K1432" s="4" t="n">
        <v>3.8</v>
      </c>
      <c r="L1432" s="4" t="inlineStr">
        <is>
          <t>1494/1494</t>
        </is>
      </c>
      <c r="M1432" s="9" t="inlineStr">
        <is>
          <t>Submission 1170890636</t>
        </is>
      </c>
      <c r="N1432" s="4" t="inlineStr">
        <is>
          <t>No</t>
        </is>
      </c>
    </row>
    <row r="1433">
      <c r="A1433" s="11" t="n">
        <v>45332.04811342592</v>
      </c>
      <c r="B1433" s="4" t="inlineStr">
        <is>
          <t>2024-02</t>
        </is>
      </c>
      <c r="C1433" s="4" t="n">
        <v>129</v>
      </c>
      <c r="D1433" s="9" t="inlineStr">
        <is>
          <t>Sum Root to Leaf Numbers</t>
        </is>
      </c>
      <c r="E1433" s="4" t="inlineStr">
        <is>
          <t>Medium</t>
        </is>
      </c>
      <c r="F1433" s="4" t="inlineStr">
        <is>
          <t>Binary Tree (DFS &amp; Recursion)</t>
        </is>
      </c>
      <c r="G1433" s="4" t="inlineStr">
        <is>
          <t>Accepted</t>
        </is>
      </c>
      <c r="H1433" s="4" t="inlineStr">
        <is>
          <t>Python3</t>
        </is>
      </c>
      <c r="I1433" s="4" t="inlineStr">
        <is>
          <t>37 ms</t>
        </is>
      </c>
      <c r="J1433" s="4" t="inlineStr">
        <is>
          <t>16.7 MB</t>
        </is>
      </c>
      <c r="K1433" s="4" t="n">
        <v>0.2</v>
      </c>
      <c r="L1433" s="4" t="inlineStr">
        <is>
          <t>108/108</t>
        </is>
      </c>
      <c r="M1433" s="9" t="inlineStr">
        <is>
          <t>Submission 1170901525</t>
        </is>
      </c>
      <c r="N1433" s="4" t="inlineStr">
        <is>
          <t>Yes</t>
        </is>
      </c>
    </row>
    <row r="1434">
      <c r="A1434" s="11" t="n">
        <v>45332.07921296296</v>
      </c>
      <c r="B1434" s="4" t="inlineStr">
        <is>
          <t>2024-02</t>
        </is>
      </c>
      <c r="C1434" s="4" t="n">
        <v>301</v>
      </c>
      <c r="D1434" s="9" t="inlineStr">
        <is>
          <t>Remove Invalid Parentheses</t>
        </is>
      </c>
      <c r="E1434" s="4" t="inlineStr">
        <is>
          <t>Hard</t>
        </is>
      </c>
      <c r="F1434" s="4" t="inlineStr">
        <is>
          <t>Backtracking</t>
        </is>
      </c>
      <c r="G1434" s="4" t="inlineStr">
        <is>
          <t>Accepted</t>
        </is>
      </c>
      <c r="H1434" s="4" t="inlineStr">
        <is>
          <t>Python3</t>
        </is>
      </c>
      <c r="I1434" s="4" t="inlineStr">
        <is>
          <t>52 ms</t>
        </is>
      </c>
      <c r="J1434" s="4" t="inlineStr">
        <is>
          <t>17.1 MB</t>
        </is>
      </c>
      <c r="K1434" s="4" t="n">
        <v>71</v>
      </c>
      <c r="L1434" s="4" t="inlineStr">
        <is>
          <t>127/127</t>
        </is>
      </c>
      <c r="M1434" s="9" t="inlineStr">
        <is>
          <t>Submission 1170928533</t>
        </is>
      </c>
      <c r="N1434" s="4" t="inlineStr">
        <is>
          <t>Yes</t>
        </is>
      </c>
    </row>
    <row r="1435">
      <c r="A1435" s="11" t="n">
        <v>45332.08616898148</v>
      </c>
      <c r="B1435" s="4" t="inlineStr">
        <is>
          <t>2024-02</t>
        </is>
      </c>
      <c r="C1435" s="4" t="n">
        <v>301</v>
      </c>
      <c r="D1435" s="9" t="inlineStr">
        <is>
          <t>Remove Invalid Parentheses</t>
        </is>
      </c>
      <c r="E1435" s="4" t="inlineStr">
        <is>
          <t>Hard</t>
        </is>
      </c>
      <c r="F1435" s="4" t="inlineStr">
        <is>
          <t>Backtracking</t>
        </is>
      </c>
      <c r="G1435" s="4" t="inlineStr">
        <is>
          <t>Accepted</t>
        </is>
      </c>
      <c r="H1435" s="4" t="inlineStr">
        <is>
          <t>Python3</t>
        </is>
      </c>
      <c r="I1435" s="4" t="inlineStr">
        <is>
          <t>136 ms</t>
        </is>
      </c>
      <c r="J1435" s="4" t="inlineStr">
        <is>
          <t>17.5 MB</t>
        </is>
      </c>
      <c r="K1435" s="4" t="n">
        <v>47.3</v>
      </c>
      <c r="L1435" s="4" t="inlineStr">
        <is>
          <t>127/127</t>
        </is>
      </c>
      <c r="M1435" s="9" t="inlineStr">
        <is>
          <t>Submission 1170933737</t>
        </is>
      </c>
      <c r="N1435" s="4" t="inlineStr">
        <is>
          <t>Yes</t>
        </is>
      </c>
    </row>
    <row r="1436">
      <c r="A1436" s="11" t="n">
        <v>45332.09527777778</v>
      </c>
      <c r="B1436" s="4" t="inlineStr">
        <is>
          <t>2024-02</t>
        </is>
      </c>
      <c r="C1436" s="4" t="n">
        <v>986</v>
      </c>
      <c r="D1436" s="9" t="inlineStr">
        <is>
          <t>Interval List Intersections</t>
        </is>
      </c>
      <c r="E1436" s="4" t="inlineStr">
        <is>
          <t>Medium</t>
        </is>
      </c>
      <c r="F1436" s="4" t="inlineStr">
        <is>
          <t>Intervals &amp; Sweep Line</t>
        </is>
      </c>
      <c r="G1436" s="4" t="inlineStr">
        <is>
          <t>Accepted</t>
        </is>
      </c>
      <c r="H1436" s="4" t="inlineStr">
        <is>
          <t>Python3</t>
        </is>
      </c>
      <c r="I1436" s="4" t="inlineStr">
        <is>
          <t>126 ms</t>
        </is>
      </c>
      <c r="J1436" s="4" t="inlineStr">
        <is>
          <t>17.5 MB</t>
        </is>
      </c>
      <c r="K1436" s="4" t="n">
        <v>6.1</v>
      </c>
      <c r="L1436" s="4" t="inlineStr">
        <is>
          <t>85/85</t>
        </is>
      </c>
      <c r="M1436" s="9" t="inlineStr">
        <is>
          <t>Submission 1170940559</t>
        </is>
      </c>
      <c r="N1436" s="4" t="inlineStr">
        <is>
          <t>No</t>
        </is>
      </c>
    </row>
    <row r="1437">
      <c r="A1437" s="11" t="n">
        <v>45332.17193287037</v>
      </c>
      <c r="B1437" s="4" t="inlineStr">
        <is>
          <t>2024-02</t>
        </is>
      </c>
      <c r="C1437" s="4" t="n">
        <v>18</v>
      </c>
      <c r="D1437" s="9" t="inlineStr">
        <is>
          <t>4Sum</t>
        </is>
      </c>
      <c r="E1437" s="4" t="inlineStr">
        <is>
          <t>Medium</t>
        </is>
      </c>
      <c r="F1437" s="4" t="inlineStr">
        <is>
          <t>Two Pointers</t>
        </is>
      </c>
      <c r="G1437" s="4" t="inlineStr">
        <is>
          <t>Wrong Answer</t>
        </is>
      </c>
      <c r="H1437" s="4" t="inlineStr">
        <is>
          <t>Python3</t>
        </is>
      </c>
      <c r="I1437" s="4" t="inlineStr">
        <is>
          <t>N/A</t>
        </is>
      </c>
      <c r="J1437" s="4" t="inlineStr">
        <is>
          <t>N/A</t>
        </is>
      </c>
      <c r="K1437" s="4" t="n"/>
      <c r="L1437" s="4" t="inlineStr">
        <is>
          <t>196/294</t>
        </is>
      </c>
      <c r="M1437" s="9" t="inlineStr">
        <is>
          <t>Submission 1170988738</t>
        </is>
      </c>
      <c r="N1437" s="4" t="inlineStr">
        <is>
          <t>No</t>
        </is>
      </c>
    </row>
    <row r="1438">
      <c r="A1438" s="11" t="n">
        <v>45332.60917824074</v>
      </c>
      <c r="B1438" s="4" t="inlineStr">
        <is>
          <t>2024-02</t>
        </is>
      </c>
      <c r="C1438" s="4" t="n">
        <v>904</v>
      </c>
      <c r="D1438" s="9" t="inlineStr">
        <is>
          <t>Fruit Into Baskets</t>
        </is>
      </c>
      <c r="E1438" s="4" t="inlineStr">
        <is>
          <t>Medium</t>
        </is>
      </c>
      <c r="F1438" s="4" t="inlineStr">
        <is>
          <t>Sliding Window</t>
        </is>
      </c>
      <c r="G1438" s="4" t="inlineStr">
        <is>
          <t>Accepted</t>
        </is>
      </c>
      <c r="H1438" s="4" t="inlineStr">
        <is>
          <t>Python3</t>
        </is>
      </c>
      <c r="I1438" s="4" t="inlineStr">
        <is>
          <t>782 ms</t>
        </is>
      </c>
      <c r="J1438" s="4" t="inlineStr">
        <is>
          <t>23.7 MB</t>
        </is>
      </c>
      <c r="K1438" s="4" t="n">
        <v>5.1</v>
      </c>
      <c r="L1438" s="4" t="inlineStr">
        <is>
          <t>91/91</t>
        </is>
      </c>
      <c r="M1438" s="9" t="inlineStr">
        <is>
          <t>Submission 1171274364</t>
        </is>
      </c>
      <c r="N1438" s="4" t="inlineStr">
        <is>
          <t>No</t>
        </is>
      </c>
    </row>
    <row r="1439">
      <c r="A1439" s="11" t="n">
        <v>45332.62533564815</v>
      </c>
      <c r="B1439" s="4" t="inlineStr">
        <is>
          <t>2024-02</t>
        </is>
      </c>
      <c r="C1439" s="4" t="n">
        <v>1644</v>
      </c>
      <c r="D1439" s="9" t="inlineStr">
        <is>
          <t>Lowest Common Ancestor of a Binary Tree II</t>
        </is>
      </c>
      <c r="E1439" s="4" t="inlineStr">
        <is>
          <t>Medium</t>
        </is>
      </c>
      <c r="F1439" s="4" t="inlineStr">
        <is>
          <t>Binary Tree (DFS &amp; Recursion)</t>
        </is>
      </c>
      <c r="G1439" s="4" t="inlineStr">
        <is>
          <t>Accepted</t>
        </is>
      </c>
      <c r="H1439" s="4" t="inlineStr">
        <is>
          <t>Python3</t>
        </is>
      </c>
      <c r="I1439" s="4" t="inlineStr">
        <is>
          <t>138 ms</t>
        </is>
      </c>
      <c r="J1439" s="4" t="inlineStr">
        <is>
          <t>21.1 MB</t>
        </is>
      </c>
      <c r="K1439" s="4" t="n">
        <v>86.09999999999999</v>
      </c>
      <c r="L1439" s="4" t="inlineStr">
        <is>
          <t>80/80</t>
        </is>
      </c>
      <c r="M1439" s="9" t="inlineStr">
        <is>
          <t>Submission 1171287329</t>
        </is>
      </c>
      <c r="N1439" s="4" t="inlineStr">
        <is>
          <t>No</t>
        </is>
      </c>
    </row>
    <row r="1440">
      <c r="A1440" s="11" t="n">
        <v>45332.65555555555</v>
      </c>
      <c r="B1440" s="4" t="inlineStr">
        <is>
          <t>2024-02</t>
        </is>
      </c>
      <c r="C1440" s="4" t="n">
        <v>2328</v>
      </c>
      <c r="D1440" s="9" t="inlineStr">
        <is>
          <t>Number of Increasing Paths in a Grid</t>
        </is>
      </c>
      <c r="E1440" s="4" t="inlineStr">
        <is>
          <t>Hard</t>
        </is>
      </c>
      <c r="F1440" s="4" t="inlineStr">
        <is>
          <t>DP: Grid / 2D</t>
        </is>
      </c>
      <c r="G1440" s="4" t="inlineStr">
        <is>
          <t>Runtime Error</t>
        </is>
      </c>
      <c r="H1440" s="4" t="inlineStr">
        <is>
          <t>Python3</t>
        </is>
      </c>
      <c r="I1440" s="4" t="inlineStr">
        <is>
          <t>N/A</t>
        </is>
      </c>
      <c r="J1440" s="4" t="inlineStr">
        <is>
          <t>N/A</t>
        </is>
      </c>
      <c r="K1440" s="4" t="n"/>
      <c r="L1440" s="4" t="inlineStr">
        <is>
          <t>34/36</t>
        </is>
      </c>
      <c r="M1440" s="9" t="inlineStr">
        <is>
          <t>Submission 1171312145</t>
        </is>
      </c>
      <c r="N1440" s="4" t="inlineStr">
        <is>
          <t>No</t>
        </is>
      </c>
    </row>
    <row r="1441">
      <c r="A1441" s="11" t="n">
        <v>45332.6577662037</v>
      </c>
      <c r="B1441" s="4" t="inlineStr">
        <is>
          <t>2024-02</t>
        </is>
      </c>
      <c r="C1441" s="4" t="n">
        <v>2328</v>
      </c>
      <c r="D1441" s="9" t="inlineStr">
        <is>
          <t>Number of Increasing Paths in a Grid</t>
        </is>
      </c>
      <c r="E1441" s="4" t="inlineStr">
        <is>
          <t>Hard</t>
        </is>
      </c>
      <c r="F1441" s="4" t="inlineStr">
        <is>
          <t>DP: Grid / 2D</t>
        </is>
      </c>
      <c r="G1441" s="4" t="inlineStr">
        <is>
          <t>Accepted</t>
        </is>
      </c>
      <c r="H1441" s="4" t="inlineStr">
        <is>
          <t>Python3</t>
        </is>
      </c>
      <c r="I1441" s="4" t="inlineStr">
        <is>
          <t>1638 ms</t>
        </is>
      </c>
      <c r="J1441" s="4" t="inlineStr">
        <is>
          <t>110.4 MB</t>
        </is>
      </c>
      <c r="K1441" s="4" t="n">
        <v>5.1</v>
      </c>
      <c r="L1441" s="4" t="inlineStr">
        <is>
          <t>36/36</t>
        </is>
      </c>
      <c r="M1441" s="9" t="inlineStr">
        <is>
          <t>Submission 1171314082</t>
        </is>
      </c>
      <c r="N1441" s="4" t="inlineStr">
        <is>
          <t>No</t>
        </is>
      </c>
    </row>
    <row r="1442">
      <c r="A1442" s="11" t="n">
        <v>45332.74334490741</v>
      </c>
      <c r="B1442" s="4" t="inlineStr">
        <is>
          <t>2024-02</t>
        </is>
      </c>
      <c r="C1442" s="4" t="n">
        <v>1539</v>
      </c>
      <c r="D1442" s="9" t="inlineStr">
        <is>
          <t>Kth Missing Positive Number</t>
        </is>
      </c>
      <c r="E1442" s="4" t="inlineStr">
        <is>
          <t>Easy</t>
        </is>
      </c>
      <c r="F1442" s="4" t="inlineStr">
        <is>
          <t>Binary Search</t>
        </is>
      </c>
      <c r="G1442" s="4" t="inlineStr">
        <is>
          <t>Accepted</t>
        </is>
      </c>
      <c r="H1442" s="4" t="inlineStr">
        <is>
          <t>Python3</t>
        </is>
      </c>
      <c r="I1442" s="4" t="inlineStr">
        <is>
          <t>45 ms</t>
        </is>
      </c>
      <c r="J1442" s="4" t="inlineStr">
        <is>
          <t>16.9 MB</t>
        </is>
      </c>
      <c r="K1442" s="4" t="n">
        <v>17.1</v>
      </c>
      <c r="L1442" s="4" t="inlineStr">
        <is>
          <t>86/86</t>
        </is>
      </c>
      <c r="M1442" s="9" t="inlineStr">
        <is>
          <t>Submission 1171383966</t>
        </is>
      </c>
      <c r="N1442" s="4" t="inlineStr">
        <is>
          <t>No</t>
        </is>
      </c>
    </row>
    <row r="1443">
      <c r="A1443" s="11" t="n">
        <v>45332.82005787037</v>
      </c>
      <c r="B1443" s="4" t="inlineStr">
        <is>
          <t>2024-02</t>
        </is>
      </c>
      <c r="C1443" s="4" t="n">
        <v>428</v>
      </c>
      <c r="D1443" s="9" t="inlineStr">
        <is>
          <t>Serialize and Deserialize N-ary Tree</t>
        </is>
      </c>
      <c r="E1443" s="4" t="inlineStr">
        <is>
          <t>Hard</t>
        </is>
      </c>
      <c r="F1443" s="4" t="inlineStr">
        <is>
          <t>Binary Tree (DFS &amp; Recursion)</t>
        </is>
      </c>
      <c r="G1443" s="4" t="inlineStr">
        <is>
          <t>Accepted</t>
        </is>
      </c>
      <c r="H1443" s="4" t="inlineStr">
        <is>
          <t>Python3</t>
        </is>
      </c>
      <c r="I1443" s="4" t="inlineStr">
        <is>
          <t>59 ms</t>
        </is>
      </c>
      <c r="J1443" s="4" t="inlineStr">
        <is>
          <t>19.1 MB</t>
        </is>
      </c>
      <c r="K1443" s="4" t="n">
        <v>95.3</v>
      </c>
      <c r="L1443" s="4" t="inlineStr">
        <is>
          <t>38/38</t>
        </is>
      </c>
      <c r="M1443" s="9" t="inlineStr">
        <is>
          <t>Submission 1171450469</t>
        </is>
      </c>
      <c r="N1443" s="4" t="inlineStr">
        <is>
          <t>Yes</t>
        </is>
      </c>
    </row>
    <row r="1444">
      <c r="A1444" s="11" t="n">
        <v>45332.84490740741</v>
      </c>
      <c r="B1444" s="4" t="inlineStr">
        <is>
          <t>2024-02</t>
        </is>
      </c>
      <c r="C1444" s="4" t="n">
        <v>76</v>
      </c>
      <c r="D1444" s="9" t="inlineStr">
        <is>
          <t>Minimum Window Substring</t>
        </is>
      </c>
      <c r="E1444" s="4" t="inlineStr">
        <is>
          <t>Hard</t>
        </is>
      </c>
      <c r="F1444" s="4" t="inlineStr">
        <is>
          <t>Sliding Window</t>
        </is>
      </c>
      <c r="G1444" s="4" t="inlineStr">
        <is>
          <t>Wrong Answer</t>
        </is>
      </c>
      <c r="H1444" s="4" t="inlineStr">
        <is>
          <t>Python3</t>
        </is>
      </c>
      <c r="I1444" s="4" t="inlineStr">
        <is>
          <t>N/A</t>
        </is>
      </c>
      <c r="J1444" s="4" t="inlineStr">
        <is>
          <t>N/A</t>
        </is>
      </c>
      <c r="K1444" s="4" t="n"/>
      <c r="L1444" s="4" t="inlineStr">
        <is>
          <t>158/267</t>
        </is>
      </c>
      <c r="M1444" s="9" t="inlineStr">
        <is>
          <t>Submission 1171473713</t>
        </is>
      </c>
      <c r="N1444" s="4" t="inlineStr">
        <is>
          <t>Yes</t>
        </is>
      </c>
    </row>
    <row r="1445">
      <c r="A1445" s="11" t="n">
        <v>45332.8452662037</v>
      </c>
      <c r="B1445" s="4" t="inlineStr">
        <is>
          <t>2024-02</t>
        </is>
      </c>
      <c r="C1445" s="4" t="n">
        <v>76</v>
      </c>
      <c r="D1445" s="9" t="inlineStr">
        <is>
          <t>Minimum Window Substring</t>
        </is>
      </c>
      <c r="E1445" s="4" t="inlineStr">
        <is>
          <t>Hard</t>
        </is>
      </c>
      <c r="F1445" s="4" t="inlineStr">
        <is>
          <t>Sliding Window</t>
        </is>
      </c>
      <c r="G1445" s="4" t="inlineStr">
        <is>
          <t>Accepted</t>
        </is>
      </c>
      <c r="H1445" s="4" t="inlineStr">
        <is>
          <t>Python3</t>
        </is>
      </c>
      <c r="I1445" s="4" t="inlineStr">
        <is>
          <t>152 ms</t>
        </is>
      </c>
      <c r="J1445" s="4" t="inlineStr">
        <is>
          <t>17.5 MB</t>
        </is>
      </c>
      <c r="K1445" s="4" t="n">
        <v>20.3</v>
      </c>
      <c r="L1445" s="4" t="inlineStr">
        <is>
          <t>267/267</t>
        </is>
      </c>
      <c r="M1445" s="9" t="inlineStr">
        <is>
          <t>Submission 1171474048</t>
        </is>
      </c>
      <c r="N1445" s="4" t="inlineStr">
        <is>
          <t>Yes</t>
        </is>
      </c>
    </row>
    <row r="1446">
      <c r="A1446" s="11" t="n">
        <v>45332.86666666667</v>
      </c>
      <c r="B1446" s="4" t="inlineStr">
        <is>
          <t>2024-02</t>
        </is>
      </c>
      <c r="C1446" s="4" t="n">
        <v>224</v>
      </c>
      <c r="D1446" s="9" t="inlineStr">
        <is>
          <t>Basic Calculator</t>
        </is>
      </c>
      <c r="E1446" s="4" t="inlineStr">
        <is>
          <t>Hard</t>
        </is>
      </c>
      <c r="F1446" s="4" t="inlineStr">
        <is>
          <t>Stack</t>
        </is>
      </c>
      <c r="G1446" s="4" t="inlineStr">
        <is>
          <t>Wrong Answer</t>
        </is>
      </c>
      <c r="H1446" s="4" t="inlineStr">
        <is>
          <t>Python3</t>
        </is>
      </c>
      <c r="I1446" s="4" t="inlineStr">
        <is>
          <t>N/A</t>
        </is>
      </c>
      <c r="J1446" s="4" t="inlineStr">
        <is>
          <t>N/A</t>
        </is>
      </c>
      <c r="K1446" s="4" t="n"/>
      <c r="L1446" s="4" t="inlineStr">
        <is>
          <t>23/45</t>
        </is>
      </c>
      <c r="M1446" s="9" t="inlineStr">
        <is>
          <t>Submission 1171494279</t>
        </is>
      </c>
      <c r="N1446" s="4" t="inlineStr">
        <is>
          <t>No</t>
        </is>
      </c>
    </row>
    <row r="1447">
      <c r="A1447" s="11" t="n">
        <v>45332.86746527778</v>
      </c>
      <c r="B1447" s="4" t="inlineStr">
        <is>
          <t>2024-02</t>
        </is>
      </c>
      <c r="C1447" s="4" t="n">
        <v>224</v>
      </c>
      <c r="D1447" s="9" t="inlineStr">
        <is>
          <t>Basic Calculator</t>
        </is>
      </c>
      <c r="E1447" s="4" t="inlineStr">
        <is>
          <t>Hard</t>
        </is>
      </c>
      <c r="F1447" s="4" t="inlineStr">
        <is>
          <t>Stack</t>
        </is>
      </c>
      <c r="G1447" s="4" t="inlineStr">
        <is>
          <t>Accepted</t>
        </is>
      </c>
      <c r="H1447" s="4" t="inlineStr">
        <is>
          <t>Python3</t>
        </is>
      </c>
      <c r="I1447" s="4" t="inlineStr">
        <is>
          <t>62 ms</t>
        </is>
      </c>
      <c r="J1447" s="4" t="inlineStr">
        <is>
          <t>18.3 MB</t>
        </is>
      </c>
      <c r="K1447" s="4" t="n">
        <v>26.5</v>
      </c>
      <c r="L1447" s="4" t="inlineStr">
        <is>
          <t>45/45</t>
        </is>
      </c>
      <c r="M1447" s="9" t="inlineStr">
        <is>
          <t>Submission 1171495083</t>
        </is>
      </c>
      <c r="N1447" s="4" t="inlineStr">
        <is>
          <t>No</t>
        </is>
      </c>
    </row>
    <row r="1448">
      <c r="A1448" s="11" t="n">
        <v>45332.86824074074</v>
      </c>
      <c r="B1448" s="4" t="inlineStr">
        <is>
          <t>2024-02</t>
        </is>
      </c>
      <c r="C1448" s="4" t="n">
        <v>224</v>
      </c>
      <c r="D1448" s="9" t="inlineStr">
        <is>
          <t>Basic Calculator</t>
        </is>
      </c>
      <c r="E1448" s="4" t="inlineStr">
        <is>
          <t>Hard</t>
        </is>
      </c>
      <c r="F1448" s="4" t="inlineStr">
        <is>
          <t>Stack</t>
        </is>
      </c>
      <c r="G1448" s="4" t="inlineStr">
        <is>
          <t>Accepted</t>
        </is>
      </c>
      <c r="H1448" s="4" t="inlineStr">
        <is>
          <t>Python3</t>
        </is>
      </c>
      <c r="I1448" s="4" t="inlineStr">
        <is>
          <t>45 ms</t>
        </is>
      </c>
      <c r="J1448" s="4" t="inlineStr">
        <is>
          <t>18.3 MB</t>
        </is>
      </c>
      <c r="K1448" s="4" t="n">
        <v>38.1</v>
      </c>
      <c r="L1448" s="4" t="inlineStr">
        <is>
          <t>45/45</t>
        </is>
      </c>
      <c r="M1448" s="9" t="inlineStr">
        <is>
          <t>Submission 1171495883</t>
        </is>
      </c>
      <c r="N1448" s="4" t="inlineStr">
        <is>
          <t>No</t>
        </is>
      </c>
    </row>
    <row r="1449">
      <c r="A1449" s="11" t="n">
        <v>45332.86831018519</v>
      </c>
      <c r="B1449" s="4" t="inlineStr">
        <is>
          <t>2024-02</t>
        </is>
      </c>
      <c r="C1449" s="4" t="n">
        <v>224</v>
      </c>
      <c r="D1449" s="9" t="inlineStr">
        <is>
          <t>Basic Calculator</t>
        </is>
      </c>
      <c r="E1449" s="4" t="inlineStr">
        <is>
          <t>Hard</t>
        </is>
      </c>
      <c r="F1449" s="4" t="inlineStr">
        <is>
          <t>Stack</t>
        </is>
      </c>
      <c r="G1449" s="4" t="inlineStr">
        <is>
          <t>Wrong Answer</t>
        </is>
      </c>
      <c r="H1449" s="4" t="inlineStr">
        <is>
          <t>Python3</t>
        </is>
      </c>
      <c r="I1449" s="4" t="inlineStr">
        <is>
          <t>N/A</t>
        </is>
      </c>
      <c r="J1449" s="4" t="inlineStr">
        <is>
          <t>N/A</t>
        </is>
      </c>
      <c r="K1449" s="4" t="n"/>
      <c r="L1449" s="4" t="inlineStr">
        <is>
          <t>23/45</t>
        </is>
      </c>
      <c r="M1449" s="9" t="inlineStr">
        <is>
          <t>Submission 1171495955</t>
        </is>
      </c>
      <c r="N1449" s="4" t="inlineStr">
        <is>
          <t>No</t>
        </is>
      </c>
    </row>
    <row r="1450">
      <c r="A1450" s="11" t="n">
        <v>45332.87061342593</v>
      </c>
      <c r="B1450" s="4" t="inlineStr">
        <is>
          <t>2024-02</t>
        </is>
      </c>
      <c r="C1450" s="4" t="n">
        <v>224</v>
      </c>
      <c r="D1450" s="9" t="inlineStr">
        <is>
          <t>Basic Calculator</t>
        </is>
      </c>
      <c r="E1450" s="4" t="inlineStr">
        <is>
          <t>Hard</t>
        </is>
      </c>
      <c r="F1450" s="4" t="inlineStr">
        <is>
          <t>Stack</t>
        </is>
      </c>
      <c r="G1450" s="4" t="inlineStr">
        <is>
          <t>Accepted</t>
        </is>
      </c>
      <c r="H1450" s="4" t="inlineStr">
        <is>
          <t>Python3</t>
        </is>
      </c>
      <c r="I1450" s="4" t="inlineStr">
        <is>
          <t>62 ms</t>
        </is>
      </c>
      <c r="J1450" s="4" t="inlineStr">
        <is>
          <t>18.2 MB</t>
        </is>
      </c>
      <c r="K1450" s="4" t="n">
        <v>26.5</v>
      </c>
      <c r="L1450" s="4" t="inlineStr">
        <is>
          <t>45/45</t>
        </is>
      </c>
      <c r="M1450" s="9" t="inlineStr">
        <is>
          <t>Submission 1171498199</t>
        </is>
      </c>
      <c r="N1450" s="4" t="inlineStr">
        <is>
          <t>No</t>
        </is>
      </c>
    </row>
    <row r="1451">
      <c r="A1451" s="11" t="n">
        <v>45332.87350694444</v>
      </c>
      <c r="B1451" s="4" t="inlineStr">
        <is>
          <t>2024-02</t>
        </is>
      </c>
      <c r="C1451" s="4" t="n">
        <v>227</v>
      </c>
      <c r="D1451" s="9" t="inlineStr">
        <is>
          <t>Basic Calculator II</t>
        </is>
      </c>
      <c r="E1451" s="4" t="inlineStr">
        <is>
          <t>Medium</t>
        </is>
      </c>
      <c r="F1451" s="4" t="inlineStr">
        <is>
          <t>Stack</t>
        </is>
      </c>
      <c r="G1451" s="4" t="inlineStr">
        <is>
          <t>Wrong Answer</t>
        </is>
      </c>
      <c r="H1451" s="4" t="inlineStr">
        <is>
          <t>Python3</t>
        </is>
      </c>
      <c r="I1451" s="4" t="inlineStr">
        <is>
          <t>N/A</t>
        </is>
      </c>
      <c r="J1451" s="4" t="inlineStr">
        <is>
          <t>N/A</t>
        </is>
      </c>
      <c r="K1451" s="4" t="n"/>
      <c r="L1451" s="4" t="inlineStr">
        <is>
          <t>80/111</t>
        </is>
      </c>
      <c r="M1451" s="9" t="inlineStr">
        <is>
          <t>Submission 1171501061</t>
        </is>
      </c>
      <c r="N1451" s="4" t="inlineStr">
        <is>
          <t>Yes</t>
        </is>
      </c>
    </row>
    <row r="1452">
      <c r="A1452" s="11" t="n">
        <v>45332.87378472222</v>
      </c>
      <c r="B1452" s="4" t="inlineStr">
        <is>
          <t>2024-02</t>
        </is>
      </c>
      <c r="C1452" s="4" t="n">
        <v>227</v>
      </c>
      <c r="D1452" s="9" t="inlineStr">
        <is>
          <t>Basic Calculator II</t>
        </is>
      </c>
      <c r="E1452" s="4" t="inlineStr">
        <is>
          <t>Medium</t>
        </is>
      </c>
      <c r="F1452" s="4" t="inlineStr">
        <is>
          <t>Stack</t>
        </is>
      </c>
      <c r="G1452" s="4" t="inlineStr">
        <is>
          <t>Wrong Answer</t>
        </is>
      </c>
      <c r="H1452" s="4" t="inlineStr">
        <is>
          <t>Python3</t>
        </is>
      </c>
      <c r="I1452" s="4" t="inlineStr">
        <is>
          <t>N/A</t>
        </is>
      </c>
      <c r="J1452" s="4" t="inlineStr">
        <is>
          <t>N/A</t>
        </is>
      </c>
      <c r="K1452" s="4" t="n"/>
      <c r="L1452" s="4" t="inlineStr">
        <is>
          <t>75/111</t>
        </is>
      </c>
      <c r="M1452" s="9" t="inlineStr">
        <is>
          <t>Submission 1171501329</t>
        </is>
      </c>
      <c r="N1452" s="4" t="inlineStr">
        <is>
          <t>Yes</t>
        </is>
      </c>
    </row>
    <row r="1453">
      <c r="A1453" s="11" t="n">
        <v>45332.87396990741</v>
      </c>
      <c r="B1453" s="4" t="inlineStr">
        <is>
          <t>2024-02</t>
        </is>
      </c>
      <c r="C1453" s="4" t="n">
        <v>227</v>
      </c>
      <c r="D1453" s="9" t="inlineStr">
        <is>
          <t>Basic Calculator II</t>
        </is>
      </c>
      <c r="E1453" s="4" t="inlineStr">
        <is>
          <t>Medium</t>
        </is>
      </c>
      <c r="F1453" s="4" t="inlineStr">
        <is>
          <t>Stack</t>
        </is>
      </c>
      <c r="G1453" s="4" t="inlineStr">
        <is>
          <t>Wrong Answer</t>
        </is>
      </c>
      <c r="H1453" s="4" t="inlineStr">
        <is>
          <t>Python3</t>
        </is>
      </c>
      <c r="I1453" s="4" t="inlineStr">
        <is>
          <t>N/A</t>
        </is>
      </c>
      <c r="J1453" s="4" t="inlineStr">
        <is>
          <t>N/A</t>
        </is>
      </c>
      <c r="K1453" s="4" t="n"/>
      <c r="L1453" s="4" t="inlineStr">
        <is>
          <t>87/111</t>
        </is>
      </c>
      <c r="M1453" s="9" t="inlineStr">
        <is>
          <t>Submission 1171501514</t>
        </is>
      </c>
      <c r="N1453" s="4" t="inlineStr">
        <is>
          <t>Yes</t>
        </is>
      </c>
    </row>
    <row r="1454">
      <c r="A1454" s="11" t="n">
        <v>45332.87403935185</v>
      </c>
      <c r="B1454" s="4" t="inlineStr">
        <is>
          <t>2024-02</t>
        </is>
      </c>
      <c r="C1454" s="4" t="n">
        <v>227</v>
      </c>
      <c r="D1454" s="9" t="inlineStr">
        <is>
          <t>Basic Calculator II</t>
        </is>
      </c>
      <c r="E1454" s="4" t="inlineStr">
        <is>
          <t>Medium</t>
        </is>
      </c>
      <c r="F1454" s="4" t="inlineStr">
        <is>
          <t>Stack</t>
        </is>
      </c>
      <c r="G1454" s="4" t="inlineStr">
        <is>
          <t>Accepted</t>
        </is>
      </c>
      <c r="H1454" s="4" t="inlineStr">
        <is>
          <t>Python3</t>
        </is>
      </c>
      <c r="I1454" s="4" t="inlineStr">
        <is>
          <t>77 ms</t>
        </is>
      </c>
      <c r="J1454" s="4" t="inlineStr">
        <is>
          <t>19.3 MB</t>
        </is>
      </c>
      <c r="K1454" s="4" t="n">
        <v>20.5</v>
      </c>
      <c r="L1454" s="4" t="inlineStr">
        <is>
          <t>111/111</t>
        </is>
      </c>
      <c r="M1454" s="9" t="inlineStr">
        <is>
          <t>Submission 1171501578</t>
        </is>
      </c>
      <c r="N1454" s="4" t="inlineStr">
        <is>
          <t>Yes</t>
        </is>
      </c>
    </row>
    <row r="1455">
      <c r="A1455" s="11" t="n">
        <v>45332.89041666667</v>
      </c>
      <c r="B1455" s="4" t="inlineStr">
        <is>
          <t>2024-02</t>
        </is>
      </c>
      <c r="C1455" s="4" t="n">
        <v>103</v>
      </c>
      <c r="D1455" s="9" t="inlineStr">
        <is>
          <t>Binary Tree Zigzag Level Order Traversal</t>
        </is>
      </c>
      <c r="E1455" s="4" t="inlineStr">
        <is>
          <t>Medium</t>
        </is>
      </c>
      <c r="F1455" s="4" t="inlineStr">
        <is>
          <t>Binary Tree (BFS / Level Order)</t>
        </is>
      </c>
      <c r="G1455" s="4" t="inlineStr">
        <is>
          <t>Accepted</t>
        </is>
      </c>
      <c r="H1455" s="4" t="inlineStr">
        <is>
          <t>Python3</t>
        </is>
      </c>
      <c r="I1455" s="4" t="inlineStr">
        <is>
          <t>34 ms</t>
        </is>
      </c>
      <c r="J1455" s="4" t="inlineStr">
        <is>
          <t>16.9 MB</t>
        </is>
      </c>
      <c r="K1455" s="4" t="n">
        <v>0.3</v>
      </c>
      <c r="L1455" s="4" t="inlineStr">
        <is>
          <t>33/33</t>
        </is>
      </c>
      <c r="M1455" s="9" t="inlineStr">
        <is>
          <t>Submission 1171517062</t>
        </is>
      </c>
      <c r="N1455" s="4" t="inlineStr">
        <is>
          <t>No</t>
        </is>
      </c>
    </row>
    <row r="1456">
      <c r="A1456" s="11" t="n">
        <v>45332.8934837963</v>
      </c>
      <c r="B1456" s="4" t="inlineStr">
        <is>
          <t>2024-02</t>
        </is>
      </c>
      <c r="C1456" s="4" t="n">
        <v>958</v>
      </c>
      <c r="D1456" s="9" t="inlineStr">
        <is>
          <t>Check Completeness of a Binary Tree</t>
        </is>
      </c>
      <c r="E1456" s="4" t="inlineStr">
        <is>
          <t>Medium</t>
        </is>
      </c>
      <c r="F1456" s="4" t="inlineStr">
        <is>
          <t>Binary Tree (BFS / Level Order)</t>
        </is>
      </c>
      <c r="G1456" s="4" t="inlineStr">
        <is>
          <t>Accepted</t>
        </is>
      </c>
      <c r="H1456" s="4" t="inlineStr">
        <is>
          <t>Python3</t>
        </is>
      </c>
      <c r="I1456" s="4" t="inlineStr">
        <is>
          <t>35 ms</t>
        </is>
      </c>
      <c r="J1456" s="4" t="inlineStr">
        <is>
          <t>16.6 MB</t>
        </is>
      </c>
      <c r="K1456" s="4" t="n">
        <v>0.6</v>
      </c>
      <c r="L1456" s="4" t="inlineStr">
        <is>
          <t>120/120</t>
        </is>
      </c>
      <c r="M1456" s="9" t="inlineStr">
        <is>
          <t>Submission 1171520216</t>
        </is>
      </c>
      <c r="N1456" s="4" t="inlineStr">
        <is>
          <t>No</t>
        </is>
      </c>
    </row>
    <row r="1457">
      <c r="A1457" s="11" t="n">
        <v>45332.90462962963</v>
      </c>
      <c r="B1457" s="4" t="inlineStr">
        <is>
          <t>2024-02</t>
        </is>
      </c>
      <c r="C1457" s="4" t="n">
        <v>996</v>
      </c>
      <c r="D1457" s="9" t="inlineStr">
        <is>
          <t>Number of Squareful Arrays</t>
        </is>
      </c>
      <c r="E1457" s="4" t="inlineStr">
        <is>
          <t>Hard</t>
        </is>
      </c>
      <c r="F1457" s="4" t="inlineStr">
        <is>
          <t>Backtracking</t>
        </is>
      </c>
      <c r="G1457" s="4" t="inlineStr">
        <is>
          <t>Wrong Answer</t>
        </is>
      </c>
      <c r="H1457" s="4" t="inlineStr">
        <is>
          <t>Python3</t>
        </is>
      </c>
      <c r="I1457" s="4" t="inlineStr">
        <is>
          <t>N/A</t>
        </is>
      </c>
      <c r="J1457" s="4" t="inlineStr">
        <is>
          <t>N/A</t>
        </is>
      </c>
      <c r="K1457" s="4" t="n"/>
      <c r="L1457" s="4" t="inlineStr">
        <is>
          <t>41/76</t>
        </is>
      </c>
      <c r="M1457" s="9" t="inlineStr">
        <is>
          <t>Submission 1171531678</t>
        </is>
      </c>
      <c r="N1457" s="4" t="inlineStr">
        <is>
          <t>No</t>
        </is>
      </c>
    </row>
    <row r="1458">
      <c r="A1458" s="11" t="n">
        <v>45332.90532407408</v>
      </c>
      <c r="B1458" s="4" t="inlineStr">
        <is>
          <t>2024-02</t>
        </is>
      </c>
      <c r="C1458" s="4" t="n">
        <v>996</v>
      </c>
      <c r="D1458" s="9" t="inlineStr">
        <is>
          <t>Number of Squareful Arrays</t>
        </is>
      </c>
      <c r="E1458" s="4" t="inlineStr">
        <is>
          <t>Hard</t>
        </is>
      </c>
      <c r="F1458" s="4" t="inlineStr">
        <is>
          <t>Backtracking</t>
        </is>
      </c>
      <c r="G1458" s="4" t="inlineStr">
        <is>
          <t>Wrong Answer</t>
        </is>
      </c>
      <c r="H1458" s="4" t="inlineStr">
        <is>
          <t>Python3</t>
        </is>
      </c>
      <c r="I1458" s="4" t="inlineStr">
        <is>
          <t>N/A</t>
        </is>
      </c>
      <c r="J1458" s="4" t="inlineStr">
        <is>
          <t>N/A</t>
        </is>
      </c>
      <c r="K1458" s="4" t="n"/>
      <c r="L1458" s="4" t="inlineStr">
        <is>
          <t>41/76</t>
        </is>
      </c>
      <c r="M1458" s="9" t="inlineStr">
        <is>
          <t>Submission 1171532446</t>
        </is>
      </c>
      <c r="N1458" s="4" t="inlineStr">
        <is>
          <t>No</t>
        </is>
      </c>
    </row>
    <row r="1459">
      <c r="A1459" s="11" t="n">
        <v>45332.9071412037</v>
      </c>
      <c r="B1459" s="4" t="inlineStr">
        <is>
          <t>2024-02</t>
        </is>
      </c>
      <c r="C1459" s="4" t="n">
        <v>996</v>
      </c>
      <c r="D1459" s="9" t="inlineStr">
        <is>
          <t>Number of Squareful Arrays</t>
        </is>
      </c>
      <c r="E1459" s="4" t="inlineStr">
        <is>
          <t>Hard</t>
        </is>
      </c>
      <c r="F1459" s="4" t="inlineStr">
        <is>
          <t>Backtracking</t>
        </is>
      </c>
      <c r="G1459" s="4" t="inlineStr">
        <is>
          <t>Wrong Answer</t>
        </is>
      </c>
      <c r="H1459" s="4" t="inlineStr">
        <is>
          <t>Python3</t>
        </is>
      </c>
      <c r="I1459" s="4" t="inlineStr">
        <is>
          <t>N/A</t>
        </is>
      </c>
      <c r="J1459" s="4" t="inlineStr">
        <is>
          <t>N/A</t>
        </is>
      </c>
      <c r="K1459" s="4" t="n"/>
      <c r="L1459" s="4" t="inlineStr">
        <is>
          <t>49/76</t>
        </is>
      </c>
      <c r="M1459" s="9" t="inlineStr">
        <is>
          <t>Submission 1171534270</t>
        </is>
      </c>
      <c r="N1459" s="4" t="inlineStr">
        <is>
          <t>No</t>
        </is>
      </c>
    </row>
    <row r="1460">
      <c r="A1460" s="11" t="n">
        <v>45332.90770833333</v>
      </c>
      <c r="B1460" s="4" t="inlineStr">
        <is>
          <t>2024-02</t>
        </is>
      </c>
      <c r="C1460" s="4" t="n">
        <v>996</v>
      </c>
      <c r="D1460" s="9" t="inlineStr">
        <is>
          <t>Number of Squareful Arrays</t>
        </is>
      </c>
      <c r="E1460" s="4" t="inlineStr">
        <is>
          <t>Hard</t>
        </is>
      </c>
      <c r="F1460" s="4" t="inlineStr">
        <is>
          <t>Backtracking</t>
        </is>
      </c>
      <c r="G1460" s="4" t="inlineStr">
        <is>
          <t>Accepted</t>
        </is>
      </c>
      <c r="H1460" s="4" t="inlineStr">
        <is>
          <t>Python3</t>
        </is>
      </c>
      <c r="I1460" s="4" t="inlineStr">
        <is>
          <t>31 ms</t>
        </is>
      </c>
      <c r="J1460" s="4" t="inlineStr">
        <is>
          <t>16.7 MB</t>
        </is>
      </c>
      <c r="K1460" s="4" t="n">
        <v>10.9</v>
      </c>
      <c r="L1460" s="4" t="inlineStr">
        <is>
          <t>76/76</t>
        </is>
      </c>
      <c r="M1460" s="9" t="inlineStr">
        <is>
          <t>Submission 1171534805</t>
        </is>
      </c>
      <c r="N1460" s="4" t="inlineStr">
        <is>
          <t>No</t>
        </is>
      </c>
    </row>
    <row r="1461">
      <c r="A1461" s="11" t="n">
        <v>45332.91859953704</v>
      </c>
      <c r="B1461" s="4" t="inlineStr">
        <is>
          <t>2024-02</t>
        </is>
      </c>
      <c r="C1461" s="4" t="n">
        <v>674</v>
      </c>
      <c r="D1461" s="9" t="inlineStr">
        <is>
          <t>Longest Continuous Increasing Subsequence</t>
        </is>
      </c>
      <c r="E1461" s="4" t="inlineStr">
        <is>
          <t>Easy</t>
        </is>
      </c>
      <c r="F1461" s="4" t="inlineStr">
        <is>
          <t>Arrays, Hashing &amp; Sorting</t>
        </is>
      </c>
      <c r="G1461" s="4" t="inlineStr">
        <is>
          <t>Accepted</t>
        </is>
      </c>
      <c r="H1461" s="4" t="inlineStr">
        <is>
          <t>Python3</t>
        </is>
      </c>
      <c r="I1461" s="4" t="inlineStr">
        <is>
          <t>58 ms</t>
        </is>
      </c>
      <c r="J1461" s="4" t="inlineStr">
        <is>
          <t>18.1 MB</t>
        </is>
      </c>
      <c r="K1461" s="4" t="n">
        <v>5.1</v>
      </c>
      <c r="L1461" s="4" t="inlineStr">
        <is>
          <t>35/35</t>
        </is>
      </c>
      <c r="M1461" s="9" t="inlineStr">
        <is>
          <t>Submission 1171546475</t>
        </is>
      </c>
      <c r="N1461" s="4" t="inlineStr">
        <is>
          <t>No</t>
        </is>
      </c>
    </row>
    <row r="1462">
      <c r="A1462" s="11" t="n">
        <v>45332.94878472222</v>
      </c>
      <c r="B1462" s="4" t="inlineStr">
        <is>
          <t>2024-02</t>
        </is>
      </c>
      <c r="C1462" s="4" t="n">
        <v>1186</v>
      </c>
      <c r="D1462" s="9" t="inlineStr">
        <is>
          <t>Maximum Subarray Sum with One Deletion</t>
        </is>
      </c>
      <c r="E1462" s="4" t="inlineStr">
        <is>
          <t>Medium</t>
        </is>
      </c>
      <c r="F1462" s="4" t="inlineStr">
        <is>
          <t>DP: 1D / Linear</t>
        </is>
      </c>
      <c r="G1462" s="4" t="inlineStr">
        <is>
          <t>Accepted</t>
        </is>
      </c>
      <c r="H1462" s="4" t="inlineStr">
        <is>
          <t>Python3</t>
        </is>
      </c>
      <c r="I1462" s="4" t="inlineStr">
        <is>
          <t>267 ms</t>
        </is>
      </c>
      <c r="J1462" s="4" t="inlineStr">
        <is>
          <t>26.6 MB</t>
        </is>
      </c>
      <c r="K1462" s="4" t="n">
        <v>5</v>
      </c>
      <c r="L1462" s="4" t="inlineStr">
        <is>
          <t>36/36</t>
        </is>
      </c>
      <c r="M1462" s="9" t="inlineStr">
        <is>
          <t>Submission 1171581598</t>
        </is>
      </c>
      <c r="N1462" s="4" t="inlineStr">
        <is>
          <t>No</t>
        </is>
      </c>
    </row>
    <row r="1463">
      <c r="A1463" s="11" t="n">
        <v>45332.95361111111</v>
      </c>
      <c r="B1463" s="4" t="inlineStr">
        <is>
          <t>2024-02</t>
        </is>
      </c>
      <c r="C1463" s="4" t="n">
        <v>1123</v>
      </c>
      <c r="D1463" s="9" t="inlineStr">
        <is>
          <t>Lowest Common Ancestor of Deepest Leaves</t>
        </is>
      </c>
      <c r="E1463" s="4" t="inlineStr">
        <is>
          <t>Medium</t>
        </is>
      </c>
      <c r="F1463" s="4" t="inlineStr">
        <is>
          <t>Binary Tree (DFS &amp; Recursion)</t>
        </is>
      </c>
      <c r="G1463" s="4" t="inlineStr">
        <is>
          <t>Accepted</t>
        </is>
      </c>
      <c r="H1463" s="4" t="inlineStr">
        <is>
          <t>Python3</t>
        </is>
      </c>
      <c r="I1463" s="4" t="inlineStr">
        <is>
          <t>50 ms</t>
        </is>
      </c>
      <c r="J1463" s="4" t="inlineStr">
        <is>
          <t>17.1 MB</t>
        </is>
      </c>
      <c r="K1463" s="4" t="n">
        <v>11.9</v>
      </c>
      <c r="L1463" s="4" t="inlineStr">
        <is>
          <t>81/81</t>
        </is>
      </c>
      <c r="M1463" s="9" t="inlineStr">
        <is>
          <t>Submission 1171587420</t>
        </is>
      </c>
      <c r="N1463" s="4" t="inlineStr">
        <is>
          <t>No</t>
        </is>
      </c>
    </row>
    <row r="1464">
      <c r="A1464" s="11" t="n">
        <v>45332.95396990741</v>
      </c>
      <c r="B1464" s="4" t="inlineStr">
        <is>
          <t>2024-02</t>
        </is>
      </c>
      <c r="C1464" s="4" t="n">
        <v>1123</v>
      </c>
      <c r="D1464" s="9" t="inlineStr">
        <is>
          <t>Lowest Common Ancestor of Deepest Leaves</t>
        </is>
      </c>
      <c r="E1464" s="4" t="inlineStr">
        <is>
          <t>Medium</t>
        </is>
      </c>
      <c r="F1464" s="4" t="inlineStr">
        <is>
          <t>Binary Tree (DFS &amp; Recursion)</t>
        </is>
      </c>
      <c r="G1464" s="4" t="inlineStr">
        <is>
          <t>Accepted</t>
        </is>
      </c>
      <c r="H1464" s="4" t="inlineStr">
        <is>
          <t>Python3</t>
        </is>
      </c>
      <c r="I1464" s="4" t="inlineStr">
        <is>
          <t>43 ms</t>
        </is>
      </c>
      <c r="J1464" s="4" t="inlineStr">
        <is>
          <t>16.9 MB</t>
        </is>
      </c>
      <c r="K1464" s="4" t="n">
        <v>11.9</v>
      </c>
      <c r="L1464" s="4" t="inlineStr">
        <is>
          <t>81/81</t>
        </is>
      </c>
      <c r="M1464" s="9" t="inlineStr">
        <is>
          <t>Submission 1171587817</t>
        </is>
      </c>
      <c r="N1464" s="4" t="inlineStr">
        <is>
          <t>No</t>
        </is>
      </c>
    </row>
    <row r="1465">
      <c r="A1465" s="11" t="n">
        <v>45332.96199074074</v>
      </c>
      <c r="B1465" s="4" t="inlineStr">
        <is>
          <t>2024-02</t>
        </is>
      </c>
      <c r="C1465" s="4" t="n">
        <v>1891</v>
      </c>
      <c r="D1465" s="9" t="inlineStr">
        <is>
          <t>Cutting Ribbons</t>
        </is>
      </c>
      <c r="E1465" s="4" t="inlineStr">
        <is>
          <t>Medium</t>
        </is>
      </c>
      <c r="F1465" s="4" t="inlineStr">
        <is>
          <t>Binary Search on Answer</t>
        </is>
      </c>
      <c r="G1465" s="4" t="inlineStr">
        <is>
          <t>Wrong Answer</t>
        </is>
      </c>
      <c r="H1465" s="4" t="inlineStr">
        <is>
          <t>Python3</t>
        </is>
      </c>
      <c r="I1465" s="4" t="inlineStr">
        <is>
          <t>N/A</t>
        </is>
      </c>
      <c r="J1465" s="4" t="inlineStr">
        <is>
          <t>N/A</t>
        </is>
      </c>
      <c r="K1465" s="4" t="n"/>
      <c r="L1465" s="4" t="inlineStr">
        <is>
          <t>47/50</t>
        </is>
      </c>
      <c r="M1465" s="9" t="inlineStr">
        <is>
          <t>Submission 1171597317</t>
        </is>
      </c>
      <c r="N1465" s="4" t="inlineStr">
        <is>
          <t>No</t>
        </is>
      </c>
    </row>
    <row r="1466">
      <c r="A1466" s="11" t="n">
        <v>45332.96224537037</v>
      </c>
      <c r="B1466" s="4" t="inlineStr">
        <is>
          <t>2024-02</t>
        </is>
      </c>
      <c r="C1466" s="4" t="n">
        <v>1891</v>
      </c>
      <c r="D1466" s="9" t="inlineStr">
        <is>
          <t>Cutting Ribbons</t>
        </is>
      </c>
      <c r="E1466" s="4" t="inlineStr">
        <is>
          <t>Medium</t>
        </is>
      </c>
      <c r="F1466" s="4" t="inlineStr">
        <is>
          <t>Binary Search on Answer</t>
        </is>
      </c>
      <c r="G1466" s="4" t="inlineStr">
        <is>
          <t>Wrong Answer</t>
        </is>
      </c>
      <c r="H1466" s="4" t="inlineStr">
        <is>
          <t>Python3</t>
        </is>
      </c>
      <c r="I1466" s="4" t="inlineStr">
        <is>
          <t>N/A</t>
        </is>
      </c>
      <c r="J1466" s="4" t="inlineStr">
        <is>
          <t>N/A</t>
        </is>
      </c>
      <c r="K1466" s="4" t="n"/>
      <c r="L1466" s="4" t="inlineStr">
        <is>
          <t>47/50</t>
        </is>
      </c>
      <c r="M1466" s="9" t="inlineStr">
        <is>
          <t>Submission 1171597648</t>
        </is>
      </c>
      <c r="N1466" s="4" t="inlineStr">
        <is>
          <t>No</t>
        </is>
      </c>
    </row>
    <row r="1467">
      <c r="A1467" s="11" t="n">
        <v>45332.9883912037</v>
      </c>
      <c r="B1467" s="4" t="inlineStr">
        <is>
          <t>2024-02</t>
        </is>
      </c>
      <c r="C1467" s="4" t="n">
        <v>875</v>
      </c>
      <c r="D1467" s="9" t="inlineStr">
        <is>
          <t>Koko Eating Bananas</t>
        </is>
      </c>
      <c r="E1467" s="4" t="inlineStr">
        <is>
          <t>Medium</t>
        </is>
      </c>
      <c r="F1467" s="4" t="inlineStr">
        <is>
          <t>Binary Search on Answer</t>
        </is>
      </c>
      <c r="G1467" s="4" t="inlineStr">
        <is>
          <t>Accepted</t>
        </is>
      </c>
      <c r="H1467" s="4" t="inlineStr">
        <is>
          <t>Python3</t>
        </is>
      </c>
      <c r="I1467" s="4" t="inlineStr">
        <is>
          <t>271 ms</t>
        </is>
      </c>
      <c r="J1467" s="4" t="inlineStr">
        <is>
          <t>18.1 MB</t>
        </is>
      </c>
      <c r="K1467" s="4" t="n">
        <v>5</v>
      </c>
      <c r="L1467" s="4" t="inlineStr">
        <is>
          <t>126/126</t>
        </is>
      </c>
      <c r="M1467" s="9" t="inlineStr">
        <is>
          <t>Submission 1171628615</t>
        </is>
      </c>
      <c r="N1467" s="4" t="inlineStr">
        <is>
          <t>Yes</t>
        </is>
      </c>
    </row>
    <row r="1468">
      <c r="A1468" s="11" t="n">
        <v>45332.99047453704</v>
      </c>
      <c r="B1468" s="4" t="inlineStr">
        <is>
          <t>2024-02</t>
        </is>
      </c>
      <c r="C1468" s="4" t="n">
        <v>163</v>
      </c>
      <c r="D1468" s="9" t="inlineStr">
        <is>
          <t>Missing Ranges</t>
        </is>
      </c>
      <c r="E1468" s="4" t="inlineStr">
        <is>
          <t>Easy</t>
        </is>
      </c>
      <c r="F1468" s="4" t="inlineStr">
        <is>
          <t>Arrays, Hashing &amp; Sorting</t>
        </is>
      </c>
      <c r="G1468" s="4" t="inlineStr">
        <is>
          <t>Accepted</t>
        </is>
      </c>
      <c r="H1468" s="4" t="inlineStr">
        <is>
          <t>Python3</t>
        </is>
      </c>
      <c r="I1468" s="4" t="inlineStr">
        <is>
          <t>33 ms</t>
        </is>
      </c>
      <c r="J1468" s="4" t="inlineStr">
        <is>
          <t>16.7 MB</t>
        </is>
      </c>
      <c r="K1468" s="4" t="n">
        <v>0</v>
      </c>
      <c r="L1468" s="4" t="inlineStr">
        <is>
          <t>39/39</t>
        </is>
      </c>
      <c r="M1468" s="9" t="inlineStr">
        <is>
          <t>Submission 1171631028</t>
        </is>
      </c>
      <c r="N1468" s="4" t="inlineStr">
        <is>
          <t>No</t>
        </is>
      </c>
    </row>
    <row r="1469">
      <c r="A1469" s="11" t="n">
        <v>45333.01003472223</v>
      </c>
      <c r="B1469" s="4" t="inlineStr">
        <is>
          <t>2024-02</t>
        </is>
      </c>
      <c r="C1469" s="4" t="n">
        <v>1539</v>
      </c>
      <c r="D1469" s="9" t="inlineStr">
        <is>
          <t>Kth Missing Positive Number</t>
        </is>
      </c>
      <c r="E1469" s="4" t="inlineStr">
        <is>
          <t>Easy</t>
        </is>
      </c>
      <c r="F1469" s="4" t="inlineStr">
        <is>
          <t>Binary Search</t>
        </is>
      </c>
      <c r="G1469" s="4" t="inlineStr">
        <is>
          <t>Accepted</t>
        </is>
      </c>
      <c r="H1469" s="4" t="inlineStr">
        <is>
          <t>Python3</t>
        </is>
      </c>
      <c r="I1469" s="4" t="inlineStr">
        <is>
          <t>54 ms</t>
        </is>
      </c>
      <c r="J1469" s="4" t="inlineStr">
        <is>
          <t>16.9 MB</t>
        </is>
      </c>
      <c r="K1469" s="4" t="n">
        <v>16.9</v>
      </c>
      <c r="L1469" s="4" t="inlineStr">
        <is>
          <t>86/86</t>
        </is>
      </c>
      <c r="M1469" s="9" t="inlineStr">
        <is>
          <t>Submission 1171653463</t>
        </is>
      </c>
      <c r="N1469" s="4" t="inlineStr">
        <is>
          <t>No</t>
        </is>
      </c>
    </row>
    <row r="1470">
      <c r="A1470" s="11" t="n">
        <v>45333.01395833334</v>
      </c>
      <c r="B1470" s="4" t="inlineStr">
        <is>
          <t>2024-02</t>
        </is>
      </c>
      <c r="C1470" s="4" t="n">
        <v>1944</v>
      </c>
      <c r="D1470" s="9" t="inlineStr">
        <is>
          <t>Number of Visible People in a Queue</t>
        </is>
      </c>
      <c r="E1470" s="4" t="inlineStr">
        <is>
          <t>Hard</t>
        </is>
      </c>
      <c r="F1470" s="4" t="inlineStr">
        <is>
          <t>Monotonic Stack / Deque</t>
        </is>
      </c>
      <c r="G1470" s="4" t="inlineStr">
        <is>
          <t>Accepted</t>
        </is>
      </c>
      <c r="H1470" s="4" t="inlineStr">
        <is>
          <t>Python3</t>
        </is>
      </c>
      <c r="I1470" s="4" t="inlineStr">
        <is>
          <t>793 ms</t>
        </is>
      </c>
      <c r="J1470" s="4" t="inlineStr">
        <is>
          <t>32.3 MB</t>
        </is>
      </c>
      <c r="K1470" s="4" t="n">
        <v>5.1</v>
      </c>
      <c r="L1470" s="4" t="inlineStr">
        <is>
          <t>42/42</t>
        </is>
      </c>
      <c r="M1470" s="9" t="inlineStr">
        <is>
          <t>Submission 1171657448</t>
        </is>
      </c>
      <c r="N1470" s="4" t="inlineStr">
        <is>
          <t>No</t>
        </is>
      </c>
    </row>
    <row r="1471">
      <c r="A1471" s="11" t="n">
        <v>45333.03728009259</v>
      </c>
      <c r="B1471" s="4" t="inlineStr">
        <is>
          <t>2024-02</t>
        </is>
      </c>
      <c r="C1471" s="4" t="n">
        <v>2</v>
      </c>
      <c r="D1471" s="9" t="inlineStr">
        <is>
          <t>Add Two Numbers</t>
        </is>
      </c>
      <c r="E1471" s="4" t="inlineStr">
        <is>
          <t>Medium</t>
        </is>
      </c>
      <c r="F1471" s="4" t="inlineStr">
        <is>
          <t>Linked List</t>
        </is>
      </c>
      <c r="G1471" s="4" t="inlineStr">
        <is>
          <t>Runtime Error</t>
        </is>
      </c>
      <c r="H1471" s="4" t="inlineStr">
        <is>
          <t>C++</t>
        </is>
      </c>
      <c r="I1471" s="4" t="inlineStr">
        <is>
          <t>N/A</t>
        </is>
      </c>
      <c r="J1471" s="4" t="inlineStr">
        <is>
          <t>N/A</t>
        </is>
      </c>
      <c r="K1471" s="4" t="n"/>
      <c r="L1471" s="4" t="inlineStr">
        <is>
          <t>32/1568</t>
        </is>
      </c>
      <c r="M1471" s="9" t="inlineStr">
        <is>
          <t>Submission 1171679926</t>
        </is>
      </c>
      <c r="N1471" s="4" t="inlineStr">
        <is>
          <t>No</t>
        </is>
      </c>
    </row>
    <row r="1472">
      <c r="A1472" s="11" t="n">
        <v>45333.0437962963</v>
      </c>
      <c r="B1472" s="4" t="inlineStr">
        <is>
          <t>2024-02</t>
        </is>
      </c>
      <c r="C1472" s="4" t="n">
        <v>2</v>
      </c>
      <c r="D1472" s="9" t="inlineStr">
        <is>
          <t>Add Two Numbers</t>
        </is>
      </c>
      <c r="E1472" s="4" t="inlineStr">
        <is>
          <t>Medium</t>
        </is>
      </c>
      <c r="F1472" s="4" t="inlineStr">
        <is>
          <t>Linked List</t>
        </is>
      </c>
      <c r="G1472" s="4" t="inlineStr">
        <is>
          <t>Accepted</t>
        </is>
      </c>
      <c r="H1472" s="4" t="inlineStr">
        <is>
          <t>C++</t>
        </is>
      </c>
      <c r="I1472" s="4" t="inlineStr">
        <is>
          <t>17 ms</t>
        </is>
      </c>
      <c r="J1472" s="4" t="inlineStr">
        <is>
          <t>76.1 MB</t>
        </is>
      </c>
      <c r="K1472" s="4" t="n">
        <v>6.6</v>
      </c>
      <c r="L1472" s="4" t="inlineStr">
        <is>
          <t>1568/1568</t>
        </is>
      </c>
      <c r="M1472" s="9" t="inlineStr">
        <is>
          <t>Submission 1171685978</t>
        </is>
      </c>
      <c r="N1472" s="4" t="inlineStr">
        <is>
          <t>No</t>
        </is>
      </c>
    </row>
    <row r="1473">
      <c r="A1473" s="11" t="n">
        <v>45333.32024305555</v>
      </c>
      <c r="B1473" s="4" t="inlineStr">
        <is>
          <t>2024-02</t>
        </is>
      </c>
      <c r="C1473" s="4" t="n">
        <v>239</v>
      </c>
      <c r="D1473" s="9" t="inlineStr">
        <is>
          <t>Sliding Window Maximum</t>
        </is>
      </c>
      <c r="E1473" s="4" t="inlineStr">
        <is>
          <t>Hard</t>
        </is>
      </c>
      <c r="F1473" s="4" t="inlineStr">
        <is>
          <t>Monotonic Stack / Deque</t>
        </is>
      </c>
      <c r="G1473" s="4" t="inlineStr">
        <is>
          <t>Accepted</t>
        </is>
      </c>
      <c r="H1473" s="4" t="inlineStr">
        <is>
          <t>Python3</t>
        </is>
      </c>
      <c r="I1473" s="4" t="inlineStr">
        <is>
          <t>1069 ms</t>
        </is>
      </c>
      <c r="J1473" s="4" t="inlineStr">
        <is>
          <t>33.3 MB</t>
        </is>
      </c>
      <c r="K1473" s="4" t="n">
        <v>5</v>
      </c>
      <c r="L1473" s="4" t="inlineStr">
        <is>
          <t>51/51</t>
        </is>
      </c>
      <c r="M1473" s="9" t="inlineStr">
        <is>
          <t>Submission 1171858464</t>
        </is>
      </c>
      <c r="N1473" s="4" t="inlineStr">
        <is>
          <t>Yes</t>
        </is>
      </c>
    </row>
    <row r="1474">
      <c r="A1474" s="11" t="n">
        <v>45333.32979166666</v>
      </c>
      <c r="B1474" s="4" t="inlineStr">
        <is>
          <t>2024-02</t>
        </is>
      </c>
      <c r="C1474" s="4" t="n">
        <v>146</v>
      </c>
      <c r="D1474" s="9" t="inlineStr">
        <is>
          <t>LRU Cache</t>
        </is>
      </c>
      <c r="E1474" s="4" t="inlineStr">
        <is>
          <t>Medium</t>
        </is>
      </c>
      <c r="F1474" s="4" t="inlineStr">
        <is>
          <t>Design</t>
        </is>
      </c>
      <c r="G1474" s="4" t="inlineStr">
        <is>
          <t>Accepted</t>
        </is>
      </c>
      <c r="H1474" s="4" t="inlineStr">
        <is>
          <t>Python3</t>
        </is>
      </c>
      <c r="I1474" s="4" t="inlineStr">
        <is>
          <t>584 ms</t>
        </is>
      </c>
      <c r="J1474" s="4" t="inlineStr">
        <is>
          <t>78.4 MB</t>
        </is>
      </c>
      <c r="K1474" s="4" t="n">
        <v>5</v>
      </c>
      <c r="L1474" s="4" t="inlineStr">
        <is>
          <t>22/22</t>
        </is>
      </c>
      <c r="M1474" s="9" t="inlineStr">
        <is>
          <t>Submission 1171863682</t>
        </is>
      </c>
      <c r="N1474" s="4" t="inlineStr">
        <is>
          <t>Yes</t>
        </is>
      </c>
    </row>
    <row r="1475">
      <c r="A1475" s="11" t="n">
        <v>45333.33393518518</v>
      </c>
      <c r="B1475" s="4" t="inlineStr">
        <is>
          <t>2024-02</t>
        </is>
      </c>
      <c r="C1475" s="4" t="n">
        <v>295</v>
      </c>
      <c r="D1475" s="9" t="inlineStr">
        <is>
          <t>Find Median from Data Stream</t>
        </is>
      </c>
      <c r="E1475" s="4" t="inlineStr">
        <is>
          <t>Hard</t>
        </is>
      </c>
      <c r="F1475" s="4" t="inlineStr">
        <is>
          <t>Heap / Top-K</t>
        </is>
      </c>
      <c r="G1475" s="4" t="inlineStr">
        <is>
          <t>Accepted</t>
        </is>
      </c>
      <c r="H1475" s="4" t="inlineStr">
        <is>
          <t>Python3</t>
        </is>
      </c>
      <c r="I1475" s="4" t="inlineStr">
        <is>
          <t>929 ms</t>
        </is>
      </c>
      <c r="J1475" s="4" t="inlineStr">
        <is>
          <t>38.1 MB</t>
        </is>
      </c>
      <c r="K1475" s="4" t="n">
        <v>10.4</v>
      </c>
      <c r="L1475" s="4" t="inlineStr">
        <is>
          <t>21/21</t>
        </is>
      </c>
      <c r="M1475" s="9" t="inlineStr">
        <is>
          <t>Submission 1171865915</t>
        </is>
      </c>
      <c r="N1475" s="4" t="inlineStr">
        <is>
          <t>No</t>
        </is>
      </c>
    </row>
    <row r="1476">
      <c r="A1476" s="11" t="n">
        <v>45333.33761574074</v>
      </c>
      <c r="B1476" s="4" t="inlineStr">
        <is>
          <t>2024-02</t>
        </is>
      </c>
      <c r="C1476" s="4" t="n">
        <v>295</v>
      </c>
      <c r="D1476" s="9" t="inlineStr">
        <is>
          <t>Find Median from Data Stream</t>
        </is>
      </c>
      <c r="E1476" s="4" t="inlineStr">
        <is>
          <t>Hard</t>
        </is>
      </c>
      <c r="F1476" s="4" t="inlineStr">
        <is>
          <t>Heap / Top-K</t>
        </is>
      </c>
      <c r="G1476" s="4" t="inlineStr">
        <is>
          <t>Accepted</t>
        </is>
      </c>
      <c r="H1476" s="4" t="inlineStr">
        <is>
          <t>Python3</t>
        </is>
      </c>
      <c r="I1476" s="4" t="inlineStr">
        <is>
          <t>1044 ms</t>
        </is>
      </c>
      <c r="J1476" s="4" t="inlineStr">
        <is>
          <t>38.1 MB</t>
        </is>
      </c>
      <c r="K1476" s="4" t="n">
        <v>8.699999999999999</v>
      </c>
      <c r="L1476" s="4" t="inlineStr">
        <is>
          <t>21/21</t>
        </is>
      </c>
      <c r="M1476" s="9" t="inlineStr">
        <is>
          <t>Submission 1171872574</t>
        </is>
      </c>
      <c r="N1476" s="4" t="inlineStr">
        <is>
          <t>No</t>
        </is>
      </c>
    </row>
    <row r="1477">
      <c r="A1477" s="11" t="n">
        <v>45333.48886574074</v>
      </c>
      <c r="B1477" s="4" t="inlineStr">
        <is>
          <t>2024-02</t>
        </is>
      </c>
      <c r="C1477" s="4" t="n">
        <v>212</v>
      </c>
      <c r="D1477" s="9" t="inlineStr">
        <is>
          <t>Word Search II</t>
        </is>
      </c>
      <c r="E1477" s="4" t="inlineStr">
        <is>
          <t>Hard</t>
        </is>
      </c>
      <c r="F1477" s="4" t="inlineStr">
        <is>
          <t>Trie</t>
        </is>
      </c>
      <c r="G1477" s="4" t="inlineStr">
        <is>
          <t>Wrong Answer</t>
        </is>
      </c>
      <c r="H1477" s="4" t="inlineStr">
        <is>
          <t>Python3</t>
        </is>
      </c>
      <c r="I1477" s="4" t="inlineStr">
        <is>
          <t>N/A</t>
        </is>
      </c>
      <c r="J1477" s="4" t="inlineStr">
        <is>
          <t>N/A</t>
        </is>
      </c>
      <c r="K1477" s="4" t="n"/>
      <c r="L1477" s="4" t="inlineStr">
        <is>
          <t>55/65</t>
        </is>
      </c>
      <c r="M1477" s="9" t="inlineStr">
        <is>
          <t>Submission 1172054310</t>
        </is>
      </c>
      <c r="N1477" s="4" t="inlineStr">
        <is>
          <t>Yes</t>
        </is>
      </c>
    </row>
    <row r="1478">
      <c r="A1478" s="11" t="n">
        <v>45333.48953703704</v>
      </c>
      <c r="B1478" s="4" t="inlineStr">
        <is>
          <t>2024-02</t>
        </is>
      </c>
      <c r="C1478" s="4" t="n">
        <v>212</v>
      </c>
      <c r="D1478" s="9" t="inlineStr">
        <is>
          <t>Word Search II</t>
        </is>
      </c>
      <c r="E1478" s="4" t="inlineStr">
        <is>
          <t>Hard</t>
        </is>
      </c>
      <c r="F1478" s="4" t="inlineStr">
        <is>
          <t>Trie</t>
        </is>
      </c>
      <c r="G1478" s="4" t="inlineStr">
        <is>
          <t>Accepted</t>
        </is>
      </c>
      <c r="H1478" s="4" t="inlineStr">
        <is>
          <t>Python3</t>
        </is>
      </c>
      <c r="I1478" s="4" t="inlineStr">
        <is>
          <t>6419 ms</t>
        </is>
      </c>
      <c r="J1478" s="4" t="inlineStr">
        <is>
          <t>18.6 MB</t>
        </is>
      </c>
      <c r="K1478" s="4" t="n">
        <v>20.3</v>
      </c>
      <c r="L1478" s="4" t="inlineStr">
        <is>
          <t>65/65</t>
        </is>
      </c>
      <c r="M1478" s="9" t="inlineStr">
        <is>
          <t>Submission 1172054968</t>
        </is>
      </c>
      <c r="N1478" s="4" t="inlineStr">
        <is>
          <t>Yes</t>
        </is>
      </c>
    </row>
    <row r="1479">
      <c r="A1479" s="11" t="n">
        <v>45341.65746527778</v>
      </c>
      <c r="B1479" s="4" t="inlineStr">
        <is>
          <t>2024-02</t>
        </is>
      </c>
      <c r="C1479" s="4" t="n">
        <v>224</v>
      </c>
      <c r="D1479" s="9" t="inlineStr">
        <is>
          <t>Basic Calculator</t>
        </is>
      </c>
      <c r="E1479" s="4" t="inlineStr">
        <is>
          <t>Hard</t>
        </is>
      </c>
      <c r="F1479" s="4" t="inlineStr">
        <is>
          <t>Stack</t>
        </is>
      </c>
      <c r="G1479" s="4" t="inlineStr">
        <is>
          <t>Accepted</t>
        </is>
      </c>
      <c r="H1479" s="4" t="inlineStr">
        <is>
          <t>C++</t>
        </is>
      </c>
      <c r="I1479" s="4" t="inlineStr">
        <is>
          <t>10 ms</t>
        </is>
      </c>
      <c r="J1479" s="4" t="inlineStr">
        <is>
          <t>9.1 MB</t>
        </is>
      </c>
      <c r="K1479" s="4" t="n">
        <v>9.6</v>
      </c>
      <c r="L1479" s="4" t="inlineStr">
        <is>
          <t>46/46</t>
        </is>
      </c>
      <c r="M1479" s="9" t="inlineStr">
        <is>
          <t>Submission 1179746617</t>
        </is>
      </c>
      <c r="N1479" s="4" t="inlineStr">
        <is>
          <t>No</t>
        </is>
      </c>
    </row>
    <row r="1480">
      <c r="A1480" s="11" t="n">
        <v>45369.02247685185</v>
      </c>
      <c r="B1480" s="4" t="inlineStr">
        <is>
          <t>2024-03</t>
        </is>
      </c>
      <c r="C1480" s="4" t="n">
        <v>121</v>
      </c>
      <c r="D1480" s="9" t="inlineStr">
        <is>
          <t>Best Time to Buy and Sell Stock</t>
        </is>
      </c>
      <c r="E1480" s="4" t="inlineStr">
        <is>
          <t>Easy</t>
        </is>
      </c>
      <c r="F1480" s="4" t="inlineStr">
        <is>
          <t>DP: Buy &amp; Sell Stock</t>
        </is>
      </c>
      <c r="G1480" s="4" t="inlineStr">
        <is>
          <t>Wrong Answer</t>
        </is>
      </c>
      <c r="H1480" s="4" t="inlineStr">
        <is>
          <t>Python3</t>
        </is>
      </c>
      <c r="I1480" s="4" t="inlineStr">
        <is>
          <t>N/A</t>
        </is>
      </c>
      <c r="J1480" s="4" t="inlineStr">
        <is>
          <t>N/A</t>
        </is>
      </c>
      <c r="K1480" s="4" t="n"/>
      <c r="L1480" s="4" t="inlineStr">
        <is>
          <t>89/212</t>
        </is>
      </c>
      <c r="M1480" s="9" t="inlineStr">
        <is>
          <t>Submission 1206590419</t>
        </is>
      </c>
      <c r="N1480" s="4" t="inlineStr">
        <is>
          <t>Yes</t>
        </is>
      </c>
    </row>
    <row r="1481">
      <c r="A1481" s="11" t="n">
        <v>45369.02290509259</v>
      </c>
      <c r="B1481" s="4" t="inlineStr">
        <is>
          <t>2024-03</t>
        </is>
      </c>
      <c r="C1481" s="4" t="n">
        <v>121</v>
      </c>
      <c r="D1481" s="9" t="inlineStr">
        <is>
          <t>Best Time to Buy and Sell Stock</t>
        </is>
      </c>
      <c r="E1481" s="4" t="inlineStr">
        <is>
          <t>Easy</t>
        </is>
      </c>
      <c r="F1481" s="4" t="inlineStr">
        <is>
          <t>DP: Buy &amp; Sell Stock</t>
        </is>
      </c>
      <c r="G1481" s="4" t="inlineStr">
        <is>
          <t>Accepted</t>
        </is>
      </c>
      <c r="H1481" s="4" t="inlineStr">
        <is>
          <t>Python3</t>
        </is>
      </c>
      <c r="I1481" s="4" t="inlineStr">
        <is>
          <t>703 ms</t>
        </is>
      </c>
      <c r="J1481" s="4" t="inlineStr">
        <is>
          <t>27.3 MB</t>
        </is>
      </c>
      <c r="K1481" s="4" t="n">
        <v>5</v>
      </c>
      <c r="L1481" s="4" t="inlineStr">
        <is>
          <t>212/212</t>
        </is>
      </c>
      <c r="M1481" s="9" t="inlineStr">
        <is>
          <t>Submission 1206590904</t>
        </is>
      </c>
      <c r="N1481" s="4" t="inlineStr">
        <is>
          <t>Yes</t>
        </is>
      </c>
    </row>
    <row r="1482">
      <c r="A1482" s="11" t="n">
        <v>45369.99138888889</v>
      </c>
      <c r="B1482" s="4" t="inlineStr">
        <is>
          <t>2024-03</t>
        </is>
      </c>
      <c r="C1482" s="4" t="n">
        <v>1926</v>
      </c>
      <c r="D1482" s="9" t="inlineStr">
        <is>
          <t>Nearest Exit from Entrance in Maze</t>
        </is>
      </c>
      <c r="E1482" s="4" t="inlineStr">
        <is>
          <t>Medium</t>
        </is>
      </c>
      <c r="F1482" s="4" t="inlineStr">
        <is>
          <t>Graph: Grid BFS/DFS</t>
        </is>
      </c>
      <c r="G1482" s="4" t="inlineStr">
        <is>
          <t>Accepted</t>
        </is>
      </c>
      <c r="H1482" s="4" t="inlineStr">
        <is>
          <t>C++</t>
        </is>
      </c>
      <c r="I1482" s="4" t="inlineStr">
        <is>
          <t>102 ms</t>
        </is>
      </c>
      <c r="J1482" s="4" t="inlineStr">
        <is>
          <t>34.2 MB</t>
        </is>
      </c>
      <c r="K1482" s="4" t="n">
        <v>7.1</v>
      </c>
      <c r="L1482" s="4" t="inlineStr">
        <is>
          <t>194/194</t>
        </is>
      </c>
      <c r="M1482" s="9" t="inlineStr">
        <is>
          <t>Submission 1207498449</t>
        </is>
      </c>
      <c r="N1482" s="4" t="inlineStr">
        <is>
          <t>No</t>
        </is>
      </c>
    </row>
    <row r="1483">
      <c r="A1483" s="11" t="n">
        <v>45369.99998842592</v>
      </c>
      <c r="B1483" s="4" t="inlineStr">
        <is>
          <t>2024-03</t>
        </is>
      </c>
      <c r="C1483" s="4" t="n">
        <v>1926</v>
      </c>
      <c r="D1483" s="9" t="inlineStr">
        <is>
          <t>Nearest Exit from Entrance in Maze</t>
        </is>
      </c>
      <c r="E1483" s="4" t="inlineStr">
        <is>
          <t>Medium</t>
        </is>
      </c>
      <c r="F1483" s="4" t="inlineStr">
        <is>
          <t>Graph: Grid BFS/DFS</t>
        </is>
      </c>
      <c r="G1483" s="4" t="inlineStr">
        <is>
          <t>Accepted</t>
        </is>
      </c>
      <c r="H1483" s="4" t="inlineStr">
        <is>
          <t>C++</t>
        </is>
      </c>
      <c r="I1483" s="4" t="inlineStr">
        <is>
          <t>86 ms</t>
        </is>
      </c>
      <c r="J1483" s="4" t="inlineStr">
        <is>
          <t>37.6 MB</t>
        </is>
      </c>
      <c r="K1483" s="4" t="n">
        <v>8.699999999999999</v>
      </c>
      <c r="L1483" s="4" t="inlineStr">
        <is>
          <t>194/194</t>
        </is>
      </c>
      <c r="M1483" s="9" t="inlineStr">
        <is>
          <t>Submission 1207510837</t>
        </is>
      </c>
      <c r="N1483" s="4" t="inlineStr">
        <is>
          <t>No</t>
        </is>
      </c>
    </row>
    <row r="1484">
      <c r="A1484" s="11" t="n">
        <v>45373.413125</v>
      </c>
      <c r="B1484" s="4" t="inlineStr">
        <is>
          <t>2024-03</t>
        </is>
      </c>
      <c r="C1484" s="4" t="n">
        <v>56</v>
      </c>
      <c r="D1484" s="9" t="inlineStr">
        <is>
          <t>Merge Intervals</t>
        </is>
      </c>
      <c r="E1484" s="4" t="inlineStr">
        <is>
          <t>Medium</t>
        </is>
      </c>
      <c r="F1484" s="4" t="inlineStr">
        <is>
          <t>Intervals &amp; Sweep Line</t>
        </is>
      </c>
      <c r="G1484" s="4" t="inlineStr">
        <is>
          <t>Accepted</t>
        </is>
      </c>
      <c r="H1484" s="4" t="inlineStr">
        <is>
          <t>C++</t>
        </is>
      </c>
      <c r="I1484" s="4" t="inlineStr">
        <is>
          <t>28 ms</t>
        </is>
      </c>
      <c r="J1484" s="4" t="inlineStr">
        <is>
          <t>22.7 MB</t>
        </is>
      </c>
      <c r="K1484" s="4" t="n">
        <v>5.2</v>
      </c>
      <c r="L1484" s="4" t="inlineStr">
        <is>
          <t>170/170</t>
        </is>
      </c>
      <c r="M1484" s="9" t="inlineStr">
        <is>
          <t>Submission 1210567878</t>
        </is>
      </c>
      <c r="N1484" s="4" t="inlineStr">
        <is>
          <t>Yes</t>
        </is>
      </c>
    </row>
    <row r="1485">
      <c r="A1485" s="11" t="n">
        <v>45373.4140625</v>
      </c>
      <c r="B1485" s="4" t="inlineStr">
        <is>
          <t>2024-03</t>
        </is>
      </c>
      <c r="C1485" s="4" t="n">
        <v>56</v>
      </c>
      <c r="D1485" s="9" t="inlineStr">
        <is>
          <t>Merge Intervals</t>
        </is>
      </c>
      <c r="E1485" s="4" t="inlineStr">
        <is>
          <t>Medium</t>
        </is>
      </c>
      <c r="F1485" s="4" t="inlineStr">
        <is>
          <t>Intervals &amp; Sweep Line</t>
        </is>
      </c>
      <c r="G1485" s="4" t="inlineStr">
        <is>
          <t>Accepted</t>
        </is>
      </c>
      <c r="H1485" s="4" t="inlineStr">
        <is>
          <t>C++</t>
        </is>
      </c>
      <c r="I1485" s="4" t="inlineStr">
        <is>
          <t>24 ms</t>
        </is>
      </c>
      <c r="J1485" s="4" t="inlineStr">
        <is>
          <t>22.7 MB</t>
        </is>
      </c>
      <c r="K1485" s="4" t="n">
        <v>5.3</v>
      </c>
      <c r="L1485" s="4" t="inlineStr">
        <is>
          <t>170/170</t>
        </is>
      </c>
      <c r="M1485" s="9" t="inlineStr">
        <is>
          <t>Submission 1210568771</t>
        </is>
      </c>
      <c r="N1485" s="4" t="inlineStr">
        <is>
          <t>Yes</t>
        </is>
      </c>
    </row>
    <row r="1486">
      <c r="A1486" s="11" t="n">
        <v>45373.4555787037</v>
      </c>
      <c r="B1486" s="4" t="inlineStr">
        <is>
          <t>2024-03</t>
        </is>
      </c>
      <c r="C1486" s="4" t="n">
        <v>57</v>
      </c>
      <c r="D1486" s="9" t="inlineStr">
        <is>
          <t>Insert Interval</t>
        </is>
      </c>
      <c r="E1486" s="4" t="inlineStr">
        <is>
          <t>Medium</t>
        </is>
      </c>
      <c r="F1486" s="4" t="inlineStr">
        <is>
          <t>Intervals &amp; Sweep Line</t>
        </is>
      </c>
      <c r="G1486" s="4" t="inlineStr">
        <is>
          <t>Compile Error</t>
        </is>
      </c>
      <c r="H1486" s="4" t="inlineStr">
        <is>
          <t>C++</t>
        </is>
      </c>
      <c r="I1486" s="4" t="inlineStr">
        <is>
          <t>N/A</t>
        </is>
      </c>
      <c r="J1486" s="4" t="inlineStr">
        <is>
          <t>N/A</t>
        </is>
      </c>
      <c r="K1486" s="4" t="n"/>
      <c r="L1486" s="4" t="inlineStr"/>
      <c r="M1486" s="9" t="inlineStr">
        <is>
          <t>Submission 1210609059</t>
        </is>
      </c>
      <c r="N1486" s="4" t="inlineStr">
        <is>
          <t>Yes</t>
        </is>
      </c>
    </row>
    <row r="1487">
      <c r="A1487" s="11" t="n">
        <v>45373.45630787037</v>
      </c>
      <c r="B1487" s="4" t="inlineStr">
        <is>
          <t>2024-03</t>
        </is>
      </c>
      <c r="C1487" s="4" t="n">
        <v>57</v>
      </c>
      <c r="D1487" s="9" t="inlineStr">
        <is>
          <t>Insert Interval</t>
        </is>
      </c>
      <c r="E1487" s="4" t="inlineStr">
        <is>
          <t>Medium</t>
        </is>
      </c>
      <c r="F1487" s="4" t="inlineStr">
        <is>
          <t>Intervals &amp; Sweep Line</t>
        </is>
      </c>
      <c r="G1487" s="4" t="inlineStr">
        <is>
          <t>Accepted</t>
        </is>
      </c>
      <c r="H1487" s="4" t="inlineStr">
        <is>
          <t>C++</t>
        </is>
      </c>
      <c r="I1487" s="4" t="inlineStr">
        <is>
          <t>7 ms</t>
        </is>
      </c>
      <c r="J1487" s="4" t="inlineStr">
        <is>
          <t>20.4 MB</t>
        </is>
      </c>
      <c r="K1487" s="4" t="n">
        <v>6.1</v>
      </c>
      <c r="L1487" s="4" t="inlineStr">
        <is>
          <t>157/157</t>
        </is>
      </c>
      <c r="M1487" s="9" t="inlineStr">
        <is>
          <t>Submission 1210609802</t>
        </is>
      </c>
      <c r="N1487" s="4" t="inlineStr">
        <is>
          <t>Yes</t>
        </is>
      </c>
    </row>
    <row r="1488">
      <c r="A1488" s="11" t="n">
        <v>45373.46414351852</v>
      </c>
      <c r="B1488" s="4" t="inlineStr">
        <is>
          <t>2024-03</t>
        </is>
      </c>
      <c r="C1488" s="4" t="n">
        <v>57</v>
      </c>
      <c r="D1488" s="9" t="inlineStr">
        <is>
          <t>Insert Interval</t>
        </is>
      </c>
      <c r="E1488" s="4" t="inlineStr">
        <is>
          <t>Medium</t>
        </is>
      </c>
      <c r="F1488" s="4" t="inlineStr">
        <is>
          <t>Intervals &amp; Sweep Line</t>
        </is>
      </c>
      <c r="G1488" s="4" t="inlineStr">
        <is>
          <t>Accepted</t>
        </is>
      </c>
      <c r="H1488" s="4" t="inlineStr">
        <is>
          <t>C++</t>
        </is>
      </c>
      <c r="I1488" s="4" t="inlineStr">
        <is>
          <t>7 ms</t>
        </is>
      </c>
      <c r="J1488" s="4" t="inlineStr">
        <is>
          <t>20.4 MB</t>
        </is>
      </c>
      <c r="K1488" s="4" t="n">
        <v>6.1</v>
      </c>
      <c r="L1488" s="4" t="inlineStr">
        <is>
          <t>157/157</t>
        </is>
      </c>
      <c r="M1488" s="9" t="inlineStr">
        <is>
          <t>Submission 1210617518</t>
        </is>
      </c>
      <c r="N1488" s="4" t="inlineStr">
        <is>
          <t>Yes</t>
        </is>
      </c>
    </row>
    <row r="1489">
      <c r="A1489" s="11" t="n">
        <v>45374.4015162037</v>
      </c>
      <c r="B1489" s="4" t="inlineStr">
        <is>
          <t>2024-03</t>
        </is>
      </c>
      <c r="C1489" s="4" t="n">
        <v>57</v>
      </c>
      <c r="D1489" s="9" t="inlineStr">
        <is>
          <t>Insert Interval</t>
        </is>
      </c>
      <c r="E1489" s="4" t="inlineStr">
        <is>
          <t>Medium</t>
        </is>
      </c>
      <c r="F1489" s="4" t="inlineStr">
        <is>
          <t>Intervals &amp; Sweep Line</t>
        </is>
      </c>
      <c r="G1489" s="4" t="inlineStr">
        <is>
          <t>Accepted</t>
        </is>
      </c>
      <c r="H1489" s="4" t="inlineStr">
        <is>
          <t>C++</t>
        </is>
      </c>
      <c r="I1489" s="4" t="inlineStr">
        <is>
          <t>9 ms</t>
        </is>
      </c>
      <c r="J1489" s="4" t="inlineStr">
        <is>
          <t>20.6 MB</t>
        </is>
      </c>
      <c r="K1489" s="4" t="n">
        <v>6.1</v>
      </c>
      <c r="L1489" s="4" t="inlineStr">
        <is>
          <t>157/157</t>
        </is>
      </c>
      <c r="M1489" s="9" t="inlineStr">
        <is>
          <t>Submission 1211347334</t>
        </is>
      </c>
      <c r="N1489" s="4" t="inlineStr">
        <is>
          <t>Yes</t>
        </is>
      </c>
    </row>
    <row r="1490">
      <c r="A1490" s="11" t="n">
        <v>45374.46025462963</v>
      </c>
      <c r="B1490" s="4" t="inlineStr">
        <is>
          <t>2024-03</t>
        </is>
      </c>
      <c r="C1490" s="4" t="n">
        <v>452</v>
      </c>
      <c r="D1490" s="9" t="inlineStr">
        <is>
          <t>Minimum Number of Arrows to Burst Balloons</t>
        </is>
      </c>
      <c r="E1490" s="4" t="inlineStr">
        <is>
          <t>Medium</t>
        </is>
      </c>
      <c r="F1490" s="4" t="inlineStr">
        <is>
          <t>Intervals &amp; Sweep Line</t>
        </is>
      </c>
      <c r="G1490" s="4" t="inlineStr">
        <is>
          <t>Wrong Answer</t>
        </is>
      </c>
      <c r="H1490" s="4" t="inlineStr">
        <is>
          <t>C++</t>
        </is>
      </c>
      <c r="I1490" s="4" t="inlineStr">
        <is>
          <t>N/A</t>
        </is>
      </c>
      <c r="J1490" s="4" t="inlineStr">
        <is>
          <t>N/A</t>
        </is>
      </c>
      <c r="K1490" s="4" t="n"/>
      <c r="L1490" s="4" t="inlineStr">
        <is>
          <t>48/50</t>
        </is>
      </c>
      <c r="M1490" s="9" t="inlineStr">
        <is>
          <t>Submission 1211394392</t>
        </is>
      </c>
      <c r="N1490" s="4" t="inlineStr">
        <is>
          <t>Yes</t>
        </is>
      </c>
    </row>
    <row r="1491">
      <c r="A1491" s="11" t="n">
        <v>45374.46049768518</v>
      </c>
      <c r="B1491" s="4" t="inlineStr">
        <is>
          <t>2024-03</t>
        </is>
      </c>
      <c r="C1491" s="4" t="n">
        <v>452</v>
      </c>
      <c r="D1491" s="9" t="inlineStr">
        <is>
          <t>Minimum Number of Arrows to Burst Balloons</t>
        </is>
      </c>
      <c r="E1491" s="4" t="inlineStr">
        <is>
          <t>Medium</t>
        </is>
      </c>
      <c r="F1491" s="4" t="inlineStr">
        <is>
          <t>Intervals &amp; Sweep Line</t>
        </is>
      </c>
      <c r="G1491" s="4" t="inlineStr">
        <is>
          <t>Runtime Error</t>
        </is>
      </c>
      <c r="H1491" s="4" t="inlineStr">
        <is>
          <t>C++</t>
        </is>
      </c>
      <c r="I1491" s="4" t="inlineStr">
        <is>
          <t>N/A</t>
        </is>
      </c>
      <c r="J1491" s="4" t="inlineStr">
        <is>
          <t>N/A</t>
        </is>
      </c>
      <c r="K1491" s="4" t="n"/>
      <c r="L1491" s="4" t="inlineStr">
        <is>
          <t>0/50</t>
        </is>
      </c>
      <c r="M1491" s="9" t="inlineStr">
        <is>
          <t>Submission 1211394578</t>
        </is>
      </c>
      <c r="N1491" s="4" t="inlineStr">
        <is>
          <t>Yes</t>
        </is>
      </c>
    </row>
    <row r="1492">
      <c r="A1492" s="11" t="n">
        <v>45374.46086805555</v>
      </c>
      <c r="B1492" s="4" t="inlineStr">
        <is>
          <t>2024-03</t>
        </is>
      </c>
      <c r="C1492" s="4" t="n">
        <v>452</v>
      </c>
      <c r="D1492" s="9" t="inlineStr">
        <is>
          <t>Minimum Number of Arrows to Burst Balloons</t>
        </is>
      </c>
      <c r="E1492" s="4" t="inlineStr">
        <is>
          <t>Medium</t>
        </is>
      </c>
      <c r="F1492" s="4" t="inlineStr">
        <is>
          <t>Intervals &amp; Sweep Line</t>
        </is>
      </c>
      <c r="G1492" s="4" t="inlineStr">
        <is>
          <t>Accepted</t>
        </is>
      </c>
      <c r="H1492" s="4" t="inlineStr">
        <is>
          <t>C++</t>
        </is>
      </c>
      <c r="I1492" s="4" t="inlineStr">
        <is>
          <t>267 ms</t>
        </is>
      </c>
      <c r="J1492" s="4" t="inlineStr">
        <is>
          <t>93.3 MB</t>
        </is>
      </c>
      <c r="K1492" s="4" t="n">
        <v>5.6</v>
      </c>
      <c r="L1492" s="4" t="inlineStr">
        <is>
          <t>50/50</t>
        </is>
      </c>
      <c r="M1492" s="9" t="inlineStr">
        <is>
          <t>Submission 1211394901</t>
        </is>
      </c>
      <c r="N1492" s="4" t="inlineStr">
        <is>
          <t>Yes</t>
        </is>
      </c>
    </row>
    <row r="1493">
      <c r="A1493" s="11" t="n">
        <v>45374.47670138889</v>
      </c>
      <c r="B1493" s="4" t="inlineStr">
        <is>
          <t>2024-03</t>
        </is>
      </c>
      <c r="C1493" s="4" t="n">
        <v>435</v>
      </c>
      <c r="D1493" s="9" t="inlineStr">
        <is>
          <t>Non-overlapping Intervals</t>
        </is>
      </c>
      <c r="E1493" s="4" t="inlineStr">
        <is>
          <t>Medium</t>
        </is>
      </c>
      <c r="F1493" s="4" t="inlineStr">
        <is>
          <t>Intervals &amp; Sweep Line</t>
        </is>
      </c>
      <c r="G1493" s="4" t="inlineStr">
        <is>
          <t>Accepted</t>
        </is>
      </c>
      <c r="H1493" s="4" t="inlineStr">
        <is>
          <t>C++</t>
        </is>
      </c>
      <c r="I1493" s="4" t="inlineStr">
        <is>
          <t>237 ms</t>
        </is>
      </c>
      <c r="J1493" s="4" t="inlineStr">
        <is>
          <t>93.3 MB</t>
        </is>
      </c>
      <c r="K1493" s="4" t="n">
        <v>9.9</v>
      </c>
      <c r="L1493" s="4" t="inlineStr">
        <is>
          <t>59/59</t>
        </is>
      </c>
      <c r="M1493" s="9" t="inlineStr">
        <is>
          <t>Submission 1211408422</t>
        </is>
      </c>
      <c r="N1493" s="4" t="inlineStr">
        <is>
          <t>Yes</t>
        </is>
      </c>
    </row>
    <row r="1494">
      <c r="A1494" s="11" t="n">
        <v>45374.48844907407</v>
      </c>
      <c r="B1494" s="4" t="inlineStr">
        <is>
          <t>2024-03</t>
        </is>
      </c>
      <c r="C1494" s="4" t="n">
        <v>495</v>
      </c>
      <c r="D1494" s="9" t="inlineStr">
        <is>
          <t>Teemo Attacking</t>
        </is>
      </c>
      <c r="E1494" s="4" t="inlineStr">
        <is>
          <t>Easy</t>
        </is>
      </c>
      <c r="F1494" s="4" t="inlineStr">
        <is>
          <t>Intervals &amp; Sweep Line</t>
        </is>
      </c>
      <c r="G1494" s="4" t="inlineStr">
        <is>
          <t>Accepted</t>
        </is>
      </c>
      <c r="H1494" s="4" t="inlineStr">
        <is>
          <t>C++</t>
        </is>
      </c>
      <c r="I1494" s="4" t="inlineStr">
        <is>
          <t>47 ms</t>
        </is>
      </c>
      <c r="J1494" s="4" t="inlineStr">
        <is>
          <t>39.2 MB</t>
        </is>
      </c>
      <c r="K1494" s="4" t="n">
        <v>2.1</v>
      </c>
      <c r="L1494" s="4" t="inlineStr">
        <is>
          <t>40/40</t>
        </is>
      </c>
      <c r="M1494" s="9" t="inlineStr">
        <is>
          <t>Submission 1211418907</t>
        </is>
      </c>
      <c r="N1494" s="4" t="inlineStr">
        <is>
          <t>Yes</t>
        </is>
      </c>
    </row>
    <row r="1495">
      <c r="A1495" s="11" t="n">
        <v>45374.54436342593</v>
      </c>
      <c r="B1495" s="4" t="inlineStr">
        <is>
          <t>2024-03</t>
        </is>
      </c>
      <c r="C1495" s="4" t="n">
        <v>253</v>
      </c>
      <c r="D1495" s="9" t="inlineStr">
        <is>
          <t>Meeting Rooms II</t>
        </is>
      </c>
      <c r="E1495" s="4" t="inlineStr">
        <is>
          <t>Medium</t>
        </is>
      </c>
      <c r="F1495" s="4" t="inlineStr">
        <is>
          <t>Intervals &amp; Sweep Line</t>
        </is>
      </c>
      <c r="G1495" s="4" t="inlineStr">
        <is>
          <t>Accepted</t>
        </is>
      </c>
      <c r="H1495" s="4" t="inlineStr">
        <is>
          <t>C++</t>
        </is>
      </c>
      <c r="I1495" s="4" t="inlineStr">
        <is>
          <t>7 ms</t>
        </is>
      </c>
      <c r="J1495" s="4" t="inlineStr">
        <is>
          <t>15.2 MB</t>
        </is>
      </c>
      <c r="K1495" s="4" t="n">
        <v>20.4</v>
      </c>
      <c r="L1495" s="4" t="inlineStr">
        <is>
          <t>79/79</t>
        </is>
      </c>
      <c r="M1495" s="9" t="inlineStr">
        <is>
          <t>Submission 1211468058</t>
        </is>
      </c>
      <c r="N1495" s="4" t="inlineStr">
        <is>
          <t>Yes</t>
        </is>
      </c>
    </row>
    <row r="1496">
      <c r="A1496" s="11" t="n">
        <v>45374.55513888889</v>
      </c>
      <c r="B1496" s="4" t="inlineStr">
        <is>
          <t>2024-03</t>
        </is>
      </c>
      <c r="C1496" s="4" t="n">
        <v>57</v>
      </c>
      <c r="D1496" s="9" t="inlineStr">
        <is>
          <t>Insert Interval</t>
        </is>
      </c>
      <c r="E1496" s="4" t="inlineStr">
        <is>
          <t>Medium</t>
        </is>
      </c>
      <c r="F1496" s="4" t="inlineStr">
        <is>
          <t>Intervals &amp; Sweep Line</t>
        </is>
      </c>
      <c r="G1496" s="4" t="inlineStr">
        <is>
          <t>Accepted</t>
        </is>
      </c>
      <c r="H1496" s="4" t="inlineStr">
        <is>
          <t>C++</t>
        </is>
      </c>
      <c r="I1496" s="4" t="inlineStr">
        <is>
          <t>11 ms</t>
        </is>
      </c>
      <c r="J1496" s="4" t="inlineStr">
        <is>
          <t>20.6 MB</t>
        </is>
      </c>
      <c r="K1496" s="4" t="n">
        <v>6.1</v>
      </c>
      <c r="L1496" s="4" t="inlineStr">
        <is>
          <t>157/157</t>
        </is>
      </c>
      <c r="M1496" s="9" t="inlineStr">
        <is>
          <t>Submission 1211476832</t>
        </is>
      </c>
      <c r="N1496" s="4" t="inlineStr">
        <is>
          <t>Yes</t>
        </is>
      </c>
    </row>
    <row r="1497">
      <c r="A1497" s="11" t="n">
        <v>45374.57554398148</v>
      </c>
      <c r="B1497" s="4" t="inlineStr">
        <is>
          <t>2024-03</t>
        </is>
      </c>
      <c r="C1497" s="4" t="n">
        <v>436</v>
      </c>
      <c r="D1497" s="9" t="inlineStr">
        <is>
          <t>Find Right Interval</t>
        </is>
      </c>
      <c r="E1497" s="4" t="inlineStr">
        <is>
          <t>Medium</t>
        </is>
      </c>
      <c r="F1497" s="4" t="inlineStr">
        <is>
          <t>Intervals &amp; Sweep Line</t>
        </is>
      </c>
      <c r="G1497" s="4" t="inlineStr">
        <is>
          <t>Accepted</t>
        </is>
      </c>
      <c r="H1497" s="4" t="inlineStr">
        <is>
          <t>C++</t>
        </is>
      </c>
      <c r="I1497" s="4" t="inlineStr">
        <is>
          <t>63 ms</t>
        </is>
      </c>
      <c r="J1497" s="4" t="inlineStr">
        <is>
          <t>34.6 MB</t>
        </is>
      </c>
      <c r="K1497" s="4" t="n">
        <v>11.7</v>
      </c>
      <c r="L1497" s="4" t="inlineStr">
        <is>
          <t>20/20</t>
        </is>
      </c>
      <c r="M1497" s="9" t="inlineStr">
        <is>
          <t>Submission 1211492069</t>
        </is>
      </c>
      <c r="N1497" s="4" t="inlineStr">
        <is>
          <t>Yes</t>
        </is>
      </c>
    </row>
    <row r="1498">
      <c r="A1498" s="11" t="n">
        <v>45374.59238425926</v>
      </c>
      <c r="B1498" s="4" t="inlineStr">
        <is>
          <t>2024-03</t>
        </is>
      </c>
      <c r="C1498" s="4" t="n">
        <v>759</v>
      </c>
      <c r="D1498" s="9" t="inlineStr">
        <is>
          <t>Employee Free Time</t>
        </is>
      </c>
      <c r="E1498" s="4" t="inlineStr">
        <is>
          <t>Hard</t>
        </is>
      </c>
      <c r="F1498" s="4" t="inlineStr">
        <is>
          <t>Intervals &amp; Sweep Line</t>
        </is>
      </c>
      <c r="G1498" s="4" t="inlineStr">
        <is>
          <t>Accepted</t>
        </is>
      </c>
      <c r="H1498" s="4" t="inlineStr">
        <is>
          <t>C++</t>
        </is>
      </c>
      <c r="I1498" s="4" t="inlineStr">
        <is>
          <t>15 ms</t>
        </is>
      </c>
      <c r="J1498" s="4" t="inlineStr">
        <is>
          <t>13.3 MB</t>
        </is>
      </c>
      <c r="K1498" s="4" t="n">
        <v>95.90000000000001</v>
      </c>
      <c r="L1498" s="4" t="inlineStr">
        <is>
          <t>52/52</t>
        </is>
      </c>
      <c r="M1498" s="9" t="inlineStr">
        <is>
          <t>Submission 1211504428</t>
        </is>
      </c>
      <c r="N1498" s="4" t="inlineStr">
        <is>
          <t>Yes</t>
        </is>
      </c>
    </row>
    <row r="1499">
      <c r="A1499" s="11" t="n">
        <v>45375.4572800926</v>
      </c>
      <c r="B1499" s="4" t="inlineStr">
        <is>
          <t>2024-03</t>
        </is>
      </c>
      <c r="C1499" s="4" t="n">
        <v>729</v>
      </c>
      <c r="D1499" s="9" t="inlineStr">
        <is>
          <t>My Calendar I</t>
        </is>
      </c>
      <c r="E1499" s="4" t="inlineStr">
        <is>
          <t>Medium</t>
        </is>
      </c>
      <c r="F1499" s="4" t="inlineStr">
        <is>
          <t>Intervals &amp; Sweep Line</t>
        </is>
      </c>
      <c r="G1499" s="4" t="inlineStr">
        <is>
          <t>Accepted</t>
        </is>
      </c>
      <c r="H1499" s="4" t="inlineStr">
        <is>
          <t>C++</t>
        </is>
      </c>
      <c r="I1499" s="4" t="inlineStr">
        <is>
          <t>68 ms</t>
        </is>
      </c>
      <c r="J1499" s="4" t="inlineStr">
        <is>
          <t>42.6 MB</t>
        </is>
      </c>
      <c r="K1499" s="4" t="n">
        <v>17.6</v>
      </c>
      <c r="L1499" s="4" t="inlineStr">
        <is>
          <t>107/107</t>
        </is>
      </c>
      <c r="M1499" s="9" t="inlineStr">
        <is>
          <t>Submission 1212298002</t>
        </is>
      </c>
      <c r="N1499" s="4" t="inlineStr">
        <is>
          <t>Yes</t>
        </is>
      </c>
    </row>
    <row r="1500">
      <c r="A1500" s="11" t="n">
        <v>45375.4577662037</v>
      </c>
      <c r="B1500" s="4" t="inlineStr">
        <is>
          <t>2024-03</t>
        </is>
      </c>
      <c r="C1500" s="4" t="n">
        <v>729</v>
      </c>
      <c r="D1500" s="9" t="inlineStr">
        <is>
          <t>My Calendar I</t>
        </is>
      </c>
      <c r="E1500" s="4" t="inlineStr">
        <is>
          <t>Medium</t>
        </is>
      </c>
      <c r="F1500" s="4" t="inlineStr">
        <is>
          <t>Intervals &amp; Sweep Line</t>
        </is>
      </c>
      <c r="G1500" s="4" t="inlineStr">
        <is>
          <t>Accepted</t>
        </is>
      </c>
      <c r="H1500" s="4" t="inlineStr">
        <is>
          <t>C++</t>
        </is>
      </c>
      <c r="I1500" s="4" t="inlineStr">
        <is>
          <t>60 ms</t>
        </is>
      </c>
      <c r="J1500" s="4" t="inlineStr">
        <is>
          <t>42.7 MB</t>
        </is>
      </c>
      <c r="K1500" s="4" t="n">
        <v>18.6</v>
      </c>
      <c r="L1500" s="4" t="inlineStr">
        <is>
          <t>107/107</t>
        </is>
      </c>
      <c r="M1500" s="9" t="inlineStr">
        <is>
          <t>Submission 1212298466</t>
        </is>
      </c>
      <c r="N1500" s="4" t="inlineStr">
        <is>
          <t>Yes</t>
        </is>
      </c>
    </row>
    <row r="1501">
      <c r="A1501" s="11" t="n">
        <v>45375.46027777778</v>
      </c>
      <c r="B1501" s="4" t="inlineStr">
        <is>
          <t>2024-03</t>
        </is>
      </c>
      <c r="C1501" s="4" t="n">
        <v>729</v>
      </c>
      <c r="D1501" s="9" t="inlineStr">
        <is>
          <t>My Calendar I</t>
        </is>
      </c>
      <c r="E1501" s="4" t="inlineStr">
        <is>
          <t>Medium</t>
        </is>
      </c>
      <c r="F1501" s="4" t="inlineStr">
        <is>
          <t>Intervals &amp; Sweep Line</t>
        </is>
      </c>
      <c r="G1501" s="4" t="inlineStr">
        <is>
          <t>Accepted</t>
        </is>
      </c>
      <c r="H1501" s="4" t="inlineStr">
        <is>
          <t>C++</t>
        </is>
      </c>
      <c r="I1501" s="4" t="inlineStr">
        <is>
          <t>60 ms</t>
        </is>
      </c>
      <c r="J1501" s="4" t="inlineStr">
        <is>
          <t>42.5 MB</t>
        </is>
      </c>
      <c r="K1501" s="4" t="n">
        <v>18.6</v>
      </c>
      <c r="L1501" s="4" t="inlineStr">
        <is>
          <t>107/107</t>
        </is>
      </c>
      <c r="M1501" s="9" t="inlineStr">
        <is>
          <t>Submission 1212300930</t>
        </is>
      </c>
      <c r="N1501" s="4" t="inlineStr">
        <is>
          <t>Yes</t>
        </is>
      </c>
    </row>
    <row r="1502">
      <c r="A1502" s="11" t="n">
        <v>45375.47209490741</v>
      </c>
      <c r="B1502" s="4" t="inlineStr">
        <is>
          <t>2024-03</t>
        </is>
      </c>
      <c r="C1502" s="4" t="n">
        <v>729</v>
      </c>
      <c r="D1502" s="9" t="inlineStr">
        <is>
          <t>My Calendar I</t>
        </is>
      </c>
      <c r="E1502" s="4" t="inlineStr">
        <is>
          <t>Medium</t>
        </is>
      </c>
      <c r="F1502" s="4" t="inlineStr">
        <is>
          <t>Intervals &amp; Sweep Line</t>
        </is>
      </c>
      <c r="G1502" s="4" t="inlineStr">
        <is>
          <t>Wrong Answer</t>
        </is>
      </c>
      <c r="H1502" s="4" t="inlineStr">
        <is>
          <t>C++</t>
        </is>
      </c>
      <c r="I1502" s="4" t="inlineStr">
        <is>
          <t>N/A</t>
        </is>
      </c>
      <c r="J1502" s="4" t="inlineStr">
        <is>
          <t>N/A</t>
        </is>
      </c>
      <c r="K1502" s="4" t="n"/>
      <c r="L1502" s="4" t="inlineStr">
        <is>
          <t>1/107</t>
        </is>
      </c>
      <c r="M1502" s="9" t="inlineStr">
        <is>
          <t>Submission 1212313042</t>
        </is>
      </c>
      <c r="N1502" s="4" t="inlineStr">
        <is>
          <t>Yes</t>
        </is>
      </c>
    </row>
    <row r="1503">
      <c r="A1503" s="11" t="n">
        <v>45375.47427083334</v>
      </c>
      <c r="B1503" s="4" t="inlineStr">
        <is>
          <t>2024-03</t>
        </is>
      </c>
      <c r="C1503" s="4" t="n">
        <v>729</v>
      </c>
      <c r="D1503" s="9" t="inlineStr">
        <is>
          <t>My Calendar I</t>
        </is>
      </c>
      <c r="E1503" s="4" t="inlineStr">
        <is>
          <t>Medium</t>
        </is>
      </c>
      <c r="F1503" s="4" t="inlineStr">
        <is>
          <t>Intervals &amp; Sweep Line</t>
        </is>
      </c>
      <c r="G1503" s="4" t="inlineStr">
        <is>
          <t>Accepted</t>
        </is>
      </c>
      <c r="H1503" s="4" t="inlineStr">
        <is>
          <t>C++</t>
        </is>
      </c>
      <c r="I1503" s="4" t="inlineStr">
        <is>
          <t>76 ms</t>
        </is>
      </c>
      <c r="J1503" s="4" t="inlineStr">
        <is>
          <t>42.5 MB</t>
        </is>
      </c>
      <c r="K1503" s="4" t="n">
        <v>16.9</v>
      </c>
      <c r="L1503" s="4" t="inlineStr">
        <is>
          <t>107/107</t>
        </is>
      </c>
      <c r="M1503" s="9" t="inlineStr">
        <is>
          <t>Submission 1212315380</t>
        </is>
      </c>
      <c r="N1503" s="4" t="inlineStr">
        <is>
          <t>Yes</t>
        </is>
      </c>
    </row>
    <row r="1504">
      <c r="A1504" s="11" t="n">
        <v>45375.51907407407</v>
      </c>
      <c r="B1504" s="4" t="inlineStr">
        <is>
          <t>2024-03</t>
        </is>
      </c>
      <c r="C1504" s="4" t="n">
        <v>731</v>
      </c>
      <c r="D1504" s="9" t="inlineStr">
        <is>
          <t>My Calendar II</t>
        </is>
      </c>
      <c r="E1504" s="4" t="inlineStr">
        <is>
          <t>Medium</t>
        </is>
      </c>
      <c r="F1504" s="4" t="inlineStr">
        <is>
          <t>Intervals &amp; Sweep Line</t>
        </is>
      </c>
      <c r="G1504" s="4" t="inlineStr">
        <is>
          <t>Accepted</t>
        </is>
      </c>
      <c r="H1504" s="4" t="inlineStr">
        <is>
          <t>C++</t>
        </is>
      </c>
      <c r="I1504" s="4" t="inlineStr">
        <is>
          <t>167 ms</t>
        </is>
      </c>
      <c r="J1504" s="4" t="inlineStr">
        <is>
          <t>42.4 MB</t>
        </is>
      </c>
      <c r="K1504" s="4" t="n">
        <v>7.7</v>
      </c>
      <c r="L1504" s="4" t="inlineStr">
        <is>
          <t>97/97</t>
        </is>
      </c>
      <c r="M1504" s="9" t="inlineStr">
        <is>
          <t>Submission 1212363104</t>
        </is>
      </c>
      <c r="N1504" s="4" t="inlineStr">
        <is>
          <t>Yes</t>
        </is>
      </c>
    </row>
    <row r="1505">
      <c r="A1505" s="11" t="n">
        <v>45375.52251157408</v>
      </c>
      <c r="B1505" s="4" t="inlineStr">
        <is>
          <t>2024-03</t>
        </is>
      </c>
      <c r="C1505" s="4" t="n">
        <v>731</v>
      </c>
      <c r="D1505" s="9" t="inlineStr">
        <is>
          <t>My Calendar II</t>
        </is>
      </c>
      <c r="E1505" s="4" t="inlineStr">
        <is>
          <t>Medium</t>
        </is>
      </c>
      <c r="F1505" s="4" t="inlineStr">
        <is>
          <t>Intervals &amp; Sweep Line</t>
        </is>
      </c>
      <c r="G1505" s="4" t="inlineStr">
        <is>
          <t>Accepted</t>
        </is>
      </c>
      <c r="H1505" s="4" t="inlineStr">
        <is>
          <t>C++</t>
        </is>
      </c>
      <c r="I1505" s="4" t="inlineStr">
        <is>
          <t>177 ms</t>
        </is>
      </c>
      <c r="J1505" s="4" t="inlineStr">
        <is>
          <t>42.4 MB</t>
        </is>
      </c>
      <c r="K1505" s="4" t="n">
        <v>7.3</v>
      </c>
      <c r="L1505" s="4" t="inlineStr">
        <is>
          <t>97/97</t>
        </is>
      </c>
      <c r="M1505" s="9" t="inlineStr">
        <is>
          <t>Submission 1212366671</t>
        </is>
      </c>
      <c r="N1505" s="4" t="inlineStr">
        <is>
          <t>Yes</t>
        </is>
      </c>
    </row>
    <row r="1506">
      <c r="A1506" s="11" t="n">
        <v>45375.52256944445</v>
      </c>
      <c r="B1506" s="4" t="inlineStr">
        <is>
          <t>2024-03</t>
        </is>
      </c>
      <c r="C1506" s="4" t="n">
        <v>732</v>
      </c>
      <c r="D1506" s="9" t="inlineStr">
        <is>
          <t>My Calendar III</t>
        </is>
      </c>
      <c r="E1506" s="4" t="inlineStr">
        <is>
          <t>Hard</t>
        </is>
      </c>
      <c r="F1506" s="4" t="inlineStr">
        <is>
          <t>Intervals &amp; Sweep Line</t>
        </is>
      </c>
      <c r="G1506" s="4" t="inlineStr">
        <is>
          <t>Accepted</t>
        </is>
      </c>
      <c r="H1506" s="4" t="inlineStr">
        <is>
          <t>C++</t>
        </is>
      </c>
      <c r="I1506" s="4" t="inlineStr">
        <is>
          <t>76 ms</t>
        </is>
      </c>
      <c r="J1506" s="4" t="inlineStr">
        <is>
          <t>30.1 MB</t>
        </is>
      </c>
      <c r="K1506" s="4" t="n">
        <v>15.2</v>
      </c>
      <c r="L1506" s="4" t="inlineStr">
        <is>
          <t>98/98</t>
        </is>
      </c>
      <c r="M1506" s="9" t="inlineStr">
        <is>
          <t>Submission 1212366736</t>
        </is>
      </c>
      <c r="N1506" s="4" t="inlineStr">
        <is>
          <t>Yes</t>
        </is>
      </c>
    </row>
    <row r="1507">
      <c r="A1507" s="11" t="n">
        <v>45375.52645833333</v>
      </c>
      <c r="B1507" s="4" t="inlineStr">
        <is>
          <t>2024-03</t>
        </is>
      </c>
      <c r="C1507" s="4" t="n">
        <v>732</v>
      </c>
      <c r="D1507" s="9" t="inlineStr">
        <is>
          <t>My Calendar III</t>
        </is>
      </c>
      <c r="E1507" s="4" t="inlineStr">
        <is>
          <t>Hard</t>
        </is>
      </c>
      <c r="F1507" s="4" t="inlineStr">
        <is>
          <t>Intervals &amp; Sweep Line</t>
        </is>
      </c>
      <c r="G1507" s="4" t="inlineStr">
        <is>
          <t>Accepted</t>
        </is>
      </c>
      <c r="H1507" s="4" t="inlineStr">
        <is>
          <t>C++</t>
        </is>
      </c>
      <c r="I1507" s="4" t="inlineStr">
        <is>
          <t>79 ms</t>
        </is>
      </c>
      <c r="J1507" s="4" t="inlineStr">
        <is>
          <t>30 MB</t>
        </is>
      </c>
      <c r="K1507" s="4" t="n">
        <v>15.2</v>
      </c>
      <c r="L1507" s="4" t="inlineStr">
        <is>
          <t>98/98</t>
        </is>
      </c>
      <c r="M1507" s="9" t="inlineStr">
        <is>
          <t>Submission 1212370935</t>
        </is>
      </c>
      <c r="N1507" s="4" t="inlineStr">
        <is>
          <t>Yes</t>
        </is>
      </c>
    </row>
    <row r="1508">
      <c r="A1508" s="11" t="n">
        <v>45375.53275462963</v>
      </c>
      <c r="B1508" s="4" t="inlineStr">
        <is>
          <t>2024-03</t>
        </is>
      </c>
      <c r="C1508" s="4" t="n">
        <v>69</v>
      </c>
      <c r="D1508" s="9" t="inlineStr">
        <is>
          <t>Sqrt(x)</t>
        </is>
      </c>
      <c r="E1508" s="4" t="inlineStr">
        <is>
          <t>Easy</t>
        </is>
      </c>
      <c r="F1508" s="4" t="inlineStr">
        <is>
          <t>Binary Search on Answer</t>
        </is>
      </c>
      <c r="G1508" s="4" t="inlineStr">
        <is>
          <t>Runtime Error</t>
        </is>
      </c>
      <c r="H1508" s="4" t="inlineStr">
        <is>
          <t>C++</t>
        </is>
      </c>
      <c r="I1508" s="4" t="inlineStr">
        <is>
          <t>N/A</t>
        </is>
      </c>
      <c r="J1508" s="4" t="inlineStr">
        <is>
          <t>N/A</t>
        </is>
      </c>
      <c r="K1508" s="4" t="n"/>
      <c r="L1508" s="4" t="inlineStr"/>
      <c r="M1508" s="9" t="inlineStr">
        <is>
          <t>Submission 1212377477</t>
        </is>
      </c>
      <c r="N1508" s="4" t="inlineStr">
        <is>
          <t>Yes</t>
        </is>
      </c>
    </row>
    <row r="1509">
      <c r="A1509" s="11" t="n">
        <v>45375.53355324074</v>
      </c>
      <c r="B1509" s="4" t="inlineStr">
        <is>
          <t>2024-03</t>
        </is>
      </c>
      <c r="C1509" s="4" t="n">
        <v>69</v>
      </c>
      <c r="D1509" s="9" t="inlineStr">
        <is>
          <t>Sqrt(x)</t>
        </is>
      </c>
      <c r="E1509" s="4" t="inlineStr">
        <is>
          <t>Easy</t>
        </is>
      </c>
      <c r="F1509" s="4" t="inlineStr">
        <is>
          <t>Binary Search on Answer</t>
        </is>
      </c>
      <c r="G1509" s="4" t="inlineStr">
        <is>
          <t>Accepted</t>
        </is>
      </c>
      <c r="H1509" s="4" t="inlineStr">
        <is>
          <t>C++</t>
        </is>
      </c>
      <c r="I1509" s="4" t="inlineStr">
        <is>
          <t>0 ms</t>
        </is>
      </c>
      <c r="J1509" s="4" t="inlineStr">
        <is>
          <t>7.4 MB</t>
        </is>
      </c>
      <c r="K1509" s="4" t="n">
        <v>100</v>
      </c>
      <c r="L1509" s="4" t="inlineStr">
        <is>
          <t>1017/1017</t>
        </is>
      </c>
      <c r="M1509" s="9" t="inlineStr">
        <is>
          <t>Submission 1212378377</t>
        </is>
      </c>
      <c r="N1509" s="4" t="inlineStr">
        <is>
          <t>Yes</t>
        </is>
      </c>
    </row>
    <row r="1510">
      <c r="A1510" s="11" t="n">
        <v>45375.5355324074</v>
      </c>
      <c r="B1510" s="4" t="inlineStr">
        <is>
          <t>2024-03</t>
        </is>
      </c>
      <c r="C1510" s="4" t="n">
        <v>69</v>
      </c>
      <c r="D1510" s="9" t="inlineStr">
        <is>
          <t>Sqrt(x)</t>
        </is>
      </c>
      <c r="E1510" s="4" t="inlineStr">
        <is>
          <t>Easy</t>
        </is>
      </c>
      <c r="F1510" s="4" t="inlineStr">
        <is>
          <t>Binary Search on Answer</t>
        </is>
      </c>
      <c r="G1510" s="4" t="inlineStr">
        <is>
          <t>Accepted</t>
        </is>
      </c>
      <c r="H1510" s="4" t="inlineStr">
        <is>
          <t>C++</t>
        </is>
      </c>
      <c r="I1510" s="4" t="inlineStr">
        <is>
          <t>0 ms</t>
        </is>
      </c>
      <c r="J1510" s="4" t="inlineStr">
        <is>
          <t>7.2 MB</t>
        </is>
      </c>
      <c r="K1510" s="4" t="n">
        <v>100</v>
      </c>
      <c r="L1510" s="4" t="inlineStr">
        <is>
          <t>1017/1017</t>
        </is>
      </c>
      <c r="M1510" s="9" t="inlineStr">
        <is>
          <t>Submission 1212380433</t>
        </is>
      </c>
      <c r="N1510" s="4" t="inlineStr">
        <is>
          <t>Yes</t>
        </is>
      </c>
    </row>
    <row r="1511">
      <c r="A1511" s="11" t="n">
        <v>45375.53575231481</v>
      </c>
      <c r="B1511" s="4" t="inlineStr">
        <is>
          <t>2024-03</t>
        </is>
      </c>
      <c r="C1511" s="4" t="n">
        <v>69</v>
      </c>
      <c r="D1511" s="9" t="inlineStr">
        <is>
          <t>Sqrt(x)</t>
        </is>
      </c>
      <c r="E1511" s="4" t="inlineStr">
        <is>
          <t>Easy</t>
        </is>
      </c>
      <c r="F1511" s="4" t="inlineStr">
        <is>
          <t>Binary Search on Answer</t>
        </is>
      </c>
      <c r="G1511" s="4" t="inlineStr">
        <is>
          <t>Accepted</t>
        </is>
      </c>
      <c r="H1511" s="4" t="inlineStr">
        <is>
          <t>C++</t>
        </is>
      </c>
      <c r="I1511" s="4" t="inlineStr">
        <is>
          <t>5 ms</t>
        </is>
      </c>
      <c r="J1511" s="4" t="inlineStr">
        <is>
          <t>7.4 MB</t>
        </is>
      </c>
      <c r="K1511" s="4" t="n">
        <v>18.2</v>
      </c>
      <c r="L1511" s="4" t="inlineStr">
        <is>
          <t>1017/1017</t>
        </is>
      </c>
      <c r="M1511" s="9" t="inlineStr">
        <is>
          <t>Submission 1212380641</t>
        </is>
      </c>
      <c r="N1511" s="4" t="inlineStr">
        <is>
          <t>Yes</t>
        </is>
      </c>
    </row>
    <row r="1512">
      <c r="A1512" s="11" t="n">
        <v>45375.54037037037</v>
      </c>
      <c r="B1512" s="4" t="inlineStr">
        <is>
          <t>2024-03</t>
        </is>
      </c>
      <c r="C1512" s="4" t="n">
        <v>374</v>
      </c>
      <c r="D1512" s="9" t="inlineStr">
        <is>
          <t>Guess Number Higher or Lower</t>
        </is>
      </c>
      <c r="E1512" s="4" t="inlineStr">
        <is>
          <t>Easy</t>
        </is>
      </c>
      <c r="F1512" s="4" t="inlineStr">
        <is>
          <t>Binary Search</t>
        </is>
      </c>
      <c r="G1512" s="4" t="inlineStr">
        <is>
          <t>Accepted</t>
        </is>
      </c>
      <c r="H1512" s="4" t="inlineStr">
        <is>
          <t>C++</t>
        </is>
      </c>
      <c r="I1512" s="4" t="inlineStr">
        <is>
          <t>0 ms</t>
        </is>
      </c>
      <c r="J1512" s="4" t="inlineStr">
        <is>
          <t>7.3 MB</t>
        </is>
      </c>
      <c r="K1512" s="4" t="n">
        <v>100</v>
      </c>
      <c r="L1512" s="4" t="inlineStr">
        <is>
          <t>25/25</t>
        </is>
      </c>
      <c r="M1512" s="9" t="inlineStr">
        <is>
          <t>Submission 1212385330</t>
        </is>
      </c>
      <c r="N1512" s="4" t="inlineStr">
        <is>
          <t>Yes</t>
        </is>
      </c>
    </row>
    <row r="1513">
      <c r="A1513" s="11" t="n">
        <v>45375.55127314815</v>
      </c>
      <c r="B1513" s="4" t="inlineStr">
        <is>
          <t>2024-03</t>
        </is>
      </c>
      <c r="C1513" s="4" t="n">
        <v>278</v>
      </c>
      <c r="D1513" s="9" t="inlineStr">
        <is>
          <t>First Bad Version</t>
        </is>
      </c>
      <c r="E1513" s="4" t="inlineStr">
        <is>
          <t>Easy</t>
        </is>
      </c>
      <c r="F1513" s="4" t="inlineStr">
        <is>
          <t>Binary Search</t>
        </is>
      </c>
      <c r="G1513" s="4" t="inlineStr">
        <is>
          <t>Accepted</t>
        </is>
      </c>
      <c r="H1513" s="4" t="inlineStr">
        <is>
          <t>C++</t>
        </is>
      </c>
      <c r="I1513" s="4" t="inlineStr">
        <is>
          <t>2 ms</t>
        </is>
      </c>
      <c r="J1513" s="4" t="inlineStr">
        <is>
          <t>7.3 MB</t>
        </is>
      </c>
      <c r="K1513" s="4" t="n">
        <v>52.9</v>
      </c>
      <c r="L1513" s="4" t="inlineStr">
        <is>
          <t>24/24</t>
        </is>
      </c>
      <c r="M1513" s="9" t="inlineStr">
        <is>
          <t>Submission 1212396090</t>
        </is>
      </c>
      <c r="N1513" s="4" t="inlineStr">
        <is>
          <t>Yes</t>
        </is>
      </c>
    </row>
    <row r="1514">
      <c r="A1514" s="11" t="n">
        <v>45375.55225694444</v>
      </c>
      <c r="B1514" s="4" t="inlineStr">
        <is>
          <t>2024-03</t>
        </is>
      </c>
      <c r="C1514" s="4" t="n">
        <v>278</v>
      </c>
      <c r="D1514" s="9" t="inlineStr">
        <is>
          <t>First Bad Version</t>
        </is>
      </c>
      <c r="E1514" s="4" t="inlineStr">
        <is>
          <t>Easy</t>
        </is>
      </c>
      <c r="F1514" s="4" t="inlineStr">
        <is>
          <t>Binary Search</t>
        </is>
      </c>
      <c r="G1514" s="4" t="inlineStr">
        <is>
          <t>Accepted</t>
        </is>
      </c>
      <c r="H1514" s="4" t="inlineStr">
        <is>
          <t>C++</t>
        </is>
      </c>
      <c r="I1514" s="4" t="inlineStr">
        <is>
          <t>0 ms</t>
        </is>
      </c>
      <c r="J1514" s="4" t="inlineStr">
        <is>
          <t>7.3 MB</t>
        </is>
      </c>
      <c r="K1514" s="4" t="n">
        <v>100</v>
      </c>
      <c r="L1514" s="4" t="inlineStr">
        <is>
          <t>24/24</t>
        </is>
      </c>
      <c r="M1514" s="9" t="inlineStr">
        <is>
          <t>Submission 1212396995</t>
        </is>
      </c>
      <c r="N1514" s="4" t="inlineStr">
        <is>
          <t>Yes</t>
        </is>
      </c>
    </row>
    <row r="1515">
      <c r="A1515" s="11" t="n">
        <v>45375.55247685185</v>
      </c>
      <c r="B1515" s="4" t="inlineStr">
        <is>
          <t>2024-03</t>
        </is>
      </c>
      <c r="C1515" s="4" t="n">
        <v>278</v>
      </c>
      <c r="D1515" s="9" t="inlineStr">
        <is>
          <t>First Bad Version</t>
        </is>
      </c>
      <c r="E1515" s="4" t="inlineStr">
        <is>
          <t>Easy</t>
        </is>
      </c>
      <c r="F1515" s="4" t="inlineStr">
        <is>
          <t>Binary Search</t>
        </is>
      </c>
      <c r="G1515" s="4" t="inlineStr">
        <is>
          <t>Wrong Answer</t>
        </is>
      </c>
      <c r="H1515" s="4" t="inlineStr">
        <is>
          <t>C++</t>
        </is>
      </c>
      <c r="I1515" s="4" t="inlineStr">
        <is>
          <t>N/A</t>
        </is>
      </c>
      <c r="J1515" s="4" t="inlineStr">
        <is>
          <t>N/A</t>
        </is>
      </c>
      <c r="K1515" s="4" t="n"/>
      <c r="L1515" s="4" t="inlineStr">
        <is>
          <t>16/24</t>
        </is>
      </c>
      <c r="M1515" s="9" t="inlineStr">
        <is>
          <t>Submission 1212397199</t>
        </is>
      </c>
      <c r="N1515" s="4" t="inlineStr">
        <is>
          <t>Yes</t>
        </is>
      </c>
    </row>
    <row r="1516">
      <c r="A1516" s="11" t="n">
        <v>45375.55475694445</v>
      </c>
      <c r="B1516" s="4" t="inlineStr">
        <is>
          <t>2024-03</t>
        </is>
      </c>
      <c r="C1516" s="4" t="n">
        <v>278</v>
      </c>
      <c r="D1516" s="9" t="inlineStr">
        <is>
          <t>First Bad Version</t>
        </is>
      </c>
      <c r="E1516" s="4" t="inlineStr">
        <is>
          <t>Easy</t>
        </is>
      </c>
      <c r="F1516" s="4" t="inlineStr">
        <is>
          <t>Binary Search</t>
        </is>
      </c>
      <c r="G1516" s="4" t="inlineStr">
        <is>
          <t>Accepted</t>
        </is>
      </c>
      <c r="H1516" s="4" t="inlineStr">
        <is>
          <t>C++</t>
        </is>
      </c>
      <c r="I1516" s="4" t="inlineStr">
        <is>
          <t>0 ms</t>
        </is>
      </c>
      <c r="J1516" s="4" t="inlineStr">
        <is>
          <t>7.3 MB</t>
        </is>
      </c>
      <c r="K1516" s="4" t="n">
        <v>100</v>
      </c>
      <c r="L1516" s="4" t="inlineStr">
        <is>
          <t>24/24</t>
        </is>
      </c>
      <c r="M1516" s="9" t="inlineStr">
        <is>
          <t>Submission 1212399382</t>
        </is>
      </c>
      <c r="N1516" s="4" t="inlineStr">
        <is>
          <t>Yes</t>
        </is>
      </c>
    </row>
    <row r="1517">
      <c r="A1517" s="11" t="n">
        <v>45375.56190972222</v>
      </c>
      <c r="B1517" s="4" t="inlineStr">
        <is>
          <t>2024-03</t>
        </is>
      </c>
      <c r="C1517" s="4" t="n">
        <v>153</v>
      </c>
      <c r="D1517" s="9" t="inlineStr">
        <is>
          <t>Find Minimum in Rotated Sorted Array</t>
        </is>
      </c>
      <c r="E1517" s="4" t="inlineStr">
        <is>
          <t>Medium</t>
        </is>
      </c>
      <c r="F1517" s="4" t="inlineStr">
        <is>
          <t>Binary Search</t>
        </is>
      </c>
      <c r="G1517" s="4" t="inlineStr">
        <is>
          <t>Accepted</t>
        </is>
      </c>
      <c r="H1517" s="4" t="inlineStr">
        <is>
          <t>C++</t>
        </is>
      </c>
      <c r="I1517" s="4" t="inlineStr">
        <is>
          <t>3 ms</t>
        </is>
      </c>
      <c r="J1517" s="4" t="inlineStr">
        <is>
          <t>12.5 MB</t>
        </is>
      </c>
      <c r="K1517" s="4" t="n">
        <v>1.1</v>
      </c>
      <c r="L1517" s="4" t="inlineStr">
        <is>
          <t>150/150</t>
        </is>
      </c>
      <c r="M1517" s="9" t="inlineStr">
        <is>
          <t>Submission 1212405968</t>
        </is>
      </c>
      <c r="N1517" s="4" t="inlineStr">
        <is>
          <t>Yes</t>
        </is>
      </c>
    </row>
    <row r="1518">
      <c r="A1518" s="11" t="n">
        <v>45375.56212962963</v>
      </c>
      <c r="B1518" s="4" t="inlineStr">
        <is>
          <t>2024-03</t>
        </is>
      </c>
      <c r="C1518" s="4" t="n">
        <v>153</v>
      </c>
      <c r="D1518" s="9" t="inlineStr">
        <is>
          <t>Find Minimum in Rotated Sorted Array</t>
        </is>
      </c>
      <c r="E1518" s="4" t="inlineStr">
        <is>
          <t>Medium</t>
        </is>
      </c>
      <c r="F1518" s="4" t="inlineStr">
        <is>
          <t>Binary Search</t>
        </is>
      </c>
      <c r="G1518" s="4" t="inlineStr">
        <is>
          <t>Accepted</t>
        </is>
      </c>
      <c r="H1518" s="4" t="inlineStr">
        <is>
          <t>C++</t>
        </is>
      </c>
      <c r="I1518" s="4" t="inlineStr">
        <is>
          <t>3 ms</t>
        </is>
      </c>
      <c r="J1518" s="4" t="inlineStr">
        <is>
          <t>12.5 MB</t>
        </is>
      </c>
      <c r="K1518" s="4" t="n">
        <v>1.1</v>
      </c>
      <c r="L1518" s="4" t="inlineStr">
        <is>
          <t>150/150</t>
        </is>
      </c>
      <c r="M1518" s="9" t="inlineStr">
        <is>
          <t>Submission 1212406170</t>
        </is>
      </c>
      <c r="N1518" s="4" t="inlineStr">
        <is>
          <t>Yes</t>
        </is>
      </c>
    </row>
    <row r="1519">
      <c r="A1519" s="11" t="n">
        <v>45375.56262731482</v>
      </c>
      <c r="B1519" s="4" t="inlineStr">
        <is>
          <t>2024-03</t>
        </is>
      </c>
      <c r="C1519" s="4" t="n">
        <v>153</v>
      </c>
      <c r="D1519" s="9" t="inlineStr">
        <is>
          <t>Find Minimum in Rotated Sorted Array</t>
        </is>
      </c>
      <c r="E1519" s="4" t="inlineStr">
        <is>
          <t>Medium</t>
        </is>
      </c>
      <c r="F1519" s="4" t="inlineStr">
        <is>
          <t>Binary Search</t>
        </is>
      </c>
      <c r="G1519" s="4" t="inlineStr">
        <is>
          <t>Accepted</t>
        </is>
      </c>
      <c r="H1519" s="4" t="inlineStr">
        <is>
          <t>C++</t>
        </is>
      </c>
      <c r="I1519" s="4" t="inlineStr">
        <is>
          <t>3 ms</t>
        </is>
      </c>
      <c r="J1519" s="4" t="inlineStr">
        <is>
          <t>12.6 MB</t>
        </is>
      </c>
      <c r="K1519" s="4" t="n">
        <v>1.1</v>
      </c>
      <c r="L1519" s="4" t="inlineStr">
        <is>
          <t>150/150</t>
        </is>
      </c>
      <c r="M1519" s="9" t="inlineStr">
        <is>
          <t>Submission 1212406620</t>
        </is>
      </c>
      <c r="N1519" s="4" t="inlineStr">
        <is>
          <t>Yes</t>
        </is>
      </c>
    </row>
    <row r="1520">
      <c r="A1520" s="11" t="n">
        <v>45375.583125</v>
      </c>
      <c r="B1520" s="4" t="inlineStr">
        <is>
          <t>2024-03</t>
        </is>
      </c>
      <c r="C1520" s="4" t="n">
        <v>270</v>
      </c>
      <c r="D1520" s="9" t="inlineStr">
        <is>
          <t>Closest Binary Search Tree Value</t>
        </is>
      </c>
      <c r="E1520" s="4" t="inlineStr">
        <is>
          <t>Easy</t>
        </is>
      </c>
      <c r="F1520" s="4" t="inlineStr">
        <is>
          <t>Binary Search Tree</t>
        </is>
      </c>
      <c r="G1520" s="4" t="inlineStr">
        <is>
          <t>Wrong Answer</t>
        </is>
      </c>
      <c r="H1520" s="4" t="inlineStr">
        <is>
          <t>C++</t>
        </is>
      </c>
      <c r="I1520" s="4" t="inlineStr">
        <is>
          <t>N/A</t>
        </is>
      </c>
      <c r="J1520" s="4" t="inlineStr">
        <is>
          <t>N/A</t>
        </is>
      </c>
      <c r="K1520" s="4" t="n"/>
      <c r="L1520" s="4" t="inlineStr">
        <is>
          <t>6/65</t>
        </is>
      </c>
      <c r="M1520" s="9" t="inlineStr">
        <is>
          <t>Submission 1212424797</t>
        </is>
      </c>
      <c r="N1520" s="4" t="inlineStr">
        <is>
          <t>Yes</t>
        </is>
      </c>
    </row>
    <row r="1521">
      <c r="A1521" s="11" t="n">
        <v>45375.58875</v>
      </c>
      <c r="B1521" s="4" t="inlineStr">
        <is>
          <t>2024-03</t>
        </is>
      </c>
      <c r="C1521" s="4" t="n">
        <v>270</v>
      </c>
      <c r="D1521" s="9" t="inlineStr">
        <is>
          <t>Closest Binary Search Tree Value</t>
        </is>
      </c>
      <c r="E1521" s="4" t="inlineStr">
        <is>
          <t>Easy</t>
        </is>
      </c>
      <c r="F1521" s="4" t="inlineStr">
        <is>
          <t>Binary Search Tree</t>
        </is>
      </c>
      <c r="G1521" s="4" t="inlineStr">
        <is>
          <t>Wrong Answer</t>
        </is>
      </c>
      <c r="H1521" s="4" t="inlineStr">
        <is>
          <t>C++</t>
        </is>
      </c>
      <c r="I1521" s="4" t="inlineStr">
        <is>
          <t>N/A</t>
        </is>
      </c>
      <c r="J1521" s="4" t="inlineStr">
        <is>
          <t>N/A</t>
        </is>
      </c>
      <c r="K1521" s="4" t="n"/>
      <c r="L1521" s="4" t="inlineStr">
        <is>
          <t>64/65</t>
        </is>
      </c>
      <c r="M1521" s="9" t="inlineStr">
        <is>
          <t>Submission 1212429867</t>
        </is>
      </c>
      <c r="N1521" s="4" t="inlineStr">
        <is>
          <t>Yes</t>
        </is>
      </c>
    </row>
    <row r="1522">
      <c r="A1522" s="11" t="n">
        <v>45375.58894675926</v>
      </c>
      <c r="B1522" s="4" t="inlineStr">
        <is>
          <t>2024-03</t>
        </is>
      </c>
      <c r="C1522" s="4" t="n">
        <v>270</v>
      </c>
      <c r="D1522" s="9" t="inlineStr">
        <is>
          <t>Closest Binary Search Tree Value</t>
        </is>
      </c>
      <c r="E1522" s="4" t="inlineStr">
        <is>
          <t>Easy</t>
        </is>
      </c>
      <c r="F1522" s="4" t="inlineStr">
        <is>
          <t>Binary Search Tree</t>
        </is>
      </c>
      <c r="G1522" s="4" t="inlineStr">
        <is>
          <t>Accepted</t>
        </is>
      </c>
      <c r="H1522" s="4" t="inlineStr">
        <is>
          <t>C++</t>
        </is>
      </c>
      <c r="I1522" s="4" t="inlineStr">
        <is>
          <t>10 ms</t>
        </is>
      </c>
      <c r="J1522" s="4" t="inlineStr">
        <is>
          <t>19.5 MB</t>
        </is>
      </c>
      <c r="K1522" s="4" t="n">
        <v>0.4</v>
      </c>
      <c r="L1522" s="4" t="inlineStr">
        <is>
          <t>65/65</t>
        </is>
      </c>
      <c r="M1522" s="9" t="inlineStr">
        <is>
          <t>Submission 1212430017</t>
        </is>
      </c>
      <c r="N1522" s="4" t="inlineStr">
        <is>
          <t>Yes</t>
        </is>
      </c>
    </row>
    <row r="1523">
      <c r="A1523" s="11" t="n">
        <v>45376.75550925926</v>
      </c>
      <c r="B1523" s="4" t="inlineStr">
        <is>
          <t>2024-03</t>
        </is>
      </c>
      <c r="C1523" s="4" t="n">
        <v>373</v>
      </c>
      <c r="D1523" s="9" t="inlineStr">
        <is>
          <t>Find K Pairs with Smallest Sums</t>
        </is>
      </c>
      <c r="E1523" s="4" t="inlineStr">
        <is>
          <t>Medium</t>
        </is>
      </c>
      <c r="F1523" s="4" t="inlineStr">
        <is>
          <t>Heap / Top-K</t>
        </is>
      </c>
      <c r="G1523" s="4" t="inlineStr">
        <is>
          <t>Wrong Answer</t>
        </is>
      </c>
      <c r="H1523" s="4" t="inlineStr">
        <is>
          <t>C++</t>
        </is>
      </c>
      <c r="I1523" s="4" t="inlineStr">
        <is>
          <t>N/A</t>
        </is>
      </c>
      <c r="J1523" s="4" t="inlineStr">
        <is>
          <t>N/A</t>
        </is>
      </c>
      <c r="K1523" s="4" t="n"/>
      <c r="L1523" s="4" t="inlineStr">
        <is>
          <t>6/30</t>
        </is>
      </c>
      <c r="M1523" s="9" t="inlineStr">
        <is>
          <t>Submission 1213449195</t>
        </is>
      </c>
      <c r="N1523" s="4" t="inlineStr">
        <is>
          <t>Yes</t>
        </is>
      </c>
    </row>
    <row r="1524">
      <c r="A1524" s="11" t="n">
        <v>45376.76107638889</v>
      </c>
      <c r="B1524" s="4" t="inlineStr">
        <is>
          <t>2024-03</t>
        </is>
      </c>
      <c r="C1524" s="4" t="n">
        <v>373</v>
      </c>
      <c r="D1524" s="9" t="inlineStr">
        <is>
          <t>Find K Pairs with Smallest Sums</t>
        </is>
      </c>
      <c r="E1524" s="4" t="inlineStr">
        <is>
          <t>Medium</t>
        </is>
      </c>
      <c r="F1524" s="4" t="inlineStr">
        <is>
          <t>Heap / Top-K</t>
        </is>
      </c>
      <c r="G1524" s="4" t="inlineStr">
        <is>
          <t>Accepted</t>
        </is>
      </c>
      <c r="H1524" s="4" t="inlineStr">
        <is>
          <t>C++</t>
        </is>
      </c>
      <c r="I1524" s="4" t="inlineStr">
        <is>
          <t>342 ms</t>
        </is>
      </c>
      <c r="J1524" s="4" t="inlineStr">
        <is>
          <t>194.2 MB</t>
        </is>
      </c>
      <c r="K1524" s="4" t="n">
        <v>5</v>
      </c>
      <c r="L1524" s="4" t="inlineStr">
        <is>
          <t>30/30</t>
        </is>
      </c>
      <c r="M1524" s="9" t="inlineStr">
        <is>
          <t>Submission 1213454011</t>
        </is>
      </c>
      <c r="N1524" s="4" t="inlineStr">
        <is>
          <t>Yes</t>
        </is>
      </c>
    </row>
    <row r="1525">
      <c r="A1525" s="11" t="n">
        <v>45376.82878472222</v>
      </c>
      <c r="B1525" s="4" t="inlineStr">
        <is>
          <t>2024-03</t>
        </is>
      </c>
      <c r="C1525" s="4" t="n">
        <v>167</v>
      </c>
      <c r="D1525" s="9" t="inlineStr">
        <is>
          <t>Two Sum II - Input Array Is Sorted</t>
        </is>
      </c>
      <c r="E1525" s="4" t="inlineStr">
        <is>
          <t>Medium</t>
        </is>
      </c>
      <c r="F1525" s="4" t="inlineStr">
        <is>
          <t>Two Pointers</t>
        </is>
      </c>
      <c r="G1525" s="4" t="inlineStr">
        <is>
          <t>Accepted</t>
        </is>
      </c>
      <c r="H1525" s="4" t="inlineStr">
        <is>
          <t>C++</t>
        </is>
      </c>
      <c r="I1525" s="4" t="inlineStr">
        <is>
          <t>11 ms</t>
        </is>
      </c>
      <c r="J1525" s="4" t="inlineStr">
        <is>
          <t>18 MB</t>
        </is>
      </c>
      <c r="K1525" s="4" t="n">
        <v>2.4</v>
      </c>
      <c r="L1525" s="4" t="inlineStr">
        <is>
          <t>23/23</t>
        </is>
      </c>
      <c r="M1525" s="9" t="inlineStr">
        <is>
          <t>Submission 1213523765</t>
        </is>
      </c>
      <c r="N1525" s="4" t="inlineStr">
        <is>
          <t>Yes</t>
        </is>
      </c>
    </row>
    <row r="1526">
      <c r="A1526" s="11" t="n">
        <v>45376.84155092593</v>
      </c>
      <c r="B1526" s="4" t="inlineStr">
        <is>
          <t>2024-03</t>
        </is>
      </c>
      <c r="C1526" s="4" t="n">
        <v>26</v>
      </c>
      <c r="D1526" s="9" t="inlineStr">
        <is>
          <t>Remove Duplicates from Sorted Array</t>
        </is>
      </c>
      <c r="E1526" s="4" t="inlineStr">
        <is>
          <t>Easy</t>
        </is>
      </c>
      <c r="F1526" s="4" t="inlineStr">
        <is>
          <t>Two Pointers</t>
        </is>
      </c>
      <c r="G1526" s="4" t="inlineStr">
        <is>
          <t>Accepted</t>
        </is>
      </c>
      <c r="H1526" s="4" t="inlineStr">
        <is>
          <t>C++</t>
        </is>
      </c>
      <c r="I1526" s="4" t="inlineStr">
        <is>
          <t>3 ms</t>
        </is>
      </c>
      <c r="J1526" s="4" t="inlineStr">
        <is>
          <t>20.9 MB</t>
        </is>
      </c>
      <c r="K1526" s="4" t="n">
        <v>11.4</v>
      </c>
      <c r="L1526" s="4" t="inlineStr">
        <is>
          <t>362/362</t>
        </is>
      </c>
      <c r="M1526" s="9" t="inlineStr">
        <is>
          <t>Submission 1213537851</t>
        </is>
      </c>
      <c r="N1526" s="4" t="inlineStr">
        <is>
          <t>Yes</t>
        </is>
      </c>
    </row>
    <row r="1527">
      <c r="A1527" s="11" t="n">
        <v>45376.86846064815</v>
      </c>
      <c r="B1527" s="4" t="inlineStr">
        <is>
          <t>2024-03</t>
        </is>
      </c>
      <c r="C1527" s="4" t="n">
        <v>31</v>
      </c>
      <c r="D1527" s="9" t="inlineStr">
        <is>
          <t>Next Permutation</t>
        </is>
      </c>
      <c r="E1527" s="4" t="inlineStr">
        <is>
          <t>Medium</t>
        </is>
      </c>
      <c r="F1527" s="4" t="inlineStr">
        <is>
          <t>Two Pointers</t>
        </is>
      </c>
      <c r="G1527" s="4" t="inlineStr">
        <is>
          <t>Accepted</t>
        </is>
      </c>
      <c r="H1527" s="4" t="inlineStr">
        <is>
          <t>C++</t>
        </is>
      </c>
      <c r="I1527" s="4" t="inlineStr">
        <is>
          <t>3 ms</t>
        </is>
      </c>
      <c r="J1527" s="4" t="inlineStr">
        <is>
          <t>14.6 MB</t>
        </is>
      </c>
      <c r="K1527" s="4" t="n">
        <v>1.8</v>
      </c>
      <c r="L1527" s="4" t="inlineStr">
        <is>
          <t>266/266</t>
        </is>
      </c>
      <c r="M1527" s="9" t="inlineStr">
        <is>
          <t>Submission 1213568405</t>
        </is>
      </c>
      <c r="N1527" s="4" t="inlineStr">
        <is>
          <t>Yes</t>
        </is>
      </c>
    </row>
    <row r="1528">
      <c r="A1528" s="11" t="n">
        <v>45377.44513888889</v>
      </c>
      <c r="B1528" s="4" t="inlineStr">
        <is>
          <t>2024-03</t>
        </is>
      </c>
      <c r="C1528" s="4" t="n">
        <v>239</v>
      </c>
      <c r="D1528" s="9" t="inlineStr">
        <is>
          <t>Sliding Window Maximum</t>
        </is>
      </c>
      <c r="E1528" s="4" t="inlineStr">
        <is>
          <t>Hard</t>
        </is>
      </c>
      <c r="F1528" s="4" t="inlineStr">
        <is>
          <t>Monotonic Stack / Deque</t>
        </is>
      </c>
      <c r="G1528" s="4" t="inlineStr">
        <is>
          <t>Accepted</t>
        </is>
      </c>
      <c r="H1528" s="4" t="inlineStr">
        <is>
          <t>C++</t>
        </is>
      </c>
      <c r="I1528" s="4" t="inlineStr">
        <is>
          <t>198 ms</t>
        </is>
      </c>
      <c r="J1528" s="4" t="inlineStr">
        <is>
          <t>137.2 MB</t>
        </is>
      </c>
      <c r="K1528" s="4" t="n">
        <v>9.300000000000001</v>
      </c>
      <c r="L1528" s="4" t="inlineStr">
        <is>
          <t>51/51</t>
        </is>
      </c>
      <c r="M1528" s="9" t="inlineStr">
        <is>
          <t>Submission 1214099075</t>
        </is>
      </c>
      <c r="N1528" s="4" t="inlineStr">
        <is>
          <t>Yes</t>
        </is>
      </c>
    </row>
    <row r="1529">
      <c r="A1529" s="11" t="n">
        <v>45377.44846064815</v>
      </c>
      <c r="B1529" s="4" t="inlineStr">
        <is>
          <t>2024-03</t>
        </is>
      </c>
      <c r="C1529" s="4" t="n">
        <v>239</v>
      </c>
      <c r="D1529" s="9" t="inlineStr">
        <is>
          <t>Sliding Window Maximum</t>
        </is>
      </c>
      <c r="E1529" s="4" t="inlineStr">
        <is>
          <t>Hard</t>
        </is>
      </c>
      <c r="F1529" s="4" t="inlineStr">
        <is>
          <t>Monotonic Stack / Deque</t>
        </is>
      </c>
      <c r="G1529" s="4" t="inlineStr">
        <is>
          <t>Accepted</t>
        </is>
      </c>
      <c r="H1529" s="4" t="inlineStr">
        <is>
          <t>C++</t>
        </is>
      </c>
      <c r="I1529" s="4" t="inlineStr">
        <is>
          <t>172 ms</t>
        </is>
      </c>
      <c r="J1529" s="4" t="inlineStr">
        <is>
          <t>137.2 MB</t>
        </is>
      </c>
      <c r="K1529" s="4" t="n">
        <v>9.5</v>
      </c>
      <c r="L1529" s="4" t="inlineStr">
        <is>
          <t>51/51</t>
        </is>
      </c>
      <c r="M1529" s="9" t="inlineStr">
        <is>
          <t>Submission 1214102989</t>
        </is>
      </c>
      <c r="N1529" s="4" t="inlineStr">
        <is>
          <t>Yes</t>
        </is>
      </c>
    </row>
    <row r="1530">
      <c r="A1530" s="11" t="n">
        <v>45380.86369212963</v>
      </c>
      <c r="B1530" s="4" t="inlineStr">
        <is>
          <t>2024-03</t>
        </is>
      </c>
      <c r="C1530" s="4" t="n">
        <v>911</v>
      </c>
      <c r="D1530" s="9" t="inlineStr">
        <is>
          <t>Online Election</t>
        </is>
      </c>
      <c r="E1530" s="4" t="inlineStr">
        <is>
          <t>Medium</t>
        </is>
      </c>
      <c r="F1530" s="4" t="inlineStr">
        <is>
          <t>Binary Search</t>
        </is>
      </c>
      <c r="G1530" s="4" t="inlineStr">
        <is>
          <t>Accepted</t>
        </is>
      </c>
      <c r="H1530" s="4" t="inlineStr">
        <is>
          <t>C++</t>
        </is>
      </c>
      <c r="I1530" s="4" t="inlineStr">
        <is>
          <t>227 ms</t>
        </is>
      </c>
      <c r="J1530" s="4" t="inlineStr">
        <is>
          <t>114.3 MB</t>
        </is>
      </c>
      <c r="K1530" s="4" t="n">
        <v>5.2</v>
      </c>
      <c r="L1530" s="4" t="inlineStr">
        <is>
          <t>98/98</t>
        </is>
      </c>
      <c r="M1530" s="9" t="inlineStr">
        <is>
          <t>Submission 1217404450</t>
        </is>
      </c>
      <c r="N1530" s="4" t="inlineStr">
        <is>
          <t>Yes</t>
        </is>
      </c>
    </row>
    <row r="1531">
      <c r="A1531" s="11" t="n">
        <v>45402.55646990741</v>
      </c>
      <c r="B1531" s="4" t="inlineStr">
        <is>
          <t>2024-04</t>
        </is>
      </c>
      <c r="C1531" s="4" t="n">
        <v>2671</v>
      </c>
      <c r="D1531" s="9" t="inlineStr">
        <is>
          <t>Frequency Tracker</t>
        </is>
      </c>
      <c r="E1531" s="4" t="inlineStr">
        <is>
          <t>Medium</t>
        </is>
      </c>
      <c r="F1531" s="4" t="inlineStr">
        <is>
          <t>Design</t>
        </is>
      </c>
      <c r="G1531" s="4" t="inlineStr">
        <is>
          <t>Accepted</t>
        </is>
      </c>
      <c r="H1531" s="4" t="inlineStr">
        <is>
          <t>Java</t>
        </is>
      </c>
      <c r="I1531" s="4" t="inlineStr">
        <is>
          <t>47 ms</t>
        </is>
      </c>
      <c r="J1531" s="4" t="inlineStr">
        <is>
          <t>103.8 MB</t>
        </is>
      </c>
      <c r="K1531" s="4" t="n">
        <v>20</v>
      </c>
      <c r="L1531" s="4" t="inlineStr">
        <is>
          <t>1118/1118</t>
        </is>
      </c>
      <c r="M1531" s="9" t="inlineStr">
        <is>
          <t>Submission 1237161463</t>
        </is>
      </c>
      <c r="N1531" s="4" t="inlineStr">
        <is>
          <t>Yes</t>
        </is>
      </c>
    </row>
    <row r="1532">
      <c r="A1532" s="11" t="n">
        <v>45523.27506944445</v>
      </c>
      <c r="B1532" s="4" t="inlineStr">
        <is>
          <t>2024-08</t>
        </is>
      </c>
      <c r="C1532" s="4" t="n">
        <v>215</v>
      </c>
      <c r="D1532" s="9" t="inlineStr">
        <is>
          <t>Kth Largest Element in an Array</t>
        </is>
      </c>
      <c r="E1532" s="4" t="inlineStr">
        <is>
          <t>Medium</t>
        </is>
      </c>
      <c r="F1532" s="4" t="inlineStr">
        <is>
          <t>Heap / Top-K</t>
        </is>
      </c>
      <c r="G1532" s="4" t="inlineStr">
        <is>
          <t>Accepted</t>
        </is>
      </c>
      <c r="H1532" s="4" t="inlineStr">
        <is>
          <t>Java</t>
        </is>
      </c>
      <c r="I1532" s="4" t="inlineStr">
        <is>
          <t>58 ms</t>
        </is>
      </c>
      <c r="J1532" s="4" t="inlineStr">
        <is>
          <t>58.8 MB</t>
        </is>
      </c>
      <c r="K1532" s="4" t="n">
        <v>64</v>
      </c>
      <c r="L1532" s="4" t="inlineStr">
        <is>
          <t>41/41</t>
        </is>
      </c>
      <c r="M1532" s="9" t="inlineStr">
        <is>
          <t>Submission 1360851507</t>
        </is>
      </c>
      <c r="N1532" s="4" t="inlineStr">
        <is>
          <t>No</t>
        </is>
      </c>
    </row>
    <row r="1533">
      <c r="A1533" s="11" t="n">
        <v>45588.50462962963</v>
      </c>
      <c r="B1533" s="4" t="inlineStr">
        <is>
          <t>2024-10</t>
        </is>
      </c>
      <c r="C1533" s="4" t="n">
        <v>39</v>
      </c>
      <c r="D1533" s="9" t="inlineStr">
        <is>
          <t>Combination Sum</t>
        </is>
      </c>
      <c r="E1533" s="4" t="inlineStr">
        <is>
          <t>Medium</t>
        </is>
      </c>
      <c r="F1533" s="4" t="inlineStr">
        <is>
          <t>Backtracking</t>
        </is>
      </c>
      <c r="G1533" s="4" t="inlineStr">
        <is>
          <t>Accepted</t>
        </is>
      </c>
      <c r="H1533" s="4" t="inlineStr">
        <is>
          <t>C++</t>
        </is>
      </c>
      <c r="I1533" s="4" t="inlineStr">
        <is>
          <t>0 ms</t>
        </is>
      </c>
      <c r="J1533" s="4" t="inlineStr">
        <is>
          <t>12.5 MB</t>
        </is>
      </c>
      <c r="K1533" s="4" t="n">
        <v>100</v>
      </c>
      <c r="L1533" s="4" t="inlineStr">
        <is>
          <t>160/160</t>
        </is>
      </c>
      <c r="M1533" s="9" t="inlineStr">
        <is>
          <t>Submission 1431182072</t>
        </is>
      </c>
      <c r="N1533" s="4" t="inlineStr">
        <is>
          <t>Yes</t>
        </is>
      </c>
    </row>
    <row r="1534">
      <c r="A1534" s="11" t="n">
        <v>45588.51184027778</v>
      </c>
      <c r="B1534" s="4" t="inlineStr">
        <is>
          <t>2024-10</t>
        </is>
      </c>
      <c r="C1534" s="4" t="n">
        <v>40</v>
      </c>
      <c r="D1534" s="9" t="inlineStr">
        <is>
          <t>Combination Sum II</t>
        </is>
      </c>
      <c r="E1534" s="4" t="inlineStr">
        <is>
          <t>Medium</t>
        </is>
      </c>
      <c r="F1534" s="4" t="inlineStr">
        <is>
          <t>Backtracking</t>
        </is>
      </c>
      <c r="G1534" s="4" t="inlineStr">
        <is>
          <t>Wrong Answer</t>
        </is>
      </c>
      <c r="H1534" s="4" t="inlineStr">
        <is>
          <t>C++</t>
        </is>
      </c>
      <c r="I1534" s="4" t="inlineStr">
        <is>
          <t>N/A</t>
        </is>
      </c>
      <c r="J1534" s="4" t="inlineStr">
        <is>
          <t>N/A</t>
        </is>
      </c>
      <c r="K1534" s="4" t="n"/>
      <c r="L1534" s="4" t="inlineStr">
        <is>
          <t>75/176</t>
        </is>
      </c>
      <c r="M1534" s="9" t="inlineStr">
        <is>
          <t>Submission 1431189911</t>
        </is>
      </c>
      <c r="N1534" s="4" t="inlineStr">
        <is>
          <t>Yes</t>
        </is>
      </c>
    </row>
    <row r="1535">
      <c r="A1535" s="11" t="n">
        <v>45588.51231481481</v>
      </c>
      <c r="B1535" s="4" t="inlineStr">
        <is>
          <t>2024-10</t>
        </is>
      </c>
      <c r="C1535" s="4" t="n">
        <v>40</v>
      </c>
      <c r="D1535" s="9" t="inlineStr">
        <is>
          <t>Combination Sum II</t>
        </is>
      </c>
      <c r="E1535" s="4" t="inlineStr">
        <is>
          <t>Medium</t>
        </is>
      </c>
      <c r="F1535" s="4" t="inlineStr">
        <is>
          <t>Backtracking</t>
        </is>
      </c>
      <c r="G1535" s="4" t="inlineStr">
        <is>
          <t>Accepted</t>
        </is>
      </c>
      <c r="H1535" s="4" t="inlineStr">
        <is>
          <t>C++</t>
        </is>
      </c>
      <c r="I1535" s="4" t="inlineStr">
        <is>
          <t>3 ms</t>
        </is>
      </c>
      <c r="J1535" s="4" t="inlineStr">
        <is>
          <t>13 MB</t>
        </is>
      </c>
      <c r="K1535" s="4" t="n">
        <v>35</v>
      </c>
      <c r="L1535" s="4" t="inlineStr">
        <is>
          <t>176/176</t>
        </is>
      </c>
      <c r="M1535" s="9" t="inlineStr">
        <is>
          <t>Submission 1431190430</t>
        </is>
      </c>
      <c r="N1535" s="4" t="inlineStr">
        <is>
          <t>Yes</t>
        </is>
      </c>
    </row>
    <row r="1536">
      <c r="A1536" s="11" t="n">
        <v>45594.41958333334</v>
      </c>
      <c r="B1536" s="4" t="inlineStr">
        <is>
          <t>2024-10</t>
        </is>
      </c>
      <c r="C1536" s="4" t="n">
        <v>1042</v>
      </c>
      <c r="D1536" s="9" t="inlineStr">
        <is>
          <t>Flower Planting With No Adjacent</t>
        </is>
      </c>
      <c r="E1536" s="4" t="inlineStr">
        <is>
          <t>Medium</t>
        </is>
      </c>
      <c r="F1536" s="4" t="inlineStr">
        <is>
          <t>Graph: General BFS/DFS</t>
        </is>
      </c>
      <c r="G1536" s="4" t="inlineStr">
        <is>
          <t>Accepted</t>
        </is>
      </c>
      <c r="H1536" s="4" t="inlineStr">
        <is>
          <t>C++</t>
        </is>
      </c>
      <c r="I1536" s="4" t="inlineStr">
        <is>
          <t>42 ms</t>
        </is>
      </c>
      <c r="J1536" s="4" t="inlineStr">
        <is>
          <t>48.7 MB</t>
        </is>
      </c>
      <c r="K1536" s="4" t="n">
        <v>63.8</v>
      </c>
      <c r="L1536" s="4" t="inlineStr">
        <is>
          <t>51/51</t>
        </is>
      </c>
      <c r="M1536" s="9" t="inlineStr">
        <is>
          <t>Submission 1436888279</t>
        </is>
      </c>
      <c r="N1536" s="4" t="inlineStr">
        <is>
          <t>Yes</t>
        </is>
      </c>
    </row>
    <row r="1537">
      <c r="A1537" s="11" t="n">
        <v>45594.42075231481</v>
      </c>
      <c r="B1537" s="4" t="inlineStr">
        <is>
          <t>2024-10</t>
        </is>
      </c>
      <c r="C1537" s="4" t="n">
        <v>1042</v>
      </c>
      <c r="D1537" s="9" t="inlineStr">
        <is>
          <t>Flower Planting With No Adjacent</t>
        </is>
      </c>
      <c r="E1537" s="4" t="inlineStr">
        <is>
          <t>Medium</t>
        </is>
      </c>
      <c r="F1537" s="4" t="inlineStr">
        <is>
          <t>Graph: General BFS/DFS</t>
        </is>
      </c>
      <c r="G1537" s="4" t="inlineStr">
        <is>
          <t>Accepted</t>
        </is>
      </c>
      <c r="H1537" s="4" t="inlineStr">
        <is>
          <t>C++</t>
        </is>
      </c>
      <c r="I1537" s="4" t="inlineStr">
        <is>
          <t>53 ms</t>
        </is>
      </c>
      <c r="J1537" s="4" t="inlineStr">
        <is>
          <t>48.1 MB</t>
        </is>
      </c>
      <c r="K1537" s="4" t="n">
        <v>41.8</v>
      </c>
      <c r="L1537" s="4" t="inlineStr">
        <is>
          <t>51/51</t>
        </is>
      </c>
      <c r="M1537" s="9" t="inlineStr">
        <is>
          <t>Submission 1436889483</t>
        </is>
      </c>
      <c r="N1537" s="4" t="inlineStr">
        <is>
          <t>Yes</t>
        </is>
      </c>
    </row>
    <row r="1538">
      <c r="A1538" s="11" t="n">
        <v>45596.78422453703</v>
      </c>
      <c r="B1538" s="4" t="inlineStr">
        <is>
          <t>2024-10</t>
        </is>
      </c>
      <c r="C1538" s="4" t="n">
        <v>2463</v>
      </c>
      <c r="D1538" s="9" t="inlineStr">
        <is>
          <t>Minimum Total Distance Traveled</t>
        </is>
      </c>
      <c r="E1538" s="4" t="inlineStr">
        <is>
          <t>Hard</t>
        </is>
      </c>
      <c r="F1538" s="4" t="inlineStr">
        <is>
          <t>DP: Partition / Interval (MCM)</t>
        </is>
      </c>
      <c r="G1538" s="4" t="inlineStr">
        <is>
          <t>Time Limit Exceeded</t>
        </is>
      </c>
      <c r="H1538" s="4" t="inlineStr">
        <is>
          <t>C++</t>
        </is>
      </c>
      <c r="I1538" s="4" t="inlineStr">
        <is>
          <t>N/A</t>
        </is>
      </c>
      <c r="J1538" s="4" t="inlineStr">
        <is>
          <t>N/A</t>
        </is>
      </c>
      <c r="K1538" s="4" t="n"/>
      <c r="L1538" s="4" t="inlineStr">
        <is>
          <t>5/40</t>
        </is>
      </c>
      <c r="M1538" s="9" t="inlineStr">
        <is>
          <t>Submission 1439060005</t>
        </is>
      </c>
      <c r="N1538" s="4" t="inlineStr">
        <is>
          <t>Yes</t>
        </is>
      </c>
    </row>
    <row r="1539">
      <c r="A1539" s="11" t="n">
        <v>45596.87142361111</v>
      </c>
      <c r="B1539" s="4" t="inlineStr">
        <is>
          <t>2024-10</t>
        </is>
      </c>
      <c r="C1539" s="4" t="n">
        <v>2463</v>
      </c>
      <c r="D1539" s="9" t="inlineStr">
        <is>
          <t>Minimum Total Distance Traveled</t>
        </is>
      </c>
      <c r="E1539" s="4" t="inlineStr">
        <is>
          <t>Hard</t>
        </is>
      </c>
      <c r="F1539" s="4" t="inlineStr">
        <is>
          <t>DP: Partition / Interval (MCM)</t>
        </is>
      </c>
      <c r="G1539" s="4" t="inlineStr">
        <is>
          <t>Wrong Answer</t>
        </is>
      </c>
      <c r="H1539" s="4" t="inlineStr">
        <is>
          <t>C++</t>
        </is>
      </c>
      <c r="I1539" s="4" t="inlineStr">
        <is>
          <t>N/A</t>
        </is>
      </c>
      <c r="J1539" s="4" t="inlineStr">
        <is>
          <t>N/A</t>
        </is>
      </c>
      <c r="K1539" s="4" t="n"/>
      <c r="L1539" s="4" t="inlineStr">
        <is>
          <t>19/40</t>
        </is>
      </c>
      <c r="M1539" s="9" t="inlineStr">
        <is>
          <t>Submission 1439134519</t>
        </is>
      </c>
      <c r="N1539" s="4" t="inlineStr">
        <is>
          <t>Yes</t>
        </is>
      </c>
    </row>
    <row r="1540">
      <c r="A1540" s="11" t="n">
        <v>45596.87898148148</v>
      </c>
      <c r="B1540" s="4" t="inlineStr">
        <is>
          <t>2024-10</t>
        </is>
      </c>
      <c r="C1540" s="4" t="n">
        <v>2463</v>
      </c>
      <c r="D1540" s="9" t="inlineStr">
        <is>
          <t>Minimum Total Distance Traveled</t>
        </is>
      </c>
      <c r="E1540" s="4" t="inlineStr">
        <is>
          <t>Hard</t>
        </is>
      </c>
      <c r="F1540" s="4" t="inlineStr">
        <is>
          <t>DP: Partition / Interval (MCM)</t>
        </is>
      </c>
      <c r="G1540" s="4" t="inlineStr">
        <is>
          <t>Time Limit Exceeded</t>
        </is>
      </c>
      <c r="H1540" s="4" t="inlineStr">
        <is>
          <t>C++</t>
        </is>
      </c>
      <c r="I1540" s="4" t="inlineStr">
        <is>
          <t>N/A</t>
        </is>
      </c>
      <c r="J1540" s="4" t="inlineStr">
        <is>
          <t>N/A</t>
        </is>
      </c>
      <c r="K1540" s="4" t="n"/>
      <c r="L1540" s="4" t="inlineStr">
        <is>
          <t>5/40</t>
        </is>
      </c>
      <c r="M1540" s="9" t="inlineStr">
        <is>
          <t>Submission 1439141610</t>
        </is>
      </c>
      <c r="N1540" s="4" t="inlineStr">
        <is>
          <t>Yes</t>
        </is>
      </c>
    </row>
    <row r="1541">
      <c r="A1541" s="11" t="n">
        <v>45596.88409722222</v>
      </c>
      <c r="B1541" s="4" t="inlineStr">
        <is>
          <t>2024-10</t>
        </is>
      </c>
      <c r="C1541" s="4" t="n">
        <v>2463</v>
      </c>
      <c r="D1541" s="9" t="inlineStr">
        <is>
          <t>Minimum Total Distance Traveled</t>
        </is>
      </c>
      <c r="E1541" s="4" t="inlineStr">
        <is>
          <t>Hard</t>
        </is>
      </c>
      <c r="F1541" s="4" t="inlineStr">
        <is>
          <t>DP: Partition / Interval (MCM)</t>
        </is>
      </c>
      <c r="G1541" s="4" t="inlineStr">
        <is>
          <t>Accepted</t>
        </is>
      </c>
      <c r="H1541" s="4" t="inlineStr">
        <is>
          <t>C++</t>
        </is>
      </c>
      <c r="I1541" s="4" t="inlineStr">
        <is>
          <t>32 ms</t>
        </is>
      </c>
      <c r="J1541" s="4" t="inlineStr">
        <is>
          <t>12.1 MB</t>
        </is>
      </c>
      <c r="K1541" s="4" t="n">
        <v>45.8</v>
      </c>
      <c r="L1541" s="4" t="inlineStr">
        <is>
          <t>40/40</t>
        </is>
      </c>
      <c r="M1541" s="9" t="inlineStr">
        <is>
          <t>Submission 1439146279</t>
        </is>
      </c>
      <c r="N1541" s="4" t="inlineStr">
        <is>
          <t>Yes</t>
        </is>
      </c>
    </row>
    <row r="1542">
      <c r="A1542" s="11" t="n">
        <v>45603.46246527778</v>
      </c>
      <c r="B1542" s="4" t="inlineStr">
        <is>
          <t>2024-11</t>
        </is>
      </c>
      <c r="C1542" s="4" t="n">
        <v>94</v>
      </c>
      <c r="D1542" s="9" t="inlineStr">
        <is>
          <t>Binary Tree Inorder Traversal</t>
        </is>
      </c>
      <c r="E1542" s="4" t="inlineStr">
        <is>
          <t>Easy</t>
        </is>
      </c>
      <c r="F1542" s="4" t="inlineStr">
        <is>
          <t>Binary Tree (DFS &amp; Recursion)</t>
        </is>
      </c>
      <c r="G1542" s="4" t="inlineStr">
        <is>
          <t>Accepted</t>
        </is>
      </c>
      <c r="H1542" s="4" t="inlineStr">
        <is>
          <t>C++</t>
        </is>
      </c>
      <c r="I1542" s="4" t="inlineStr">
        <is>
          <t>0 ms</t>
        </is>
      </c>
      <c r="J1542" s="4" t="inlineStr">
        <is>
          <t>10 MB</t>
        </is>
      </c>
      <c r="K1542" s="4" t="n">
        <v>100</v>
      </c>
      <c r="L1542" s="4" t="inlineStr">
        <is>
          <t>71/71</t>
        </is>
      </c>
      <c r="M1542" s="9" t="inlineStr">
        <is>
          <t>Submission 1445450809</t>
        </is>
      </c>
      <c r="N1542" s="4" t="inlineStr">
        <is>
          <t>Yes</t>
        </is>
      </c>
    </row>
    <row r="1543">
      <c r="A1543" s="11" t="n">
        <v>45681.58309027777</v>
      </c>
      <c r="B1543" s="4" t="inlineStr">
        <is>
          <t>2025-01</t>
        </is>
      </c>
      <c r="C1543" s="4" t="n">
        <v>198</v>
      </c>
      <c r="D1543" s="9" t="inlineStr">
        <is>
          <t>House Robber</t>
        </is>
      </c>
      <c r="E1543" s="4" t="inlineStr">
        <is>
          <t>Medium</t>
        </is>
      </c>
      <c r="F1543" s="4" t="inlineStr">
        <is>
          <t>DP: 1D / Linear</t>
        </is>
      </c>
      <c r="G1543" s="4" t="inlineStr">
        <is>
          <t>Accepted</t>
        </is>
      </c>
      <c r="H1543" s="4" t="inlineStr">
        <is>
          <t>C++</t>
        </is>
      </c>
      <c r="I1543" s="4" t="inlineStr">
        <is>
          <t>0 ms</t>
        </is>
      </c>
      <c r="J1543" s="4" t="inlineStr">
        <is>
          <t>10.7 MB</t>
        </is>
      </c>
      <c r="K1543" s="4" t="n">
        <v>100</v>
      </c>
      <c r="L1543" s="4" t="inlineStr">
        <is>
          <t>70/70</t>
        </is>
      </c>
      <c r="M1543" s="9" t="inlineStr">
        <is>
          <t>Submission 1518840008</t>
        </is>
      </c>
      <c r="N1543" s="4" t="inlineStr">
        <is>
          <t>Yes</t>
        </is>
      </c>
    </row>
    <row r="1544">
      <c r="A1544" s="11" t="n">
        <v>45681.58576388889</v>
      </c>
      <c r="B1544" s="4" t="inlineStr">
        <is>
          <t>2025-01</t>
        </is>
      </c>
      <c r="C1544" s="4" t="n">
        <v>198</v>
      </c>
      <c r="D1544" s="9" t="inlineStr">
        <is>
          <t>House Robber</t>
        </is>
      </c>
      <c r="E1544" s="4" t="inlineStr">
        <is>
          <t>Medium</t>
        </is>
      </c>
      <c r="F1544" s="4" t="inlineStr">
        <is>
          <t>DP: 1D / Linear</t>
        </is>
      </c>
      <c r="G1544" s="4" t="inlineStr">
        <is>
          <t>Accepted</t>
        </is>
      </c>
      <c r="H1544" s="4" t="inlineStr">
        <is>
          <t>C++</t>
        </is>
      </c>
      <c r="I1544" s="4" t="inlineStr">
        <is>
          <t>0 ms</t>
        </is>
      </c>
      <c r="J1544" s="4" t="inlineStr">
        <is>
          <t>10.6 MB</t>
        </is>
      </c>
      <c r="K1544" s="4" t="n">
        <v>100</v>
      </c>
      <c r="L1544" s="4" t="inlineStr">
        <is>
          <t>70/70</t>
        </is>
      </c>
      <c r="M1544" s="9" t="inlineStr">
        <is>
          <t>Submission 1518842548</t>
        </is>
      </c>
      <c r="N1544" s="4" t="inlineStr">
        <is>
          <t>Yes</t>
        </is>
      </c>
    </row>
    <row r="1545">
      <c r="A1545" s="11" t="n">
        <v>45681.61722222222</v>
      </c>
      <c r="B1545" s="4" t="inlineStr">
        <is>
          <t>2025-01</t>
        </is>
      </c>
      <c r="C1545" s="4" t="n">
        <v>746</v>
      </c>
      <c r="D1545" s="9" t="inlineStr">
        <is>
          <t>Min Cost Climbing Stairs</t>
        </is>
      </c>
      <c r="E1545" s="4" t="inlineStr">
        <is>
          <t>Easy</t>
        </is>
      </c>
      <c r="F1545" s="4" t="inlineStr">
        <is>
          <t>DP: 1D / Linear</t>
        </is>
      </c>
      <c r="G1545" s="4" t="inlineStr">
        <is>
          <t>Time Limit Exceeded</t>
        </is>
      </c>
      <c r="H1545" s="4" t="inlineStr">
        <is>
          <t>C++</t>
        </is>
      </c>
      <c r="I1545" s="4" t="inlineStr">
        <is>
          <t>N/A</t>
        </is>
      </c>
      <c r="J1545" s="4" t="inlineStr">
        <is>
          <t>N/A</t>
        </is>
      </c>
      <c r="K1545" s="4" t="n"/>
      <c r="L1545" s="4" t="inlineStr">
        <is>
          <t>259/285</t>
        </is>
      </c>
      <c r="M1545" s="9" t="inlineStr">
        <is>
          <t>Submission 1518876174</t>
        </is>
      </c>
      <c r="N1545" s="4" t="inlineStr">
        <is>
          <t>Yes</t>
        </is>
      </c>
    </row>
    <row r="1546">
      <c r="A1546" s="11" t="n">
        <v>45681.6205787037</v>
      </c>
      <c r="B1546" s="4" t="inlineStr">
        <is>
          <t>2025-01</t>
        </is>
      </c>
      <c r="C1546" s="4" t="n">
        <v>746</v>
      </c>
      <c r="D1546" s="9" t="inlineStr">
        <is>
          <t>Min Cost Climbing Stairs</t>
        </is>
      </c>
      <c r="E1546" s="4" t="inlineStr">
        <is>
          <t>Easy</t>
        </is>
      </c>
      <c r="F1546" s="4" t="inlineStr">
        <is>
          <t>DP: 1D / Linear</t>
        </is>
      </c>
      <c r="G1546" s="4" t="inlineStr">
        <is>
          <t>Accepted</t>
        </is>
      </c>
      <c r="H1546" s="4" t="inlineStr">
        <is>
          <t>C++</t>
        </is>
      </c>
      <c r="I1546" s="4" t="inlineStr">
        <is>
          <t>0 ms</t>
        </is>
      </c>
      <c r="J1546" s="4" t="inlineStr">
        <is>
          <t>17.9 MB</t>
        </is>
      </c>
      <c r="K1546" s="4" t="n">
        <v>100</v>
      </c>
      <c r="L1546" s="4" t="inlineStr">
        <is>
          <t>285/285</t>
        </is>
      </c>
      <c r="M1546" s="9" t="inlineStr">
        <is>
          <t>Submission 1518880175</t>
        </is>
      </c>
      <c r="N1546" s="4" t="inlineStr">
        <is>
          <t>Yes</t>
        </is>
      </c>
    </row>
    <row r="1547">
      <c r="A1547" s="11" t="n">
        <v>45682.47920138889</v>
      </c>
      <c r="B1547" s="4" t="inlineStr">
        <is>
          <t>2025-01</t>
        </is>
      </c>
      <c r="C1547" s="4" t="n">
        <v>169</v>
      </c>
      <c r="D1547" s="9" t="inlineStr">
        <is>
          <t>Majority Element</t>
        </is>
      </c>
      <c r="E1547" s="4" t="inlineStr">
        <is>
          <t>Easy</t>
        </is>
      </c>
      <c r="F1547" s="4" t="inlineStr">
        <is>
          <t>Arrays, Hashing &amp; Sorting</t>
        </is>
      </c>
      <c r="G1547" s="4" t="inlineStr">
        <is>
          <t>Accepted</t>
        </is>
      </c>
      <c r="H1547" s="4" t="inlineStr">
        <is>
          <t>C++</t>
        </is>
      </c>
      <c r="I1547" s="4" t="inlineStr">
        <is>
          <t>0 ms</t>
        </is>
      </c>
      <c r="J1547" s="4" t="inlineStr">
        <is>
          <t>28.2 MB</t>
        </is>
      </c>
      <c r="K1547" s="4" t="n">
        <v>100</v>
      </c>
      <c r="L1547" s="4" t="inlineStr">
        <is>
          <t>52/52</t>
        </is>
      </c>
      <c r="M1547" s="9" t="inlineStr">
        <is>
          <t>Submission 1519712914</t>
        </is>
      </c>
      <c r="N1547" s="4" t="inlineStr">
        <is>
          <t>Yes</t>
        </is>
      </c>
    </row>
    <row r="1548">
      <c r="A1548" s="11" t="n">
        <v>45738.27598379629</v>
      </c>
      <c r="B1548" s="4" t="inlineStr">
        <is>
          <t>2025-03</t>
        </is>
      </c>
      <c r="C1548" s="4" t="n">
        <v>53</v>
      </c>
      <c r="D1548" s="9" t="inlineStr">
        <is>
          <t>Maximum Subarray</t>
        </is>
      </c>
      <c r="E1548" s="4" t="inlineStr">
        <is>
          <t>Medium</t>
        </is>
      </c>
      <c r="F1548" s="4" t="inlineStr">
        <is>
          <t>DP: 1D / Linear</t>
        </is>
      </c>
      <c r="G1548" s="4" t="inlineStr">
        <is>
          <t>Accepted</t>
        </is>
      </c>
      <c r="H1548" s="4" t="inlineStr">
        <is>
          <t>C++</t>
        </is>
      </c>
      <c r="I1548" s="4" t="inlineStr">
        <is>
          <t>0 ms</t>
        </is>
      </c>
      <c r="J1548" s="4" t="inlineStr">
        <is>
          <t>71.9 MB</t>
        </is>
      </c>
      <c r="K1548" s="4" t="n">
        <v>100</v>
      </c>
      <c r="L1548" s="4" t="inlineStr">
        <is>
          <t>210/210</t>
        </is>
      </c>
      <c r="M1548" s="9" t="inlineStr">
        <is>
          <t>Submission 1581828977</t>
        </is>
      </c>
      <c r="N1548" s="4" t="inlineStr">
        <is>
          <t>Yes</t>
        </is>
      </c>
    </row>
    <row r="1549">
      <c r="A1549" s="11" t="n">
        <v>45738.28010416667</v>
      </c>
      <c r="B1549" s="4" t="inlineStr">
        <is>
          <t>2025-03</t>
        </is>
      </c>
      <c r="C1549" s="4" t="n">
        <v>121</v>
      </c>
      <c r="D1549" s="9" t="inlineStr">
        <is>
          <t>Best Time to Buy and Sell Stock</t>
        </is>
      </c>
      <c r="E1549" s="4" t="inlineStr">
        <is>
          <t>Easy</t>
        </is>
      </c>
      <c r="F1549" s="4" t="inlineStr">
        <is>
          <t>DP: Buy &amp; Sell Stock</t>
        </is>
      </c>
      <c r="G1549" s="4" t="inlineStr">
        <is>
          <t>Accepted</t>
        </is>
      </c>
      <c r="H1549" s="4" t="inlineStr">
        <is>
          <t>C++</t>
        </is>
      </c>
      <c r="I1549" s="4" t="inlineStr">
        <is>
          <t>7 ms</t>
        </is>
      </c>
      <c r="J1549" s="4" t="inlineStr">
        <is>
          <t>101.3 MB</t>
        </is>
      </c>
      <c r="K1549" s="4" t="n">
        <v>6.6</v>
      </c>
      <c r="L1549" s="4" t="inlineStr">
        <is>
          <t>212/212</t>
        </is>
      </c>
      <c r="M1549" s="9" t="inlineStr">
        <is>
          <t>Submission 1581831075</t>
        </is>
      </c>
      <c r="N1549" s="4" t="inlineStr">
        <is>
          <t>Yes</t>
        </is>
      </c>
    </row>
    <row r="1550">
      <c r="A1550" s="11" t="n">
        <v>45738.62385416667</v>
      </c>
      <c r="B1550" s="4" t="inlineStr">
        <is>
          <t>2025-03</t>
        </is>
      </c>
      <c r="C1550" s="4" t="n">
        <v>33</v>
      </c>
      <c r="D1550" s="9" t="inlineStr">
        <is>
          <t>Search in Rotated Sorted Array</t>
        </is>
      </c>
      <c r="E1550" s="4" t="inlineStr">
        <is>
          <t>Medium</t>
        </is>
      </c>
      <c r="F1550" s="4" t="inlineStr">
        <is>
          <t>Binary Search</t>
        </is>
      </c>
      <c r="G1550" s="4" t="inlineStr">
        <is>
          <t>Wrong Answer</t>
        </is>
      </c>
      <c r="H1550" s="4" t="inlineStr">
        <is>
          <t>C++</t>
        </is>
      </c>
      <c r="I1550" s="4" t="inlineStr">
        <is>
          <t>N/A</t>
        </is>
      </c>
      <c r="J1550" s="4" t="inlineStr">
        <is>
          <t>N/A</t>
        </is>
      </c>
      <c r="K1550" s="4" t="n"/>
      <c r="L1550" s="4" t="inlineStr">
        <is>
          <t>193/196</t>
        </is>
      </c>
      <c r="M1550" s="9" t="inlineStr">
        <is>
          <t>Submission 1582134200</t>
        </is>
      </c>
      <c r="N1550" s="4" t="inlineStr">
        <is>
          <t>Yes</t>
        </is>
      </c>
    </row>
    <row r="1551">
      <c r="A1551" s="11" t="n">
        <v>45738.63180555555</v>
      </c>
      <c r="B1551" s="4" t="inlineStr">
        <is>
          <t>2025-03</t>
        </is>
      </c>
      <c r="C1551" s="4" t="n">
        <v>153</v>
      </c>
      <c r="D1551" s="9" t="inlineStr">
        <is>
          <t>Find Minimum in Rotated Sorted Array</t>
        </is>
      </c>
      <c r="E1551" s="4" t="inlineStr">
        <is>
          <t>Medium</t>
        </is>
      </c>
      <c r="F1551" s="4" t="inlineStr">
        <is>
          <t>Binary Search</t>
        </is>
      </c>
      <c r="G1551" s="4" t="inlineStr">
        <is>
          <t>Accepted</t>
        </is>
      </c>
      <c r="H1551" s="4" t="inlineStr">
        <is>
          <t>C++</t>
        </is>
      </c>
      <c r="I1551" s="4" t="inlineStr">
        <is>
          <t>0 ms</t>
        </is>
      </c>
      <c r="J1551" s="4" t="inlineStr">
        <is>
          <t>14.3 MB</t>
        </is>
      </c>
      <c r="K1551" s="4" t="n">
        <v>100</v>
      </c>
      <c r="L1551" s="4" t="inlineStr">
        <is>
          <t>150/150</t>
        </is>
      </c>
      <c r="M1551" s="9" t="inlineStr">
        <is>
          <t>Submission 1582142227</t>
        </is>
      </c>
      <c r="N1551" s="4" t="inlineStr">
        <is>
          <t>Yes</t>
        </is>
      </c>
    </row>
    <row r="1552">
      <c r="A1552" s="11" t="n">
        <v>45738.68349537037</v>
      </c>
      <c r="B1552" s="4" t="inlineStr">
        <is>
          <t>2025-03</t>
        </is>
      </c>
      <c r="C1552" s="4" t="n">
        <v>236</v>
      </c>
      <c r="D1552" s="9" t="inlineStr">
        <is>
          <t>Lowest Common Ancestor of a Binary Tree</t>
        </is>
      </c>
      <c r="E1552" s="4" t="inlineStr">
        <is>
          <t>Medium</t>
        </is>
      </c>
      <c r="F1552" s="4" t="inlineStr">
        <is>
          <t>Binary Tree (DFS &amp; Recursion)</t>
        </is>
      </c>
      <c r="G1552" s="4" t="inlineStr">
        <is>
          <t>Accepted</t>
        </is>
      </c>
      <c r="H1552" s="4" t="inlineStr">
        <is>
          <t>C++</t>
        </is>
      </c>
      <c r="I1552" s="4" t="inlineStr">
        <is>
          <t>14 ms</t>
        </is>
      </c>
      <c r="J1552" s="4" t="inlineStr">
        <is>
          <t>17.3 MB</t>
        </is>
      </c>
      <c r="K1552" s="4" t="n">
        <v>100</v>
      </c>
      <c r="L1552" s="4" t="inlineStr">
        <is>
          <t>32/32</t>
        </is>
      </c>
      <c r="M1552" s="9" t="inlineStr">
        <is>
          <t>Submission 1582194949</t>
        </is>
      </c>
      <c r="N1552" s="4" t="inlineStr">
        <is>
          <t>Yes</t>
        </is>
      </c>
    </row>
    <row r="1553">
      <c r="A1553" s="11" t="n">
        <v>45738.79561342593</v>
      </c>
      <c r="B1553" s="4" t="inlineStr">
        <is>
          <t>2025-03</t>
        </is>
      </c>
      <c r="C1553" s="4" t="n">
        <v>875</v>
      </c>
      <c r="D1553" s="9" t="inlineStr">
        <is>
          <t>Koko Eating Bananas</t>
        </is>
      </c>
      <c r="E1553" s="4" t="inlineStr">
        <is>
          <t>Medium</t>
        </is>
      </c>
      <c r="F1553" s="4" t="inlineStr">
        <is>
          <t>Binary Search on Answer</t>
        </is>
      </c>
      <c r="G1553" s="4" t="inlineStr">
        <is>
          <t>Accepted</t>
        </is>
      </c>
      <c r="H1553" s="4" t="inlineStr">
        <is>
          <t>C++</t>
        </is>
      </c>
      <c r="I1553" s="4" t="inlineStr">
        <is>
          <t>8 ms</t>
        </is>
      </c>
      <c r="J1553" s="4" t="inlineStr">
        <is>
          <t>23 MB</t>
        </is>
      </c>
      <c r="K1553" s="4" t="n">
        <v>52.4</v>
      </c>
      <c r="L1553" s="4" t="inlineStr">
        <is>
          <t>126/126</t>
        </is>
      </c>
      <c r="M1553" s="9" t="inlineStr">
        <is>
          <t>Submission 1582305528</t>
        </is>
      </c>
      <c r="N1553" s="4" t="inlineStr">
        <is>
          <t>Yes</t>
        </is>
      </c>
    </row>
    <row r="1554">
      <c r="A1554" s="11" t="n">
        <v>45738.90048611111</v>
      </c>
      <c r="B1554" s="4" t="inlineStr">
        <is>
          <t>2025-03</t>
        </is>
      </c>
      <c r="C1554" s="4" t="n">
        <v>875</v>
      </c>
      <c r="D1554" s="9" t="inlineStr">
        <is>
          <t>Koko Eating Bananas</t>
        </is>
      </c>
      <c r="E1554" s="4" t="inlineStr">
        <is>
          <t>Medium</t>
        </is>
      </c>
      <c r="F1554" s="4" t="inlineStr">
        <is>
          <t>Binary Search on Answer</t>
        </is>
      </c>
      <c r="G1554" s="4" t="inlineStr">
        <is>
          <t>Accepted</t>
        </is>
      </c>
      <c r="H1554" s="4" t="inlineStr">
        <is>
          <t>C++</t>
        </is>
      </c>
      <c r="I1554" s="4" t="inlineStr">
        <is>
          <t>9 ms</t>
        </is>
      </c>
      <c r="J1554" s="4" t="inlineStr">
        <is>
          <t>22.8 MB</t>
        </is>
      </c>
      <c r="K1554" s="4" t="n">
        <v>42.1</v>
      </c>
      <c r="L1554" s="4" t="inlineStr">
        <is>
          <t>126/126</t>
        </is>
      </c>
      <c r="M1554" s="9" t="inlineStr">
        <is>
          <t>Submission 1582420275</t>
        </is>
      </c>
      <c r="N1554" s="4" t="inlineStr">
        <is>
          <t>Yes</t>
        </is>
      </c>
    </row>
    <row r="1555">
      <c r="A1555" s="11" t="n">
        <v>45738.92149305555</v>
      </c>
      <c r="B1555" s="4" t="inlineStr">
        <is>
          <t>2025-03</t>
        </is>
      </c>
      <c r="C1555" s="4" t="n">
        <v>128</v>
      </c>
      <c r="D1555" s="9" t="inlineStr">
        <is>
          <t>Longest Consecutive Sequence</t>
        </is>
      </c>
      <c r="E1555" s="4" t="inlineStr">
        <is>
          <t>Medium</t>
        </is>
      </c>
      <c r="F1555" s="4" t="inlineStr">
        <is>
          <t>Arrays, Hashing &amp; Sorting</t>
        </is>
      </c>
      <c r="G1555" s="4" t="inlineStr">
        <is>
          <t>Time Limit Exceeded</t>
        </is>
      </c>
      <c r="H1555" s="4" t="inlineStr">
        <is>
          <t>C++</t>
        </is>
      </c>
      <c r="I1555" s="4" t="inlineStr">
        <is>
          <t>N/A</t>
        </is>
      </c>
      <c r="J1555" s="4" t="inlineStr">
        <is>
          <t>N/A</t>
        </is>
      </c>
      <c r="K1555" s="4" t="n"/>
      <c r="L1555" s="4" t="inlineStr">
        <is>
          <t>78/81</t>
        </is>
      </c>
      <c r="M1555" s="9" t="inlineStr">
        <is>
          <t>Submission 1582444889</t>
        </is>
      </c>
      <c r="N1555" s="4" t="inlineStr">
        <is>
          <t>Yes</t>
        </is>
      </c>
    </row>
    <row r="1556">
      <c r="A1556" s="11" t="n">
        <v>45738.92864583333</v>
      </c>
      <c r="B1556" s="4" t="inlineStr">
        <is>
          <t>2025-03</t>
        </is>
      </c>
      <c r="C1556" s="4" t="n">
        <v>128</v>
      </c>
      <c r="D1556" s="9" t="inlineStr">
        <is>
          <t>Longest Consecutive Sequence</t>
        </is>
      </c>
      <c r="E1556" s="4" t="inlineStr">
        <is>
          <t>Medium</t>
        </is>
      </c>
      <c r="F1556" s="4" t="inlineStr">
        <is>
          <t>Arrays, Hashing &amp; Sorting</t>
        </is>
      </c>
      <c r="G1556" s="4" t="inlineStr">
        <is>
          <t>Accepted</t>
        </is>
      </c>
      <c r="H1556" s="4" t="inlineStr">
        <is>
          <t>C++</t>
        </is>
      </c>
      <c r="I1556" s="4" t="inlineStr">
        <is>
          <t>207 ms</t>
        </is>
      </c>
      <c r="J1556" s="4" t="inlineStr">
        <is>
          <t>91 MB</t>
        </is>
      </c>
      <c r="K1556" s="4" t="n">
        <v>5.1</v>
      </c>
      <c r="L1556" s="4" t="inlineStr">
        <is>
          <t>81/81</t>
        </is>
      </c>
      <c r="M1556" s="9" t="inlineStr">
        <is>
          <t>Submission 1582453958</t>
        </is>
      </c>
      <c r="N1556" s="4" t="inlineStr">
        <is>
          <t>Yes</t>
        </is>
      </c>
    </row>
    <row r="1557">
      <c r="A1557" s="11" t="n">
        <v>45738.9562962963</v>
      </c>
      <c r="B1557" s="4" t="inlineStr">
        <is>
          <t>2025-03</t>
        </is>
      </c>
      <c r="C1557" s="4" t="n">
        <v>567</v>
      </c>
      <c r="D1557" s="9" t="inlineStr">
        <is>
          <t>Permutation in String</t>
        </is>
      </c>
      <c r="E1557" s="4" t="inlineStr">
        <is>
          <t>Medium</t>
        </is>
      </c>
      <c r="F1557" s="4" t="inlineStr">
        <is>
          <t>Sliding Window</t>
        </is>
      </c>
      <c r="G1557" s="4" t="inlineStr">
        <is>
          <t>Accepted</t>
        </is>
      </c>
      <c r="H1557" s="4" t="inlineStr">
        <is>
          <t>C++</t>
        </is>
      </c>
      <c r="I1557" s="4" t="inlineStr">
        <is>
          <t>3 ms</t>
        </is>
      </c>
      <c r="J1557" s="4" t="inlineStr">
        <is>
          <t>11 MB</t>
        </is>
      </c>
      <c r="K1557" s="4" t="n">
        <v>64.59999999999999</v>
      </c>
      <c r="L1557" s="4" t="inlineStr">
        <is>
          <t>108/108</t>
        </is>
      </c>
      <c r="M1557" s="9" t="inlineStr">
        <is>
          <t>Submission 1582490159</t>
        </is>
      </c>
      <c r="N1557" s="4" t="inlineStr">
        <is>
          <t>Yes</t>
        </is>
      </c>
    </row>
    <row r="1558">
      <c r="A1558" s="11" t="n">
        <v>45738.98885416667</v>
      </c>
      <c r="B1558" s="4" t="inlineStr">
        <is>
          <t>2025-03</t>
        </is>
      </c>
      <c r="C1558" s="4" t="n">
        <v>424</v>
      </c>
      <c r="D1558" s="9" t="inlineStr">
        <is>
          <t>Longest Repeating Character Replacement</t>
        </is>
      </c>
      <c r="E1558" s="4" t="inlineStr">
        <is>
          <t>Medium</t>
        </is>
      </c>
      <c r="F1558" s="4" t="inlineStr">
        <is>
          <t>Sliding Window</t>
        </is>
      </c>
      <c r="G1558" s="4" t="inlineStr">
        <is>
          <t>Accepted</t>
        </is>
      </c>
      <c r="H1558" s="4" t="inlineStr">
        <is>
          <t>C++</t>
        </is>
      </c>
      <c r="I1558" s="4" t="inlineStr">
        <is>
          <t>2 ms</t>
        </is>
      </c>
      <c r="J1558" s="4" t="inlineStr">
        <is>
          <t>10.9 MB</t>
        </is>
      </c>
      <c r="K1558" s="4" t="n">
        <v>70.3</v>
      </c>
      <c r="L1558" s="4" t="inlineStr">
        <is>
          <t>49/49</t>
        </is>
      </c>
      <c r="M1558" s="9" t="inlineStr">
        <is>
          <t>Submission 1582535874</t>
        </is>
      </c>
      <c r="N1558" s="4" t="inlineStr">
        <is>
          <t>Yes</t>
        </is>
      </c>
    </row>
    <row r="1559">
      <c r="A1559" s="11" t="n">
        <v>45738.9922337963</v>
      </c>
      <c r="B1559" s="4" t="inlineStr">
        <is>
          <t>2025-03</t>
        </is>
      </c>
      <c r="C1559" s="4" t="n">
        <v>424</v>
      </c>
      <c r="D1559" s="9" t="inlineStr">
        <is>
          <t>Longest Repeating Character Replacement</t>
        </is>
      </c>
      <c r="E1559" s="4" t="inlineStr">
        <is>
          <t>Medium</t>
        </is>
      </c>
      <c r="F1559" s="4" t="inlineStr">
        <is>
          <t>Sliding Window</t>
        </is>
      </c>
      <c r="G1559" s="4" t="inlineStr">
        <is>
          <t>Accepted</t>
        </is>
      </c>
      <c r="H1559" s="4" t="inlineStr">
        <is>
          <t>C++</t>
        </is>
      </c>
      <c r="I1559" s="4" t="inlineStr">
        <is>
          <t>15 ms</t>
        </is>
      </c>
      <c r="J1559" s="4" t="inlineStr">
        <is>
          <t>11 MB</t>
        </is>
      </c>
      <c r="K1559" s="4" t="n">
        <v>16.1</v>
      </c>
      <c r="L1559" s="4" t="inlineStr">
        <is>
          <t>49/49</t>
        </is>
      </c>
      <c r="M1559" s="9" t="inlineStr">
        <is>
          <t>Submission 1582540804</t>
        </is>
      </c>
      <c r="N1559" s="4" t="inlineStr">
        <is>
          <t>Yes</t>
        </is>
      </c>
    </row>
    <row r="1560">
      <c r="A1560" s="11" t="n">
        <v>45738.99996527778</v>
      </c>
      <c r="B1560" s="4" t="inlineStr">
        <is>
          <t>2025-03</t>
        </is>
      </c>
      <c r="C1560" s="4" t="n">
        <v>739</v>
      </c>
      <c r="D1560" s="9" t="inlineStr">
        <is>
          <t>Daily Temperatures</t>
        </is>
      </c>
      <c r="E1560" s="4" t="inlineStr">
        <is>
          <t>Medium</t>
        </is>
      </c>
      <c r="F1560" s="4" t="inlineStr">
        <is>
          <t>Monotonic Stack / Deque</t>
        </is>
      </c>
      <c r="G1560" s="4" t="inlineStr">
        <is>
          <t>Accepted</t>
        </is>
      </c>
      <c r="H1560" s="4" t="inlineStr">
        <is>
          <t>C++</t>
        </is>
      </c>
      <c r="I1560" s="4" t="inlineStr">
        <is>
          <t>23 ms</t>
        </is>
      </c>
      <c r="J1560" s="4" t="inlineStr">
        <is>
          <t>107.3 MB</t>
        </is>
      </c>
      <c r="K1560" s="4" t="n">
        <v>52.9</v>
      </c>
      <c r="L1560" s="4" t="inlineStr">
        <is>
          <t>48/48</t>
        </is>
      </c>
      <c r="M1560" s="9" t="inlineStr">
        <is>
          <t>Submission 1582551479</t>
        </is>
      </c>
      <c r="N1560" s="4" t="inlineStr">
        <is>
          <t>Yes</t>
        </is>
      </c>
    </row>
    <row r="1561">
      <c r="A1561" s="11" t="n">
        <v>45739.01403935185</v>
      </c>
      <c r="B1561" s="4" t="inlineStr">
        <is>
          <t>2025-03</t>
        </is>
      </c>
      <c r="C1561" s="4" t="n">
        <v>853</v>
      </c>
      <c r="D1561" s="9" t="inlineStr">
        <is>
          <t>Car Fleet</t>
        </is>
      </c>
      <c r="E1561" s="4" t="inlineStr">
        <is>
          <t>Medium</t>
        </is>
      </c>
      <c r="F1561" s="4" t="inlineStr">
        <is>
          <t>Monotonic Stack / Deque</t>
        </is>
      </c>
      <c r="G1561" s="4" t="inlineStr">
        <is>
          <t>Accepted</t>
        </is>
      </c>
      <c r="H1561" s="4" t="inlineStr">
        <is>
          <t>C++</t>
        </is>
      </c>
      <c r="I1561" s="4" t="inlineStr">
        <is>
          <t>27 ms</t>
        </is>
      </c>
      <c r="J1561" s="4" t="inlineStr">
        <is>
          <t>80.9 MB</t>
        </is>
      </c>
      <c r="K1561" s="4" t="n">
        <v>97.8</v>
      </c>
      <c r="L1561" s="4" t="inlineStr">
        <is>
          <t>48/48</t>
        </is>
      </c>
      <c r="M1561" s="9" t="inlineStr">
        <is>
          <t>Submission 1582569036</t>
        </is>
      </c>
      <c r="N1561" s="4" t="inlineStr">
        <is>
          <t>Yes</t>
        </is>
      </c>
    </row>
    <row r="1562">
      <c r="A1562" s="11" t="n">
        <v>45739.01722222222</v>
      </c>
      <c r="B1562" s="4" t="inlineStr">
        <is>
          <t>2025-03</t>
        </is>
      </c>
      <c r="C1562" s="4" t="n">
        <v>853</v>
      </c>
      <c r="D1562" s="9" t="inlineStr">
        <is>
          <t>Car Fleet</t>
        </is>
      </c>
      <c r="E1562" s="4" t="inlineStr">
        <is>
          <t>Medium</t>
        </is>
      </c>
      <c r="F1562" s="4" t="inlineStr">
        <is>
          <t>Monotonic Stack / Deque</t>
        </is>
      </c>
      <c r="G1562" s="4" t="inlineStr">
        <is>
          <t>Accepted</t>
        </is>
      </c>
      <c r="H1562" s="4" t="inlineStr">
        <is>
          <t>C++</t>
        </is>
      </c>
      <c r="I1562" s="4" t="inlineStr">
        <is>
          <t>30 ms</t>
        </is>
      </c>
      <c r="J1562" s="4" t="inlineStr">
        <is>
          <t>81 MB</t>
        </is>
      </c>
      <c r="K1562" s="4" t="n">
        <v>94.59999999999999</v>
      </c>
      <c r="L1562" s="4" t="inlineStr">
        <is>
          <t>48/48</t>
        </is>
      </c>
      <c r="M1562" s="9" t="inlineStr">
        <is>
          <t>Submission 1582572955</t>
        </is>
      </c>
      <c r="N1562" s="4" t="inlineStr">
        <is>
          <t>Yes</t>
        </is>
      </c>
    </row>
    <row r="1563">
      <c r="A1563" s="11" t="n">
        <v>45739.02101851852</v>
      </c>
      <c r="B1563" s="4" t="inlineStr">
        <is>
          <t>2025-03</t>
        </is>
      </c>
      <c r="C1563" s="4" t="n">
        <v>853</v>
      </c>
      <c r="D1563" s="9" t="inlineStr">
        <is>
          <t>Car Fleet</t>
        </is>
      </c>
      <c r="E1563" s="4" t="inlineStr">
        <is>
          <t>Medium</t>
        </is>
      </c>
      <c r="F1563" s="4" t="inlineStr">
        <is>
          <t>Monotonic Stack / Deque</t>
        </is>
      </c>
      <c r="G1563" s="4" t="inlineStr">
        <is>
          <t>Accepted</t>
        </is>
      </c>
      <c r="H1563" s="4" t="inlineStr">
        <is>
          <t>C++</t>
        </is>
      </c>
      <c r="I1563" s="4" t="inlineStr">
        <is>
          <t>32 ms</t>
        </is>
      </c>
      <c r="J1563" s="4" t="inlineStr">
        <is>
          <t>80.9 MB</t>
        </is>
      </c>
      <c r="K1563" s="4" t="n">
        <v>91.7</v>
      </c>
      <c r="L1563" s="4" t="inlineStr">
        <is>
          <t>48/48</t>
        </is>
      </c>
      <c r="M1563" s="9" t="inlineStr">
        <is>
          <t>Submission 1582577529</t>
        </is>
      </c>
      <c r="N1563" s="4" t="inlineStr">
        <is>
          <t>Yes</t>
        </is>
      </c>
    </row>
    <row r="1564">
      <c r="A1564" s="11" t="n">
        <v>45739.03100694445</v>
      </c>
      <c r="B1564" s="4" t="inlineStr">
        <is>
          <t>2025-03</t>
        </is>
      </c>
      <c r="C1564" s="4" t="n">
        <v>150</v>
      </c>
      <c r="D1564" s="9" t="inlineStr">
        <is>
          <t>Evaluate Reverse Polish Notation</t>
        </is>
      </c>
      <c r="E1564" s="4" t="inlineStr">
        <is>
          <t>Medium</t>
        </is>
      </c>
      <c r="F1564" s="4" t="inlineStr">
        <is>
          <t>Stack</t>
        </is>
      </c>
      <c r="G1564" s="4" t="inlineStr">
        <is>
          <t>Accepted</t>
        </is>
      </c>
      <c r="H1564" s="4" t="inlineStr">
        <is>
          <t>C++</t>
        </is>
      </c>
      <c r="I1564" s="4" t="inlineStr">
        <is>
          <t>0 ms</t>
        </is>
      </c>
      <c r="J1564" s="4" t="inlineStr">
        <is>
          <t>15.9 MB</t>
        </is>
      </c>
      <c r="K1564" s="4" t="n">
        <v>100</v>
      </c>
      <c r="L1564" s="4" t="inlineStr">
        <is>
          <t>21/21</t>
        </is>
      </c>
      <c r="M1564" s="9" t="inlineStr">
        <is>
          <t>Submission 1582588929</t>
        </is>
      </c>
      <c r="N1564" s="4" t="inlineStr">
        <is>
          <t>Yes</t>
        </is>
      </c>
    </row>
    <row r="1565">
      <c r="A1565" s="11" t="n">
        <v>45739.03309027778</v>
      </c>
      <c r="B1565" s="4" t="inlineStr">
        <is>
          <t>2025-03</t>
        </is>
      </c>
      <c r="C1565" s="4" t="n">
        <v>150</v>
      </c>
      <c r="D1565" s="9" t="inlineStr">
        <is>
          <t>Evaluate Reverse Polish Notation</t>
        </is>
      </c>
      <c r="E1565" s="4" t="inlineStr">
        <is>
          <t>Medium</t>
        </is>
      </c>
      <c r="F1565" s="4" t="inlineStr">
        <is>
          <t>Stack</t>
        </is>
      </c>
      <c r="G1565" s="4" t="inlineStr">
        <is>
          <t>Accepted</t>
        </is>
      </c>
      <c r="H1565" s="4" t="inlineStr">
        <is>
          <t>C++</t>
        </is>
      </c>
      <c r="I1565" s="4" t="inlineStr">
        <is>
          <t>4 ms</t>
        </is>
      </c>
      <c r="J1565" s="4" t="inlineStr">
        <is>
          <t>17.3 MB</t>
        </is>
      </c>
      <c r="K1565" s="4" t="n">
        <v>18.3</v>
      </c>
      <c r="L1565" s="4" t="inlineStr">
        <is>
          <t>21/21</t>
        </is>
      </c>
      <c r="M1565" s="9" t="inlineStr">
        <is>
          <t>Submission 1582591241</t>
        </is>
      </c>
      <c r="N1565" s="4" t="inlineStr">
        <is>
          <t>Yes</t>
        </is>
      </c>
    </row>
    <row r="1566">
      <c r="A1566" s="11" t="n">
        <v>45739.05625</v>
      </c>
      <c r="B1566" s="4" t="inlineStr">
        <is>
          <t>2025-03</t>
        </is>
      </c>
      <c r="C1566" s="4" t="n">
        <v>981</v>
      </c>
      <c r="D1566" s="9" t="inlineStr">
        <is>
          <t>Time Based Key-Value Store</t>
        </is>
      </c>
      <c r="E1566" s="4" t="inlineStr">
        <is>
          <t>Medium</t>
        </is>
      </c>
      <c r="F1566" s="4" t="inlineStr">
        <is>
          <t>Design</t>
        </is>
      </c>
      <c r="G1566" s="4" t="inlineStr">
        <is>
          <t>Accepted</t>
        </is>
      </c>
      <c r="H1566" s="4" t="inlineStr">
        <is>
          <t>C++</t>
        </is>
      </c>
      <c r="I1566" s="4" t="inlineStr">
        <is>
          <t>50 ms</t>
        </is>
      </c>
      <c r="J1566" s="4" t="inlineStr">
        <is>
          <t>139.5 MB</t>
        </is>
      </c>
      <c r="K1566" s="4" t="n">
        <v>63.8</v>
      </c>
      <c r="L1566" s="4" t="inlineStr">
        <is>
          <t>53/53</t>
        </is>
      </c>
      <c r="M1566" s="9" t="inlineStr">
        <is>
          <t>Submission 1582616066</t>
        </is>
      </c>
      <c r="N1566" s="4" t="inlineStr">
        <is>
          <t>Yes</t>
        </is>
      </c>
    </row>
    <row r="1567">
      <c r="A1567" s="11" t="n">
        <v>45739.05690972223</v>
      </c>
      <c r="B1567" s="4" t="inlineStr">
        <is>
          <t>2025-03</t>
        </is>
      </c>
      <c r="C1567" s="4" t="n">
        <v>981</v>
      </c>
      <c r="D1567" s="9" t="inlineStr">
        <is>
          <t>Time Based Key-Value Store</t>
        </is>
      </c>
      <c r="E1567" s="4" t="inlineStr">
        <is>
          <t>Medium</t>
        </is>
      </c>
      <c r="F1567" s="4" t="inlineStr">
        <is>
          <t>Design</t>
        </is>
      </c>
      <c r="G1567" s="4" t="inlineStr">
        <is>
          <t>Accepted</t>
        </is>
      </c>
      <c r="H1567" s="4" t="inlineStr">
        <is>
          <t>C++</t>
        </is>
      </c>
      <c r="I1567" s="4" t="inlineStr">
        <is>
          <t>72 ms</t>
        </is>
      </c>
      <c r="J1567" s="4" t="inlineStr">
        <is>
          <t>139.5 MB</t>
        </is>
      </c>
      <c r="K1567" s="4" t="n">
        <v>30.1</v>
      </c>
      <c r="L1567" s="4" t="inlineStr">
        <is>
          <t>53/53</t>
        </is>
      </c>
      <c r="M1567" s="9" t="inlineStr">
        <is>
          <t>Submission 1582616736</t>
        </is>
      </c>
      <c r="N1567" s="4" t="inlineStr">
        <is>
          <t>Yes</t>
        </is>
      </c>
    </row>
    <row r="1568">
      <c r="A1568" s="11" t="n">
        <v>45739.05966435185</v>
      </c>
      <c r="B1568" s="4" t="inlineStr">
        <is>
          <t>2025-03</t>
        </is>
      </c>
      <c r="C1568" s="4" t="n">
        <v>155</v>
      </c>
      <c r="D1568" s="9" t="inlineStr">
        <is>
          <t>Min Stack</t>
        </is>
      </c>
      <c r="E1568" s="4" t="inlineStr">
        <is>
          <t>Medium</t>
        </is>
      </c>
      <c r="F1568" s="4" t="inlineStr">
        <is>
          <t>Stack</t>
        </is>
      </c>
      <c r="G1568" s="4" t="inlineStr">
        <is>
          <t>Accepted</t>
        </is>
      </c>
      <c r="H1568" s="4" t="inlineStr">
        <is>
          <t>C++</t>
        </is>
      </c>
      <c r="I1568" s="4" t="inlineStr">
        <is>
          <t>6 ms</t>
        </is>
      </c>
      <c r="J1568" s="4" t="inlineStr">
        <is>
          <t>23.2 MB</t>
        </is>
      </c>
      <c r="K1568" s="4" t="n">
        <v>100</v>
      </c>
      <c r="L1568" s="4" t="inlineStr">
        <is>
          <t>31/31</t>
        </is>
      </c>
      <c r="M1568" s="9" t="inlineStr">
        <is>
          <t>Submission 1582619549</t>
        </is>
      </c>
      <c r="N1568" s="4" t="inlineStr">
        <is>
          <t>Yes</t>
        </is>
      </c>
    </row>
    <row r="1569">
      <c r="A1569" s="11" t="n">
        <v>45739.65841435185</v>
      </c>
      <c r="B1569" s="4" t="inlineStr">
        <is>
          <t>2025-03</t>
        </is>
      </c>
      <c r="C1569" s="4" t="n">
        <v>4</v>
      </c>
      <c r="D1569" s="9" t="inlineStr">
        <is>
          <t>Median of Two Sorted Arrays</t>
        </is>
      </c>
      <c r="E1569" s="4" t="inlineStr">
        <is>
          <t>Hard</t>
        </is>
      </c>
      <c r="F1569" s="4" t="inlineStr">
        <is>
          <t>Binary Search</t>
        </is>
      </c>
      <c r="G1569" s="4" t="inlineStr">
        <is>
          <t>Accepted</t>
        </is>
      </c>
      <c r="H1569" s="4" t="inlineStr">
        <is>
          <t>C++</t>
        </is>
      </c>
      <c r="I1569" s="4" t="inlineStr">
        <is>
          <t>0 ms</t>
        </is>
      </c>
      <c r="J1569" s="4" t="inlineStr">
        <is>
          <t>94.9 MB</t>
        </is>
      </c>
      <c r="K1569" s="4" t="n">
        <v>100</v>
      </c>
      <c r="L1569" s="4" t="inlineStr">
        <is>
          <t>2096/2096</t>
        </is>
      </c>
      <c r="M1569" s="9" t="inlineStr">
        <is>
          <t>Submission 1583197806</t>
        </is>
      </c>
      <c r="N1569" s="4" t="inlineStr">
        <is>
          <t>Yes</t>
        </is>
      </c>
    </row>
    <row r="1570">
      <c r="A1570" s="11" t="n">
        <v>45739.69313657407</v>
      </c>
      <c r="B1570" s="4" t="inlineStr">
        <is>
          <t>2025-03</t>
        </is>
      </c>
      <c r="C1570" s="4" t="n">
        <v>21</v>
      </c>
      <c r="D1570" s="9" t="inlineStr">
        <is>
          <t>Merge Two Sorted Lists</t>
        </is>
      </c>
      <c r="E1570" s="4" t="inlineStr">
        <is>
          <t>Easy</t>
        </is>
      </c>
      <c r="F1570" s="4" t="inlineStr">
        <is>
          <t>Linked List</t>
        </is>
      </c>
      <c r="G1570" s="4" t="inlineStr">
        <is>
          <t>Accepted</t>
        </is>
      </c>
      <c r="H1570" s="4" t="inlineStr">
        <is>
          <t>C++</t>
        </is>
      </c>
      <c r="I1570" s="4" t="inlineStr">
        <is>
          <t>0 ms</t>
        </is>
      </c>
      <c r="J1570" s="4" t="inlineStr">
        <is>
          <t>19.3 MB</t>
        </is>
      </c>
      <c r="K1570" s="4" t="n">
        <v>100</v>
      </c>
      <c r="L1570" s="4" t="inlineStr">
        <is>
          <t>208/208</t>
        </is>
      </c>
      <c r="M1570" s="9" t="inlineStr">
        <is>
          <t>Submission 1583232564</t>
        </is>
      </c>
      <c r="N1570" s="4" t="inlineStr">
        <is>
          <t>Yes</t>
        </is>
      </c>
    </row>
    <row r="1571">
      <c r="A1571" s="11" t="n">
        <v>45739.7156712963</v>
      </c>
      <c r="B1571" s="4" t="inlineStr">
        <is>
          <t>2025-03</t>
        </is>
      </c>
      <c r="C1571" s="4" t="n">
        <v>143</v>
      </c>
      <c r="D1571" s="9" t="inlineStr">
        <is>
          <t>Reorder List</t>
        </is>
      </c>
      <c r="E1571" s="4" t="inlineStr">
        <is>
          <t>Medium</t>
        </is>
      </c>
      <c r="F1571" s="4" t="inlineStr">
        <is>
          <t>Linked List</t>
        </is>
      </c>
      <c r="G1571" s="4" t="inlineStr">
        <is>
          <t>Accepted</t>
        </is>
      </c>
      <c r="H1571" s="4" t="inlineStr">
        <is>
          <t>C++</t>
        </is>
      </c>
      <c r="I1571" s="4" t="inlineStr">
        <is>
          <t>0 ms</t>
        </is>
      </c>
      <c r="J1571" s="4" t="inlineStr">
        <is>
          <t>22.7 MB</t>
        </is>
      </c>
      <c r="K1571" s="4" t="n">
        <v>100</v>
      </c>
      <c r="L1571" s="4" t="inlineStr">
        <is>
          <t>12/12</t>
        </is>
      </c>
      <c r="M1571" s="9" t="inlineStr">
        <is>
          <t>Submission 1583254762</t>
        </is>
      </c>
      <c r="N1571" s="4" t="inlineStr">
        <is>
          <t>Yes</t>
        </is>
      </c>
    </row>
    <row r="1572">
      <c r="A1572" s="11" t="n">
        <v>45739.71787037037</v>
      </c>
      <c r="B1572" s="4" t="inlineStr">
        <is>
          <t>2025-03</t>
        </is>
      </c>
      <c r="C1572" s="4" t="n">
        <v>143</v>
      </c>
      <c r="D1572" s="9" t="inlineStr">
        <is>
          <t>Reorder List</t>
        </is>
      </c>
      <c r="E1572" s="4" t="inlineStr">
        <is>
          <t>Medium</t>
        </is>
      </c>
      <c r="F1572" s="4" t="inlineStr">
        <is>
          <t>Linked List</t>
        </is>
      </c>
      <c r="G1572" s="4" t="inlineStr">
        <is>
          <t>Accepted</t>
        </is>
      </c>
      <c r="H1572" s="4" t="inlineStr">
        <is>
          <t>C++</t>
        </is>
      </c>
      <c r="I1572" s="4" t="inlineStr">
        <is>
          <t>0 ms</t>
        </is>
      </c>
      <c r="J1572" s="4" t="inlineStr">
        <is>
          <t>22.9 MB</t>
        </is>
      </c>
      <c r="K1572" s="4" t="n">
        <v>100</v>
      </c>
      <c r="L1572" s="4" t="inlineStr">
        <is>
          <t>12/12</t>
        </is>
      </c>
      <c r="M1572" s="9" t="inlineStr">
        <is>
          <t>Submission 1583256839</t>
        </is>
      </c>
      <c r="N1572" s="4" t="inlineStr">
        <is>
          <t>Yes</t>
        </is>
      </c>
    </row>
    <row r="1573">
      <c r="A1573" s="11" t="n">
        <v>45739.73498842592</v>
      </c>
      <c r="B1573" s="4" t="inlineStr">
        <is>
          <t>2025-03</t>
        </is>
      </c>
      <c r="C1573" s="4" t="n">
        <v>143</v>
      </c>
      <c r="D1573" s="9" t="inlineStr">
        <is>
          <t>Reorder List</t>
        </is>
      </c>
      <c r="E1573" s="4" t="inlineStr">
        <is>
          <t>Medium</t>
        </is>
      </c>
      <c r="F1573" s="4" t="inlineStr">
        <is>
          <t>Linked List</t>
        </is>
      </c>
      <c r="G1573" s="4" t="inlineStr">
        <is>
          <t>Accepted</t>
        </is>
      </c>
      <c r="H1573" s="4" t="inlineStr">
        <is>
          <t>C++</t>
        </is>
      </c>
      <c r="I1573" s="4" t="inlineStr">
        <is>
          <t>0 ms</t>
        </is>
      </c>
      <c r="J1573" s="4" t="inlineStr">
        <is>
          <t>22.7 MB</t>
        </is>
      </c>
      <c r="K1573" s="4" t="n">
        <v>100</v>
      </c>
      <c r="L1573" s="4" t="inlineStr">
        <is>
          <t>12/12</t>
        </is>
      </c>
      <c r="M1573" s="9" t="inlineStr">
        <is>
          <t>Submission 1583273041</t>
        </is>
      </c>
      <c r="N1573" s="4" t="inlineStr">
        <is>
          <t>Yes</t>
        </is>
      </c>
    </row>
    <row r="1574">
      <c r="A1574" s="11" t="n">
        <v>45739.74547453703</v>
      </c>
      <c r="B1574" s="4" t="inlineStr">
        <is>
          <t>2025-03</t>
        </is>
      </c>
      <c r="C1574" s="4" t="n">
        <v>143</v>
      </c>
      <c r="D1574" s="9" t="inlineStr">
        <is>
          <t>Reorder List</t>
        </is>
      </c>
      <c r="E1574" s="4" t="inlineStr">
        <is>
          <t>Medium</t>
        </is>
      </c>
      <c r="F1574" s="4" t="inlineStr">
        <is>
          <t>Linked List</t>
        </is>
      </c>
      <c r="G1574" s="4" t="inlineStr">
        <is>
          <t>Accepted</t>
        </is>
      </c>
      <c r="H1574" s="4" t="inlineStr">
        <is>
          <t>C++</t>
        </is>
      </c>
      <c r="I1574" s="4" t="inlineStr">
        <is>
          <t>179 ms</t>
        </is>
      </c>
      <c r="J1574" s="4" t="inlineStr">
        <is>
          <t>22.9 MB</t>
        </is>
      </c>
      <c r="K1574" s="4" t="n"/>
      <c r="L1574" s="4" t="inlineStr"/>
      <c r="M1574" s="9" t="inlineStr">
        <is>
          <t>Submission 1583283239</t>
        </is>
      </c>
      <c r="N1574" s="4" t="inlineStr">
        <is>
          <t>Yes</t>
        </is>
      </c>
    </row>
    <row r="1575">
      <c r="A1575" s="11" t="n">
        <v>45739.74702546297</v>
      </c>
      <c r="B1575" s="4" t="inlineStr">
        <is>
          <t>2025-03</t>
        </is>
      </c>
      <c r="C1575" s="4" t="n">
        <v>143</v>
      </c>
      <c r="D1575" s="9" t="inlineStr">
        <is>
          <t>Reorder List</t>
        </is>
      </c>
      <c r="E1575" s="4" t="inlineStr">
        <is>
          <t>Medium</t>
        </is>
      </c>
      <c r="F1575" s="4" t="inlineStr">
        <is>
          <t>Linked List</t>
        </is>
      </c>
      <c r="G1575" s="4" t="inlineStr">
        <is>
          <t>Accepted</t>
        </is>
      </c>
      <c r="H1575" s="4" t="inlineStr">
        <is>
          <t>C++</t>
        </is>
      </c>
      <c r="I1575" s="4" t="inlineStr">
        <is>
          <t>175 ms</t>
        </is>
      </c>
      <c r="J1575" s="4" t="inlineStr">
        <is>
          <t>22.6 MB</t>
        </is>
      </c>
      <c r="K1575" s="4" t="n">
        <v>5</v>
      </c>
      <c r="L1575" s="4" t="inlineStr">
        <is>
          <t>12/12</t>
        </is>
      </c>
      <c r="M1575" s="9" t="inlineStr">
        <is>
          <t>Submission 1583284814</t>
        </is>
      </c>
      <c r="N1575" s="4" t="inlineStr">
        <is>
          <t>Yes</t>
        </is>
      </c>
    </row>
    <row r="1576">
      <c r="A1576" s="11" t="n">
        <v>45739.75930555556</v>
      </c>
      <c r="B1576" s="4" t="inlineStr">
        <is>
          <t>2025-03</t>
        </is>
      </c>
      <c r="C1576" s="4" t="n">
        <v>19</v>
      </c>
      <c r="D1576" s="9" t="inlineStr">
        <is>
          <t>Remove Nth Node From End of List</t>
        </is>
      </c>
      <c r="E1576" s="4" t="inlineStr">
        <is>
          <t>Medium</t>
        </is>
      </c>
      <c r="F1576" s="4" t="inlineStr">
        <is>
          <t>Linked List</t>
        </is>
      </c>
      <c r="G1576" s="4" t="inlineStr">
        <is>
          <t>Accepted</t>
        </is>
      </c>
      <c r="H1576" s="4" t="inlineStr">
        <is>
          <t>C++</t>
        </is>
      </c>
      <c r="I1576" s="4" t="inlineStr">
        <is>
          <t>0 ms</t>
        </is>
      </c>
      <c r="J1576" s="4" t="inlineStr">
        <is>
          <t>15.1 MB</t>
        </is>
      </c>
      <c r="K1576" s="4" t="n">
        <v>100</v>
      </c>
      <c r="L1576" s="4" t="inlineStr">
        <is>
          <t>208/208</t>
        </is>
      </c>
      <c r="M1576" s="9" t="inlineStr">
        <is>
          <t>Submission 1583297279</t>
        </is>
      </c>
      <c r="N1576" s="4" t="inlineStr">
        <is>
          <t>Yes</t>
        </is>
      </c>
    </row>
    <row r="1577">
      <c r="A1577" s="11" t="n">
        <v>45739.76688657407</v>
      </c>
      <c r="B1577" s="4" t="inlineStr">
        <is>
          <t>2025-03</t>
        </is>
      </c>
      <c r="C1577" s="4" t="n">
        <v>143</v>
      </c>
      <c r="D1577" s="9" t="inlineStr">
        <is>
          <t>Reorder List</t>
        </is>
      </c>
      <c r="E1577" s="4" t="inlineStr">
        <is>
          <t>Medium</t>
        </is>
      </c>
      <c r="F1577" s="4" t="inlineStr">
        <is>
          <t>Linked List</t>
        </is>
      </c>
      <c r="G1577" s="4" t="inlineStr">
        <is>
          <t>Accepted</t>
        </is>
      </c>
      <c r="H1577" s="4" t="inlineStr">
        <is>
          <t>C++</t>
        </is>
      </c>
      <c r="I1577" s="4" t="inlineStr">
        <is>
          <t>0 ms</t>
        </is>
      </c>
      <c r="J1577" s="4" t="inlineStr">
        <is>
          <t>22.8 MB</t>
        </is>
      </c>
      <c r="K1577" s="4" t="n">
        <v>100</v>
      </c>
      <c r="L1577" s="4" t="inlineStr">
        <is>
          <t>12/12</t>
        </is>
      </c>
      <c r="M1577" s="9" t="inlineStr">
        <is>
          <t>Submission 1583304906</t>
        </is>
      </c>
      <c r="N1577" s="4" t="inlineStr">
        <is>
          <t>Yes</t>
        </is>
      </c>
    </row>
    <row r="1578">
      <c r="A1578" s="11" t="n">
        <v>45739.78659722222</v>
      </c>
      <c r="B1578" s="4" t="inlineStr">
        <is>
          <t>2025-03</t>
        </is>
      </c>
      <c r="C1578" s="4" t="n">
        <v>25</v>
      </c>
      <c r="D1578" s="9" t="inlineStr">
        <is>
          <t>Reverse Nodes in k-Group</t>
        </is>
      </c>
      <c r="E1578" s="4" t="inlineStr">
        <is>
          <t>Hard</t>
        </is>
      </c>
      <c r="F1578" s="4" t="inlineStr">
        <is>
          <t>Linked List</t>
        </is>
      </c>
      <c r="G1578" s="4" t="inlineStr">
        <is>
          <t>Accepted</t>
        </is>
      </c>
      <c r="H1578" s="4" t="inlineStr">
        <is>
          <t>C++</t>
        </is>
      </c>
      <c r="I1578" s="4" t="inlineStr">
        <is>
          <t>0 ms</t>
        </is>
      </c>
      <c r="J1578" s="4" t="inlineStr">
        <is>
          <t>16.3 MB</t>
        </is>
      </c>
      <c r="K1578" s="4" t="n">
        <v>100</v>
      </c>
      <c r="L1578" s="4" t="inlineStr">
        <is>
          <t>62/62</t>
        </is>
      </c>
      <c r="M1578" s="9" t="inlineStr">
        <is>
          <t>Submission 1583325959</t>
        </is>
      </c>
      <c r="N1578" s="4" t="inlineStr">
        <is>
          <t>Yes</t>
        </is>
      </c>
    </row>
    <row r="1579">
      <c r="A1579" s="11" t="n">
        <v>45742.41199074074</v>
      </c>
      <c r="B1579" s="4" t="inlineStr">
        <is>
          <t>2025-03</t>
        </is>
      </c>
      <c r="C1579" s="4" t="n">
        <v>23</v>
      </c>
      <c r="D1579" s="9" t="inlineStr">
        <is>
          <t>Merge k Sorted Lists</t>
        </is>
      </c>
      <c r="E1579" s="4" t="inlineStr">
        <is>
          <t>Hard</t>
        </is>
      </c>
      <c r="F1579" s="4" t="inlineStr">
        <is>
          <t>Heap / Top-K</t>
        </is>
      </c>
      <c r="G1579" s="4" t="inlineStr">
        <is>
          <t>Accepted</t>
        </is>
      </c>
      <c r="H1579" s="4" t="inlineStr">
        <is>
          <t>C++</t>
        </is>
      </c>
      <c r="I1579" s="4" t="inlineStr">
        <is>
          <t>2 ms</t>
        </is>
      </c>
      <c r="J1579" s="4" t="inlineStr">
        <is>
          <t>18.7 MB</t>
        </is>
      </c>
      <c r="K1579" s="4" t="n">
        <v>70.2</v>
      </c>
      <c r="L1579" s="4" t="inlineStr">
        <is>
          <t>134/134</t>
        </is>
      </c>
      <c r="M1579" s="9" t="inlineStr">
        <is>
          <t>Submission 1586434062</t>
        </is>
      </c>
      <c r="N1579" s="4" t="inlineStr">
        <is>
          <t>Yes</t>
        </is>
      </c>
    </row>
    <row r="1580">
      <c r="A1580" s="11" t="n">
        <v>45763.71064814815</v>
      </c>
      <c r="B1580" s="4" t="inlineStr">
        <is>
          <t>2025-04</t>
        </is>
      </c>
      <c r="C1580" s="4" t="n">
        <v>1094</v>
      </c>
      <c r="D1580" s="9" t="inlineStr">
        <is>
          <t>Car Pooling</t>
        </is>
      </c>
      <c r="E1580" s="4" t="inlineStr">
        <is>
          <t>Medium</t>
        </is>
      </c>
      <c r="F1580" s="4" t="inlineStr">
        <is>
          <t>Prefix Sum &amp; Difference Array</t>
        </is>
      </c>
      <c r="G1580" s="4" t="inlineStr">
        <is>
          <t>Accepted</t>
        </is>
      </c>
      <c r="H1580" s="4" t="inlineStr">
        <is>
          <t>C++</t>
        </is>
      </c>
      <c r="I1580" s="4" t="inlineStr">
        <is>
          <t>0 ms</t>
        </is>
      </c>
      <c r="J1580" s="4" t="inlineStr">
        <is>
          <t>15 MB</t>
        </is>
      </c>
      <c r="K1580" s="4" t="n">
        <v>100</v>
      </c>
      <c r="L1580" s="4" t="inlineStr">
        <is>
          <t>59/59</t>
        </is>
      </c>
      <c r="M1580" s="9" t="inlineStr">
        <is>
          <t>Submission 1608472430</t>
        </is>
      </c>
      <c r="N1580" s="4" t="inlineStr">
        <is>
          <t>Yes</t>
        </is>
      </c>
    </row>
    <row r="1581">
      <c r="A1581" s="11" t="n">
        <v>45763.71965277778</v>
      </c>
      <c r="B1581" s="4" t="inlineStr">
        <is>
          <t>2025-04</t>
        </is>
      </c>
      <c r="C1581" s="4" t="n">
        <v>732</v>
      </c>
      <c r="D1581" s="9" t="inlineStr">
        <is>
          <t>My Calendar III</t>
        </is>
      </c>
      <c r="E1581" s="4" t="inlineStr">
        <is>
          <t>Hard</t>
        </is>
      </c>
      <c r="F1581" s="4" t="inlineStr">
        <is>
          <t>Intervals &amp; Sweep Line</t>
        </is>
      </c>
      <c r="G1581" s="4" t="inlineStr">
        <is>
          <t>Accepted</t>
        </is>
      </c>
      <c r="H1581" s="4" t="inlineStr">
        <is>
          <t>C++</t>
        </is>
      </c>
      <c r="I1581" s="4" t="inlineStr">
        <is>
          <t>48 ms</t>
        </is>
      </c>
      <c r="J1581" s="4" t="inlineStr">
        <is>
          <t>32.9 MB</t>
        </is>
      </c>
      <c r="K1581" s="4" t="n">
        <v>48.6</v>
      </c>
      <c r="L1581" s="4" t="inlineStr">
        <is>
          <t>98/98</t>
        </is>
      </c>
      <c r="M1581" s="9" t="inlineStr">
        <is>
          <t>Submission 1608480201</t>
        </is>
      </c>
      <c r="N1581" s="4" t="inlineStr">
        <is>
          <t>Yes</t>
        </is>
      </c>
    </row>
    <row r="1582">
      <c r="A1582" s="11" t="n">
        <v>45763.72459490741</v>
      </c>
      <c r="B1582" s="4" t="inlineStr">
        <is>
          <t>2025-04</t>
        </is>
      </c>
      <c r="C1582" s="4" t="n">
        <v>729</v>
      </c>
      <c r="D1582" s="9" t="inlineStr">
        <is>
          <t>My Calendar I</t>
        </is>
      </c>
      <c r="E1582" s="4" t="inlineStr">
        <is>
          <t>Medium</t>
        </is>
      </c>
      <c r="F1582" s="4" t="inlineStr">
        <is>
          <t>Intervals &amp; Sweep Line</t>
        </is>
      </c>
      <c r="G1582" s="4" t="inlineStr">
        <is>
          <t>Accepted</t>
        </is>
      </c>
      <c r="H1582" s="4" t="inlineStr">
        <is>
          <t>C++</t>
        </is>
      </c>
      <c r="I1582" s="4" t="inlineStr">
        <is>
          <t>135 ms</t>
        </is>
      </c>
      <c r="J1582" s="4" t="inlineStr">
        <is>
          <t>49 MB</t>
        </is>
      </c>
      <c r="K1582" s="4" t="n">
        <v>13</v>
      </c>
      <c r="L1582" s="4" t="inlineStr">
        <is>
          <t>107/107</t>
        </is>
      </c>
      <c r="M1582" s="9" t="inlineStr">
        <is>
          <t>Submission 1608484538</t>
        </is>
      </c>
      <c r="N1582" s="4" t="inlineStr">
        <is>
          <t>Yes</t>
        </is>
      </c>
    </row>
    <row r="1583">
      <c r="A1583" s="11" t="n">
        <v>45763.72515046296</v>
      </c>
      <c r="B1583" s="4" t="inlineStr">
        <is>
          <t>2025-04</t>
        </is>
      </c>
      <c r="C1583" s="4" t="n">
        <v>731</v>
      </c>
      <c r="D1583" s="9" t="inlineStr">
        <is>
          <t>My Calendar II</t>
        </is>
      </c>
      <c r="E1583" s="4" t="inlineStr">
        <is>
          <t>Medium</t>
        </is>
      </c>
      <c r="F1583" s="4" t="inlineStr">
        <is>
          <t>Intervals &amp; Sweep Line</t>
        </is>
      </c>
      <c r="G1583" s="4" t="inlineStr">
        <is>
          <t>Accepted</t>
        </is>
      </c>
      <c r="H1583" s="4" t="inlineStr">
        <is>
          <t>C++</t>
        </is>
      </c>
      <c r="I1583" s="4" t="inlineStr">
        <is>
          <t>112 ms</t>
        </is>
      </c>
      <c r="J1583" s="4" t="inlineStr">
        <is>
          <t>44 MB</t>
        </is>
      </c>
      <c r="K1583" s="4" t="n">
        <v>29.3</v>
      </c>
      <c r="L1583" s="4" t="inlineStr">
        <is>
          <t>97/97</t>
        </is>
      </c>
      <c r="M1583" s="9" t="inlineStr">
        <is>
          <t>Submission 1608485018</t>
        </is>
      </c>
      <c r="N1583" s="4" t="inlineStr">
        <is>
          <t>Yes</t>
        </is>
      </c>
    </row>
    <row r="1584">
      <c r="A1584" s="11" t="n">
        <v>45763.89961805556</v>
      </c>
      <c r="B1584" s="4" t="inlineStr">
        <is>
          <t>2025-04</t>
        </is>
      </c>
      <c r="C1584" s="4" t="n">
        <v>2381</v>
      </c>
      <c r="D1584" s="9" t="inlineStr">
        <is>
          <t>Shifting Letters II</t>
        </is>
      </c>
      <c r="E1584" s="4" t="inlineStr">
        <is>
          <t>Medium</t>
        </is>
      </c>
      <c r="F1584" s="4" t="inlineStr">
        <is>
          <t>Prefix Sum &amp; Difference Array</t>
        </is>
      </c>
      <c r="G1584" s="4" t="inlineStr">
        <is>
          <t>Wrong Answer</t>
        </is>
      </c>
      <c r="H1584" s="4" t="inlineStr">
        <is>
          <t>C++</t>
        </is>
      </c>
      <c r="I1584" s="4" t="inlineStr">
        <is>
          <t>N/A</t>
        </is>
      </c>
      <c r="J1584" s="4" t="inlineStr">
        <is>
          <t>N/A</t>
        </is>
      </c>
      <c r="K1584" s="4" t="n"/>
      <c r="L1584" s="4" t="inlineStr">
        <is>
          <t>9/39</t>
        </is>
      </c>
      <c r="M1584" s="9" t="inlineStr">
        <is>
          <t>Submission 1608687673</t>
        </is>
      </c>
      <c r="N1584" s="4" t="inlineStr">
        <is>
          <t>Yes</t>
        </is>
      </c>
    </row>
    <row r="1585">
      <c r="A1585" s="11" t="n">
        <v>45763.90224537037</v>
      </c>
      <c r="B1585" s="4" t="inlineStr">
        <is>
          <t>2025-04</t>
        </is>
      </c>
      <c r="C1585" s="4" t="n">
        <v>2381</v>
      </c>
      <c r="D1585" s="9" t="inlineStr">
        <is>
          <t>Shifting Letters II</t>
        </is>
      </c>
      <c r="E1585" s="4" t="inlineStr">
        <is>
          <t>Medium</t>
        </is>
      </c>
      <c r="F1585" s="4" t="inlineStr">
        <is>
          <t>Prefix Sum &amp; Difference Array</t>
        </is>
      </c>
      <c r="G1585" s="4" t="inlineStr">
        <is>
          <t>Accepted</t>
        </is>
      </c>
      <c r="H1585" s="4" t="inlineStr">
        <is>
          <t>C++</t>
        </is>
      </c>
      <c r="I1585" s="4" t="inlineStr">
        <is>
          <t>144 ms</t>
        </is>
      </c>
      <c r="J1585" s="4" t="inlineStr">
        <is>
          <t>120.4 MB</t>
        </is>
      </c>
      <c r="K1585" s="4" t="n">
        <v>5</v>
      </c>
      <c r="L1585" s="4" t="inlineStr">
        <is>
          <t>39/39</t>
        </is>
      </c>
      <c r="M1585" s="9" t="inlineStr">
        <is>
          <t>Submission 1608691058</t>
        </is>
      </c>
      <c r="N1585" s="4" t="inlineStr">
        <is>
          <t>Yes</t>
        </is>
      </c>
    </row>
    <row r="1586">
      <c r="A1586" s="11" t="n">
        <v>45763.90587962963</v>
      </c>
      <c r="B1586" s="4" t="inlineStr">
        <is>
          <t>2025-04</t>
        </is>
      </c>
      <c r="C1586" s="4" t="n">
        <v>2381</v>
      </c>
      <c r="D1586" s="9" t="inlineStr">
        <is>
          <t>Shifting Letters II</t>
        </is>
      </c>
      <c r="E1586" s="4" t="inlineStr">
        <is>
          <t>Medium</t>
        </is>
      </c>
      <c r="F1586" s="4" t="inlineStr">
        <is>
          <t>Prefix Sum &amp; Difference Array</t>
        </is>
      </c>
      <c r="G1586" s="4" t="inlineStr">
        <is>
          <t>Accepted</t>
        </is>
      </c>
      <c r="H1586" s="4" t="inlineStr">
        <is>
          <t>C++</t>
        </is>
      </c>
      <c r="I1586" s="4" t="inlineStr">
        <is>
          <t>146 ms</t>
        </is>
      </c>
      <c r="J1586" s="4" t="inlineStr">
        <is>
          <t>120.5 MB</t>
        </is>
      </c>
      <c r="K1586" s="4" t="n">
        <v>5</v>
      </c>
      <c r="L1586" s="4" t="inlineStr">
        <is>
          <t>39/39</t>
        </is>
      </c>
      <c r="M1586" s="9" t="inlineStr">
        <is>
          <t>Submission 1608696090</t>
        </is>
      </c>
      <c r="N1586" s="4" t="inlineStr">
        <is>
          <t>Yes</t>
        </is>
      </c>
    </row>
    <row r="1587">
      <c r="A1587" s="11" t="n">
        <v>45763.92944444445</v>
      </c>
      <c r="B1587" s="4" t="inlineStr">
        <is>
          <t>2025-04</t>
        </is>
      </c>
      <c r="C1587" s="4" t="n">
        <v>2251</v>
      </c>
      <c r="D1587" s="9" t="inlineStr">
        <is>
          <t>Number of Flowers in Full Bloom</t>
        </is>
      </c>
      <c r="E1587" s="4" t="inlineStr">
        <is>
          <t>Hard</t>
        </is>
      </c>
      <c r="F1587" s="4" t="inlineStr">
        <is>
          <t>Intervals &amp; Sweep Line</t>
        </is>
      </c>
      <c r="G1587" s="4" t="inlineStr">
        <is>
          <t>Accepted</t>
        </is>
      </c>
      <c r="H1587" s="4" t="inlineStr">
        <is>
          <t>C++</t>
        </is>
      </c>
      <c r="I1587" s="4" t="inlineStr">
        <is>
          <t>107 ms</t>
        </is>
      </c>
      <c r="J1587" s="4" t="inlineStr">
        <is>
          <t>98.6 MB</t>
        </is>
      </c>
      <c r="K1587" s="4" t="n">
        <v>17.6</v>
      </c>
      <c r="L1587" s="4" t="inlineStr">
        <is>
          <t>53/53</t>
        </is>
      </c>
      <c r="M1587" s="9" t="inlineStr">
        <is>
          <t>Submission 1608729211</t>
        </is>
      </c>
      <c r="N1587" s="4" t="inlineStr">
        <is>
          <t>Yes</t>
        </is>
      </c>
    </row>
    <row r="1588">
      <c r="A1588" s="11" t="n">
        <v>45763.94685185186</v>
      </c>
      <c r="B1588" s="4" t="inlineStr">
        <is>
          <t>2025-04</t>
        </is>
      </c>
      <c r="C1588" s="4" t="n">
        <v>2251</v>
      </c>
      <c r="D1588" s="9" t="inlineStr">
        <is>
          <t>Number of Flowers in Full Bloom</t>
        </is>
      </c>
      <c r="E1588" s="4" t="inlineStr">
        <is>
          <t>Hard</t>
        </is>
      </c>
      <c r="F1588" s="4" t="inlineStr">
        <is>
          <t>Intervals &amp; Sweep Line</t>
        </is>
      </c>
      <c r="G1588" s="4" t="inlineStr">
        <is>
          <t>Accepted</t>
        </is>
      </c>
      <c r="H1588" s="4" t="inlineStr">
        <is>
          <t>C++</t>
        </is>
      </c>
      <c r="I1588" s="4" t="inlineStr">
        <is>
          <t>102 ms</t>
        </is>
      </c>
      <c r="J1588" s="4" t="inlineStr">
        <is>
          <t>98.5 MB</t>
        </is>
      </c>
      <c r="K1588" s="4" t="n">
        <v>19.2</v>
      </c>
      <c r="L1588" s="4" t="inlineStr">
        <is>
          <t>53/53</t>
        </is>
      </c>
      <c r="M1588" s="9" t="inlineStr">
        <is>
          <t>Submission 1608755716</t>
        </is>
      </c>
      <c r="N1588" s="4" t="inlineStr">
        <is>
          <t>Yes</t>
        </is>
      </c>
    </row>
    <row r="1589">
      <c r="A1589" s="11" t="n">
        <v>45763.98118055556</v>
      </c>
      <c r="B1589" s="4" t="inlineStr">
        <is>
          <t>2025-04</t>
        </is>
      </c>
      <c r="C1589" s="4" t="n">
        <v>646</v>
      </c>
      <c r="D1589" s="9" t="inlineStr">
        <is>
          <t>Maximum Length of Pair Chain</t>
        </is>
      </c>
      <c r="E1589" s="4" t="inlineStr">
        <is>
          <t>Medium</t>
        </is>
      </c>
      <c r="F1589" s="4" t="inlineStr">
        <is>
          <t>Intervals &amp; Sweep Line</t>
        </is>
      </c>
      <c r="G1589" s="4" t="inlineStr">
        <is>
          <t>Accepted</t>
        </is>
      </c>
      <c r="H1589" s="4" t="inlineStr">
        <is>
          <t>C++</t>
        </is>
      </c>
      <c r="I1589" s="4" t="inlineStr">
        <is>
          <t>8 ms</t>
        </is>
      </c>
      <c r="J1589" s="4" t="inlineStr">
        <is>
          <t>28.4 MB</t>
        </is>
      </c>
      <c r="K1589" s="4" t="n">
        <v>59.3</v>
      </c>
      <c r="L1589" s="4" t="inlineStr">
        <is>
          <t>206/206</t>
        </is>
      </c>
      <c r="M1589" s="9" t="inlineStr">
        <is>
          <t>Submission 1608807314</t>
        </is>
      </c>
      <c r="N1589" s="4" t="inlineStr">
        <is>
          <t>Yes</t>
        </is>
      </c>
    </row>
    <row r="1590">
      <c r="A1590" s="11" t="n">
        <v>45777.5853587963</v>
      </c>
      <c r="B1590" s="4" t="inlineStr">
        <is>
          <t>2025-04</t>
        </is>
      </c>
      <c r="C1590" s="4" t="n">
        <v>124</v>
      </c>
      <c r="D1590" s="9" t="inlineStr">
        <is>
          <t>Binary Tree Maximum Path Sum</t>
        </is>
      </c>
      <c r="E1590" s="4" t="inlineStr">
        <is>
          <t>Hard</t>
        </is>
      </c>
      <c r="F1590" s="4" t="inlineStr">
        <is>
          <t>DP: On Trees</t>
        </is>
      </c>
      <c r="G1590" s="4" t="inlineStr">
        <is>
          <t>Wrong Answer</t>
        </is>
      </c>
      <c r="H1590" s="4" t="inlineStr">
        <is>
          <t>C++</t>
        </is>
      </c>
      <c r="I1590" s="4" t="inlineStr">
        <is>
          <t>N/A</t>
        </is>
      </c>
      <c r="J1590" s="4" t="inlineStr">
        <is>
          <t>N/A</t>
        </is>
      </c>
      <c r="K1590" s="4" t="n"/>
      <c r="L1590" s="4" t="inlineStr">
        <is>
          <t>73/96</t>
        </is>
      </c>
      <c r="M1590" s="9" t="inlineStr">
        <is>
          <t>Submission 1621808779</t>
        </is>
      </c>
      <c r="N1590" s="4" t="inlineStr">
        <is>
          <t>Yes</t>
        </is>
      </c>
    </row>
    <row r="1591">
      <c r="A1591" s="11" t="n">
        <v>45777.58679398148</v>
      </c>
      <c r="B1591" s="4" t="inlineStr">
        <is>
          <t>2025-04</t>
        </is>
      </c>
      <c r="C1591" s="4" t="n">
        <v>124</v>
      </c>
      <c r="D1591" s="9" t="inlineStr">
        <is>
          <t>Binary Tree Maximum Path Sum</t>
        </is>
      </c>
      <c r="E1591" s="4" t="inlineStr">
        <is>
          <t>Hard</t>
        </is>
      </c>
      <c r="F1591" s="4" t="inlineStr">
        <is>
          <t>DP: On Trees</t>
        </is>
      </c>
      <c r="G1591" s="4" t="inlineStr">
        <is>
          <t>Accepted</t>
        </is>
      </c>
      <c r="H1591" s="4" t="inlineStr">
        <is>
          <t>C++</t>
        </is>
      </c>
      <c r="I1591" s="4" t="inlineStr">
        <is>
          <t>4 ms</t>
        </is>
      </c>
      <c r="J1591" s="4" t="inlineStr">
        <is>
          <t>28.2 MB</t>
        </is>
      </c>
      <c r="K1591" s="4" t="n">
        <v>6.7</v>
      </c>
      <c r="L1591" s="4" t="inlineStr">
        <is>
          <t>96/96</t>
        </is>
      </c>
      <c r="M1591" s="9" t="inlineStr">
        <is>
          <t>Submission 1621809992</t>
        </is>
      </c>
      <c r="N1591" s="4" t="inlineStr">
        <is>
          <t>Yes</t>
        </is>
      </c>
    </row>
    <row r="1592">
      <c r="A1592" s="11" t="n">
        <v>45778.38655092593</v>
      </c>
      <c r="B1592" s="4" t="inlineStr">
        <is>
          <t>2025-05</t>
        </is>
      </c>
      <c r="C1592" s="4" t="n">
        <v>437</v>
      </c>
      <c r="D1592" s="9" t="inlineStr">
        <is>
          <t>Path Sum III</t>
        </is>
      </c>
      <c r="E1592" s="4" t="inlineStr">
        <is>
          <t>Medium</t>
        </is>
      </c>
      <c r="F1592" s="4" t="inlineStr">
        <is>
          <t>Binary Tree (DFS &amp; Recursion)</t>
        </is>
      </c>
      <c r="G1592" s="4" t="inlineStr">
        <is>
          <t>Runtime Error</t>
        </is>
      </c>
      <c r="H1592" s="4" t="inlineStr">
        <is>
          <t>C++</t>
        </is>
      </c>
      <c r="I1592" s="4" t="inlineStr">
        <is>
          <t>N/A</t>
        </is>
      </c>
      <c r="J1592" s="4" t="inlineStr">
        <is>
          <t>N/A</t>
        </is>
      </c>
      <c r="K1592" s="4" t="n"/>
      <c r="L1592" s="4" t="inlineStr">
        <is>
          <t>126/129</t>
        </is>
      </c>
      <c r="M1592" s="9" t="inlineStr">
        <is>
          <t>Submission 1622443744</t>
        </is>
      </c>
      <c r="N1592" s="4" t="inlineStr">
        <is>
          <t>Yes</t>
        </is>
      </c>
    </row>
    <row r="1593">
      <c r="A1593" s="11" t="n">
        <v>45778.38780092593</v>
      </c>
      <c r="B1593" s="4" t="inlineStr">
        <is>
          <t>2025-05</t>
        </is>
      </c>
      <c r="C1593" s="4" t="n">
        <v>437</v>
      </c>
      <c r="D1593" s="9" t="inlineStr">
        <is>
          <t>Path Sum III</t>
        </is>
      </c>
      <c r="E1593" s="4" t="inlineStr">
        <is>
          <t>Medium</t>
        </is>
      </c>
      <c r="F1593" s="4" t="inlineStr">
        <is>
          <t>Binary Tree (DFS &amp; Recursion)</t>
        </is>
      </c>
      <c r="G1593" s="4" t="inlineStr">
        <is>
          <t>Accepted</t>
        </is>
      </c>
      <c r="H1593" s="4" t="inlineStr">
        <is>
          <t>C++</t>
        </is>
      </c>
      <c r="I1593" s="4" t="inlineStr">
        <is>
          <t>4 ms</t>
        </is>
      </c>
      <c r="J1593" s="4" t="inlineStr">
        <is>
          <t>21.6 MB</t>
        </is>
      </c>
      <c r="K1593" s="4" t="n">
        <v>79.8</v>
      </c>
      <c r="L1593" s="4" t="inlineStr">
        <is>
          <t>129/129</t>
        </is>
      </c>
      <c r="M1593" s="9" t="inlineStr">
        <is>
          <t>Submission 1622444693</t>
        </is>
      </c>
      <c r="N1593" s="4" t="inlineStr">
        <is>
          <t>Yes</t>
        </is>
      </c>
    </row>
    <row r="1594">
      <c r="A1594" s="11" t="n">
        <v>45778.41576388889</v>
      </c>
      <c r="B1594" s="4" t="inlineStr">
        <is>
          <t>2025-05</t>
        </is>
      </c>
      <c r="C1594" s="4" t="n">
        <v>547</v>
      </c>
      <c r="D1594" s="9" t="inlineStr">
        <is>
          <t>Number of Provinces</t>
        </is>
      </c>
      <c r="E1594" s="4" t="inlineStr">
        <is>
          <t>Medium</t>
        </is>
      </c>
      <c r="F1594" s="4" t="inlineStr">
        <is>
          <t>Graph: Union-Find</t>
        </is>
      </c>
      <c r="G1594" s="4" t="inlineStr">
        <is>
          <t>Accepted</t>
        </is>
      </c>
      <c r="H1594" s="4" t="inlineStr">
        <is>
          <t>C++</t>
        </is>
      </c>
      <c r="I1594" s="4" t="inlineStr">
        <is>
          <t>0 ms</t>
        </is>
      </c>
      <c r="J1594" s="4" t="inlineStr">
        <is>
          <t>19.3 MB</t>
        </is>
      </c>
      <c r="K1594" s="4" t="n">
        <v>100</v>
      </c>
      <c r="L1594" s="4" t="inlineStr">
        <is>
          <t>114/114</t>
        </is>
      </c>
      <c r="M1594" s="9" t="inlineStr">
        <is>
          <t>Submission 1622466737</t>
        </is>
      </c>
      <c r="N1594" s="4" t="inlineStr">
        <is>
          <t>Yes</t>
        </is>
      </c>
    </row>
    <row r="1595">
      <c r="A1595" s="11" t="n">
        <v>45778.42991898148</v>
      </c>
      <c r="B1595" s="4" t="inlineStr">
        <is>
          <t>2025-05</t>
        </is>
      </c>
      <c r="C1595" s="4" t="n">
        <v>994</v>
      </c>
      <c r="D1595" s="9" t="inlineStr">
        <is>
          <t>Rotting Oranges</t>
        </is>
      </c>
      <c r="E1595" s="4" t="inlineStr">
        <is>
          <t>Medium</t>
        </is>
      </c>
      <c r="F1595" s="4" t="inlineStr">
        <is>
          <t>Graph: Grid BFS/DFS</t>
        </is>
      </c>
      <c r="G1595" s="4" t="inlineStr">
        <is>
          <t>Accepted</t>
        </is>
      </c>
      <c r="H1595" s="4" t="inlineStr">
        <is>
          <t>C++</t>
        </is>
      </c>
      <c r="I1595" s="4" t="inlineStr">
        <is>
          <t>1 ms</t>
        </is>
      </c>
      <c r="J1595" s="4" t="inlineStr">
        <is>
          <t>17.3 MB</t>
        </is>
      </c>
      <c r="K1595" s="4" t="n">
        <v>40.7</v>
      </c>
      <c r="L1595" s="4" t="inlineStr">
        <is>
          <t>307/307</t>
        </is>
      </c>
      <c r="M1595" s="9" t="inlineStr">
        <is>
          <t>Submission 1622478711</t>
        </is>
      </c>
      <c r="N1595" s="4" t="inlineStr">
        <is>
          <t>Yes</t>
        </is>
      </c>
    </row>
    <row r="1596">
      <c r="A1596" s="11" t="n">
        <v>45778.43618055555</v>
      </c>
      <c r="B1596" s="4" t="inlineStr">
        <is>
          <t>2025-05</t>
        </is>
      </c>
      <c r="C1596" s="4" t="n">
        <v>733</v>
      </c>
      <c r="D1596" s="9" t="inlineStr">
        <is>
          <t>Flood Fill</t>
        </is>
      </c>
      <c r="E1596" s="4" t="inlineStr">
        <is>
          <t>Easy</t>
        </is>
      </c>
      <c r="F1596" s="4" t="inlineStr">
        <is>
          <t>Graph: Grid BFS/DFS</t>
        </is>
      </c>
      <c r="G1596" s="4" t="inlineStr">
        <is>
          <t>Accepted</t>
        </is>
      </c>
      <c r="H1596" s="4" t="inlineStr">
        <is>
          <t>C++</t>
        </is>
      </c>
      <c r="I1596" s="4" t="inlineStr">
        <is>
          <t>1 ms</t>
        </is>
      </c>
      <c r="J1596" s="4" t="inlineStr">
        <is>
          <t>18.7 MB</t>
        </is>
      </c>
      <c r="K1596" s="4" t="n">
        <v>28.9</v>
      </c>
      <c r="L1596" s="4" t="inlineStr">
        <is>
          <t>278/278</t>
        </is>
      </c>
      <c r="M1596" s="9" t="inlineStr">
        <is>
          <t>Submission 1622484431</t>
        </is>
      </c>
      <c r="N1596" s="4" t="inlineStr">
        <is>
          <t>Yes</t>
        </is>
      </c>
    </row>
    <row r="1597">
      <c r="A1597" s="11" t="n">
        <v>45822.4777662037</v>
      </c>
      <c r="B1597" s="4" t="inlineStr">
        <is>
          <t>2025-06</t>
        </is>
      </c>
      <c r="C1597" s="4" t="n">
        <v>528</v>
      </c>
      <c r="D1597" s="9" t="inlineStr">
        <is>
          <t>Random Pick with Weight</t>
        </is>
      </c>
      <c r="E1597" s="4" t="inlineStr">
        <is>
          <t>Medium</t>
        </is>
      </c>
      <c r="F1597" s="4" t="inlineStr">
        <is>
          <t>Prefix Sum &amp; Difference Array</t>
        </is>
      </c>
      <c r="G1597" s="4" t="inlineStr">
        <is>
          <t>Wrong Answer</t>
        </is>
      </c>
      <c r="H1597" s="4" t="inlineStr">
        <is>
          <t>C++</t>
        </is>
      </c>
      <c r="I1597" s="4" t="inlineStr">
        <is>
          <t>N/A</t>
        </is>
      </c>
      <c r="J1597" s="4" t="inlineStr">
        <is>
          <t>N/A</t>
        </is>
      </c>
      <c r="K1597" s="4" t="n"/>
      <c r="L1597" s="4" t="inlineStr">
        <is>
          <t>19/57</t>
        </is>
      </c>
      <c r="M1597" s="9" t="inlineStr">
        <is>
          <t>Submission 1663543314</t>
        </is>
      </c>
      <c r="N1597" s="4" t="inlineStr">
        <is>
          <t>Yes</t>
        </is>
      </c>
    </row>
    <row r="1598">
      <c r="A1598" s="11" t="n">
        <v>45822.48493055555</v>
      </c>
      <c r="B1598" s="4" t="inlineStr">
        <is>
          <t>2025-06</t>
        </is>
      </c>
      <c r="C1598" s="4" t="n">
        <v>528</v>
      </c>
      <c r="D1598" s="9" t="inlineStr">
        <is>
          <t>Random Pick with Weight</t>
        </is>
      </c>
      <c r="E1598" s="4" t="inlineStr">
        <is>
          <t>Medium</t>
        </is>
      </c>
      <c r="F1598" s="4" t="inlineStr">
        <is>
          <t>Prefix Sum &amp; Difference Array</t>
        </is>
      </c>
      <c r="G1598" s="4" t="inlineStr">
        <is>
          <t>Accepted</t>
        </is>
      </c>
      <c r="H1598" s="4" t="inlineStr">
        <is>
          <t>C++</t>
        </is>
      </c>
      <c r="I1598" s="4" t="inlineStr">
        <is>
          <t>21 ms</t>
        </is>
      </c>
      <c r="J1598" s="4" t="inlineStr">
        <is>
          <t>47.2 MB</t>
        </is>
      </c>
      <c r="K1598" s="4" t="n">
        <v>40.2</v>
      </c>
      <c r="L1598" s="4" t="inlineStr">
        <is>
          <t>57/57</t>
        </is>
      </c>
      <c r="M1598" s="9" t="inlineStr">
        <is>
          <t>Submission 1663551792</t>
        </is>
      </c>
      <c r="N1598" s="4" t="inlineStr">
        <is>
          <t>Yes</t>
        </is>
      </c>
    </row>
    <row r="1599">
      <c r="A1599" s="11" t="n">
        <v>45822.50766203704</v>
      </c>
      <c r="B1599" s="4" t="inlineStr">
        <is>
          <t>2025-06</t>
        </is>
      </c>
      <c r="C1599" s="4" t="n">
        <v>680</v>
      </c>
      <c r="D1599" s="9" t="inlineStr">
        <is>
          <t>Valid Palindrome II</t>
        </is>
      </c>
      <c r="E1599" s="4" t="inlineStr">
        <is>
          <t>Easy</t>
        </is>
      </c>
      <c r="F1599" s="4" t="inlineStr">
        <is>
          <t>Two Pointers</t>
        </is>
      </c>
      <c r="G1599" s="4" t="inlineStr">
        <is>
          <t>Accepted</t>
        </is>
      </c>
      <c r="H1599" s="4" t="inlineStr">
        <is>
          <t>C++</t>
        </is>
      </c>
      <c r="I1599" s="4" t="inlineStr">
        <is>
          <t>0 ms</t>
        </is>
      </c>
      <c r="J1599" s="4" t="inlineStr">
        <is>
          <t>21.9 MB</t>
        </is>
      </c>
      <c r="K1599" s="4" t="n">
        <v>100</v>
      </c>
      <c r="L1599" s="4" t="inlineStr">
        <is>
          <t>477/477</t>
        </is>
      </c>
      <c r="M1599" s="9" t="inlineStr">
        <is>
          <t>Submission 1663580515</t>
        </is>
      </c>
      <c r="N1599" s="4" t="inlineStr">
        <is>
          <t>Yes</t>
        </is>
      </c>
    </row>
    <row r="1600">
      <c r="A1600" s="11" t="n">
        <v>45822.91240740741</v>
      </c>
      <c r="B1600" s="4" t="inlineStr">
        <is>
          <t>2025-06</t>
        </is>
      </c>
      <c r="C1600" s="4" t="n">
        <v>973</v>
      </c>
      <c r="D1600" s="9" t="inlineStr">
        <is>
          <t>K Closest Points to Origin</t>
        </is>
      </c>
      <c r="E1600" s="4" t="inlineStr">
        <is>
          <t>Medium</t>
        </is>
      </c>
      <c r="F1600" s="4" t="inlineStr">
        <is>
          <t>Heap / Top-K</t>
        </is>
      </c>
      <c r="G1600" s="4" t="inlineStr">
        <is>
          <t>Accepted</t>
        </is>
      </c>
      <c r="H1600" s="4" t="inlineStr">
        <is>
          <t>C++</t>
        </is>
      </c>
      <c r="I1600" s="4" t="inlineStr">
        <is>
          <t>44 ms</t>
        </is>
      </c>
      <c r="J1600" s="4" t="inlineStr">
        <is>
          <t>74.3 MB</t>
        </is>
      </c>
      <c r="K1600" s="4" t="n">
        <v>54.9</v>
      </c>
      <c r="L1600" s="4" t="inlineStr">
        <is>
          <t>87/87</t>
        </is>
      </c>
      <c r="M1600" s="9" t="inlineStr">
        <is>
          <t>Submission 1664025842</t>
        </is>
      </c>
      <c r="N1600" s="4" t="inlineStr">
        <is>
          <t>Yes</t>
        </is>
      </c>
    </row>
    <row r="1601">
      <c r="A1601" s="11" t="n">
        <v>45822.91252314814</v>
      </c>
      <c r="B1601" s="4" t="inlineStr">
        <is>
          <t>2025-06</t>
        </is>
      </c>
      <c r="C1601" s="4" t="n">
        <v>973</v>
      </c>
      <c r="D1601" s="9" t="inlineStr">
        <is>
          <t>K Closest Points to Origin</t>
        </is>
      </c>
      <c r="E1601" s="4" t="inlineStr">
        <is>
          <t>Medium</t>
        </is>
      </c>
      <c r="F1601" s="4" t="inlineStr">
        <is>
          <t>Heap / Top-K</t>
        </is>
      </c>
      <c r="G1601" s="4" t="inlineStr">
        <is>
          <t>Accepted</t>
        </is>
      </c>
      <c r="H1601" s="4" t="inlineStr">
        <is>
          <t>C++</t>
        </is>
      </c>
      <c r="I1601" s="4" t="inlineStr">
        <is>
          <t>44 ms</t>
        </is>
      </c>
      <c r="J1601" s="4" t="inlineStr">
        <is>
          <t>74.4 MB</t>
        </is>
      </c>
      <c r="K1601" s="4" t="n">
        <v>54.9</v>
      </c>
      <c r="L1601" s="4" t="inlineStr">
        <is>
          <t>87/87</t>
        </is>
      </c>
      <c r="M1601" s="9" t="inlineStr">
        <is>
          <t>Submission 1664026000</t>
        </is>
      </c>
      <c r="N1601" s="4" t="inlineStr">
        <is>
          <t>Yes</t>
        </is>
      </c>
    </row>
    <row r="1602">
      <c r="A1602" s="11" t="n">
        <v>45822.91792824074</v>
      </c>
      <c r="B1602" s="4" t="inlineStr">
        <is>
          <t>2025-06</t>
        </is>
      </c>
      <c r="C1602" s="4" t="n">
        <v>129</v>
      </c>
      <c r="D1602" s="9" t="inlineStr">
        <is>
          <t>Sum Root to Leaf Numbers</t>
        </is>
      </c>
      <c r="E1602" s="4" t="inlineStr">
        <is>
          <t>Medium</t>
        </is>
      </c>
      <c r="F1602" s="4" t="inlineStr">
        <is>
          <t>Binary Tree (DFS &amp; Recursion)</t>
        </is>
      </c>
      <c r="G1602" s="4" t="inlineStr">
        <is>
          <t>Accepted</t>
        </is>
      </c>
      <c r="H1602" s="4" t="inlineStr">
        <is>
          <t>C++</t>
        </is>
      </c>
      <c r="I1602" s="4" t="inlineStr">
        <is>
          <t>0 ms</t>
        </is>
      </c>
      <c r="J1602" s="4" t="inlineStr">
        <is>
          <t>12 MB</t>
        </is>
      </c>
      <c r="K1602" s="4" t="n">
        <v>100</v>
      </c>
      <c r="L1602" s="4" t="inlineStr">
        <is>
          <t>108/108</t>
        </is>
      </c>
      <c r="M1602" s="9" t="inlineStr">
        <is>
          <t>Submission 1664032755</t>
        </is>
      </c>
      <c r="N1602" s="4" t="inlineStr">
        <is>
          <t>Yes</t>
        </is>
      </c>
    </row>
    <row r="1603">
      <c r="A1603" s="11" t="n">
        <v>45822.94767361111</v>
      </c>
      <c r="B1603" s="4" t="inlineStr">
        <is>
          <t>2025-06</t>
        </is>
      </c>
      <c r="C1603" s="4" t="n">
        <v>133</v>
      </c>
      <c r="D1603" s="9" t="inlineStr">
        <is>
          <t>Clone Graph</t>
        </is>
      </c>
      <c r="E1603" s="4" t="inlineStr">
        <is>
          <t>Medium</t>
        </is>
      </c>
      <c r="F1603" s="4" t="inlineStr">
        <is>
          <t>Graph: General BFS/DFS</t>
        </is>
      </c>
      <c r="G1603" s="4" t="inlineStr">
        <is>
          <t>Accepted</t>
        </is>
      </c>
      <c r="H1603" s="4" t="inlineStr">
        <is>
          <t>C++</t>
        </is>
      </c>
      <c r="I1603" s="4" t="inlineStr">
        <is>
          <t>2 ms</t>
        </is>
      </c>
      <c r="J1603" s="4" t="inlineStr">
        <is>
          <t>12.5 MB</t>
        </is>
      </c>
      <c r="K1603" s="4" t="n">
        <v>73.5</v>
      </c>
      <c r="L1603" s="4" t="inlineStr">
        <is>
          <t>22/22</t>
        </is>
      </c>
      <c r="M1603" s="9" t="inlineStr">
        <is>
          <t>Submission 1664071397</t>
        </is>
      </c>
      <c r="N1603" s="4" t="inlineStr">
        <is>
          <t>Yes</t>
        </is>
      </c>
    </row>
    <row r="1604">
      <c r="A1604" s="11" t="n">
        <v>45822.95118055555</v>
      </c>
      <c r="B1604" s="4" t="inlineStr">
        <is>
          <t>2025-06</t>
        </is>
      </c>
      <c r="C1604" s="4" t="n">
        <v>133</v>
      </c>
      <c r="D1604" s="9" t="inlineStr">
        <is>
          <t>Clone Graph</t>
        </is>
      </c>
      <c r="E1604" s="4" t="inlineStr">
        <is>
          <t>Medium</t>
        </is>
      </c>
      <c r="F1604" s="4" t="inlineStr">
        <is>
          <t>Graph: General BFS/DFS</t>
        </is>
      </c>
      <c r="G1604" s="4" t="inlineStr">
        <is>
          <t>Accepted</t>
        </is>
      </c>
      <c r="H1604" s="4" t="inlineStr">
        <is>
          <t>C++</t>
        </is>
      </c>
      <c r="I1604" s="4" t="inlineStr">
        <is>
          <t>7 ms</t>
        </is>
      </c>
      <c r="J1604" s="4" t="inlineStr">
        <is>
          <t>12 MB</t>
        </is>
      </c>
      <c r="K1604" s="4" t="n">
        <v>20.8</v>
      </c>
      <c r="L1604" s="4" t="inlineStr">
        <is>
          <t>22/22</t>
        </is>
      </c>
      <c r="M1604" s="9" t="inlineStr">
        <is>
          <t>Submission 1664076025</t>
        </is>
      </c>
      <c r="N1604" s="4" t="inlineStr">
        <is>
          <t>Yes</t>
        </is>
      </c>
    </row>
    <row r="1605">
      <c r="A1605" s="11" t="n">
        <v>45823.00747685185</v>
      </c>
      <c r="B1605" s="4" t="inlineStr">
        <is>
          <t>2025-06</t>
        </is>
      </c>
      <c r="C1605" s="4" t="n">
        <v>50</v>
      </c>
      <c r="D1605" s="9" t="inlineStr">
        <is>
          <t>Pow(x, n)</t>
        </is>
      </c>
      <c r="E1605" s="4" t="inlineStr">
        <is>
          <t>Medium</t>
        </is>
      </c>
      <c r="F1605" s="4" t="inlineStr">
        <is>
          <t>Math &amp; Bit Manipulation</t>
        </is>
      </c>
      <c r="G1605" s="4" t="inlineStr">
        <is>
          <t>Wrong Answer</t>
        </is>
      </c>
      <c r="H1605" s="4" t="inlineStr">
        <is>
          <t>C++</t>
        </is>
      </c>
      <c r="I1605" s="4" t="inlineStr">
        <is>
          <t>N/A</t>
        </is>
      </c>
      <c r="J1605" s="4" t="inlineStr">
        <is>
          <t>N/A</t>
        </is>
      </c>
      <c r="K1605" s="4" t="n"/>
      <c r="L1605" s="4" t="inlineStr">
        <is>
          <t>281/307</t>
        </is>
      </c>
      <c r="M1605" s="9" t="inlineStr">
        <is>
          <t>Submission 1664150999</t>
        </is>
      </c>
      <c r="N1605" s="4" t="inlineStr">
        <is>
          <t>Yes</t>
        </is>
      </c>
    </row>
    <row r="1606">
      <c r="A1606" s="11" t="n">
        <v>45823.00829861111</v>
      </c>
      <c r="B1606" s="4" t="inlineStr">
        <is>
          <t>2025-06</t>
        </is>
      </c>
      <c r="C1606" s="4" t="n">
        <v>50</v>
      </c>
      <c r="D1606" s="9" t="inlineStr">
        <is>
          <t>Pow(x, n)</t>
        </is>
      </c>
      <c r="E1606" s="4" t="inlineStr">
        <is>
          <t>Medium</t>
        </is>
      </c>
      <c r="F1606" s="4" t="inlineStr">
        <is>
          <t>Math &amp; Bit Manipulation</t>
        </is>
      </c>
      <c r="G1606" s="4" t="inlineStr">
        <is>
          <t>Time Limit Exceeded</t>
        </is>
      </c>
      <c r="H1606" s="4" t="inlineStr">
        <is>
          <t>C++</t>
        </is>
      </c>
      <c r="I1606" s="4" t="inlineStr">
        <is>
          <t>N/A</t>
        </is>
      </c>
      <c r="J1606" s="4" t="inlineStr">
        <is>
          <t>N/A</t>
        </is>
      </c>
      <c r="K1606" s="4" t="n"/>
      <c r="L1606" s="4" t="inlineStr">
        <is>
          <t>294/307</t>
        </is>
      </c>
      <c r="M1606" s="9" t="inlineStr">
        <is>
          <t>Submission 1664151958</t>
        </is>
      </c>
      <c r="N1606" s="4" t="inlineStr">
        <is>
          <t>Yes</t>
        </is>
      </c>
    </row>
    <row r="1607">
      <c r="A1607" s="11" t="n">
        <v>45823.01163194444</v>
      </c>
      <c r="B1607" s="4" t="inlineStr">
        <is>
          <t>2025-06</t>
        </is>
      </c>
      <c r="C1607" s="4" t="n">
        <v>50</v>
      </c>
      <c r="D1607" s="9" t="inlineStr">
        <is>
          <t>Pow(x, n)</t>
        </is>
      </c>
      <c r="E1607" s="4" t="inlineStr">
        <is>
          <t>Medium</t>
        </is>
      </c>
      <c r="F1607" s="4" t="inlineStr">
        <is>
          <t>Math &amp; Bit Manipulation</t>
        </is>
      </c>
      <c r="G1607" s="4" t="inlineStr">
        <is>
          <t>Runtime Error</t>
        </is>
      </c>
      <c r="H1607" s="4" t="inlineStr">
        <is>
          <t>C++</t>
        </is>
      </c>
      <c r="I1607" s="4" t="inlineStr">
        <is>
          <t>N/A</t>
        </is>
      </c>
      <c r="J1607" s="4" t="inlineStr">
        <is>
          <t>N/A</t>
        </is>
      </c>
      <c r="K1607" s="4" t="n"/>
      <c r="L1607" s="4" t="inlineStr">
        <is>
          <t>303/307</t>
        </is>
      </c>
      <c r="M1607" s="9" t="inlineStr">
        <is>
          <t>Submission 1664155816</t>
        </is>
      </c>
      <c r="N1607" s="4" t="inlineStr">
        <is>
          <t>Yes</t>
        </is>
      </c>
    </row>
    <row r="1608">
      <c r="A1608" s="11" t="n">
        <v>45823.01283564815</v>
      </c>
      <c r="B1608" s="4" t="inlineStr">
        <is>
          <t>2025-06</t>
        </is>
      </c>
      <c r="C1608" s="4" t="n">
        <v>50</v>
      </c>
      <c r="D1608" s="9" t="inlineStr">
        <is>
          <t>Pow(x, n)</t>
        </is>
      </c>
      <c r="E1608" s="4" t="inlineStr">
        <is>
          <t>Medium</t>
        </is>
      </c>
      <c r="F1608" s="4" t="inlineStr">
        <is>
          <t>Math &amp; Bit Manipulation</t>
        </is>
      </c>
      <c r="G1608" s="4" t="inlineStr">
        <is>
          <t>Accepted</t>
        </is>
      </c>
      <c r="H1608" s="4" t="inlineStr">
        <is>
          <t>C++</t>
        </is>
      </c>
      <c r="I1608" s="4" t="inlineStr">
        <is>
          <t>4 ms</t>
        </is>
      </c>
      <c r="J1608" s="4" t="inlineStr">
        <is>
          <t>9.2 MB</t>
        </is>
      </c>
      <c r="K1608" s="4" t="n">
        <v>1</v>
      </c>
      <c r="L1608" s="4" t="inlineStr">
        <is>
          <t>307/307</t>
        </is>
      </c>
      <c r="M1608" s="9" t="inlineStr">
        <is>
          <t>Submission 1664157190</t>
        </is>
      </c>
      <c r="N1608" s="4" t="inlineStr">
        <is>
          <t>Yes</t>
        </is>
      </c>
    </row>
    <row r="1609">
      <c r="A1609" s="11" t="n">
        <v>45823.03677083334</v>
      </c>
      <c r="B1609" s="4" t="inlineStr">
        <is>
          <t>2025-06</t>
        </is>
      </c>
      <c r="C1609" s="4" t="n">
        <v>50</v>
      </c>
      <c r="D1609" s="9" t="inlineStr">
        <is>
          <t>Pow(x, n)</t>
        </is>
      </c>
      <c r="E1609" s="4" t="inlineStr">
        <is>
          <t>Medium</t>
        </is>
      </c>
      <c r="F1609" s="4" t="inlineStr">
        <is>
          <t>Math &amp; Bit Manipulation</t>
        </is>
      </c>
      <c r="G1609" s="4" t="inlineStr">
        <is>
          <t>Accepted</t>
        </is>
      </c>
      <c r="H1609" s="4" t="inlineStr">
        <is>
          <t>C++</t>
        </is>
      </c>
      <c r="I1609" s="4" t="inlineStr">
        <is>
          <t>0 ms</t>
        </is>
      </c>
      <c r="J1609" s="4" t="inlineStr">
        <is>
          <t>8.5 MB</t>
        </is>
      </c>
      <c r="K1609" s="4" t="n">
        <v>100</v>
      </c>
      <c r="L1609" s="4" t="inlineStr">
        <is>
          <t>307/307</t>
        </is>
      </c>
      <c r="M1609" s="9" t="inlineStr">
        <is>
          <t>Submission 1664181690</t>
        </is>
      </c>
      <c r="N1609" s="4" t="inlineStr">
        <is>
          <t>Yes</t>
        </is>
      </c>
    </row>
    <row r="1610">
      <c r="A1610" s="11" t="n">
        <v>45844.69153935185</v>
      </c>
      <c r="B1610" s="4" t="inlineStr">
        <is>
          <t>2025-07</t>
        </is>
      </c>
      <c r="C1610" s="4" t="n">
        <v>636</v>
      </c>
      <c r="D1610" s="9" t="inlineStr">
        <is>
          <t>Exclusive Time of Functions</t>
        </is>
      </c>
      <c r="E1610" s="4" t="inlineStr">
        <is>
          <t>Medium</t>
        </is>
      </c>
      <c r="F1610" s="4" t="inlineStr">
        <is>
          <t>Stack</t>
        </is>
      </c>
      <c r="G1610" s="4" t="inlineStr">
        <is>
          <t>Accepted</t>
        </is>
      </c>
      <c r="H1610" s="4" t="inlineStr">
        <is>
          <t>C++</t>
        </is>
      </c>
      <c r="I1610" s="4" t="inlineStr">
        <is>
          <t>7 ms</t>
        </is>
      </c>
      <c r="J1610" s="4" t="inlineStr">
        <is>
          <t>17.3 MB</t>
        </is>
      </c>
      <c r="K1610" s="4" t="n">
        <v>37.1</v>
      </c>
      <c r="L1610" s="4" t="inlineStr">
        <is>
          <t>120/120</t>
        </is>
      </c>
      <c r="M1610" s="9" t="inlineStr">
        <is>
          <t>Submission 1688323984</t>
        </is>
      </c>
      <c r="N1610" s="4" t="inlineStr">
        <is>
          <t>Yes</t>
        </is>
      </c>
    </row>
    <row r="1611">
      <c r="A1611" s="11" t="n">
        <v>45845.94193287037</v>
      </c>
      <c r="B1611" s="4" t="inlineStr">
        <is>
          <t>2025-07</t>
        </is>
      </c>
      <c r="C1611" s="4" t="n">
        <v>121</v>
      </c>
      <c r="D1611" s="9" t="inlineStr">
        <is>
          <t>Best Time to Buy and Sell Stock</t>
        </is>
      </c>
      <c r="E1611" s="4" t="inlineStr">
        <is>
          <t>Easy</t>
        </is>
      </c>
      <c r="F1611" s="4" t="inlineStr">
        <is>
          <t>DP: Buy &amp; Sell Stock</t>
        </is>
      </c>
      <c r="G1611" s="4" t="inlineStr">
        <is>
          <t>Accepted</t>
        </is>
      </c>
      <c r="H1611" s="4" t="inlineStr">
        <is>
          <t>C++</t>
        </is>
      </c>
      <c r="I1611" s="4" t="inlineStr">
        <is>
          <t>0 ms</t>
        </is>
      </c>
      <c r="J1611" s="4" t="inlineStr">
        <is>
          <t>97.3 MB</t>
        </is>
      </c>
      <c r="K1611" s="4" t="n">
        <v>100</v>
      </c>
      <c r="L1611" s="4" t="inlineStr">
        <is>
          <t>212/212</t>
        </is>
      </c>
      <c r="M1611" s="9" t="inlineStr">
        <is>
          <t>Submission 1689835363</t>
        </is>
      </c>
      <c r="N1611" s="4" t="inlineStr">
        <is>
          <t>Yes</t>
        </is>
      </c>
    </row>
    <row r="1612">
      <c r="A1612" s="11" t="n">
        <v>45845.96271990741</v>
      </c>
      <c r="B1612" s="4" t="inlineStr">
        <is>
          <t>2025-07</t>
        </is>
      </c>
      <c r="C1612" s="4" t="n">
        <v>56</v>
      </c>
      <c r="D1612" s="9" t="inlineStr">
        <is>
          <t>Merge Intervals</t>
        </is>
      </c>
      <c r="E1612" s="4" t="inlineStr">
        <is>
          <t>Medium</t>
        </is>
      </c>
      <c r="F1612" s="4" t="inlineStr">
        <is>
          <t>Intervals &amp; Sweep Line</t>
        </is>
      </c>
      <c r="G1612" s="4" t="inlineStr">
        <is>
          <t>Accepted</t>
        </is>
      </c>
      <c r="H1612" s="4" t="inlineStr">
        <is>
          <t>C++</t>
        </is>
      </c>
      <c r="I1612" s="4" t="inlineStr">
        <is>
          <t>3 ms</t>
        </is>
      </c>
      <c r="J1612" s="4" t="inlineStr">
        <is>
          <t>23.8 MB</t>
        </is>
      </c>
      <c r="K1612" s="4" t="n">
        <v>90.8</v>
      </c>
      <c r="L1612" s="4" t="inlineStr">
        <is>
          <t>171/171</t>
        </is>
      </c>
      <c r="M1612" s="9" t="inlineStr">
        <is>
          <t>Submission 1689875947</t>
        </is>
      </c>
      <c r="N1612" s="4" t="inlineStr">
        <is>
          <t>Yes</t>
        </is>
      </c>
    </row>
    <row r="1613">
      <c r="A1613" s="11" t="n">
        <v>45845.96380787037</v>
      </c>
      <c r="B1613" s="4" t="inlineStr">
        <is>
          <t>2025-07</t>
        </is>
      </c>
      <c r="C1613" s="4" t="n">
        <v>560</v>
      </c>
      <c r="D1613" s="9" t="inlineStr">
        <is>
          <t>Subarray Sum Equals K</t>
        </is>
      </c>
      <c r="E1613" s="4" t="inlineStr">
        <is>
          <t>Medium</t>
        </is>
      </c>
      <c r="F1613" s="4" t="inlineStr">
        <is>
          <t>Prefix Sum &amp; Difference Array</t>
        </is>
      </c>
      <c r="G1613" s="4" t="inlineStr">
        <is>
          <t>Accepted</t>
        </is>
      </c>
      <c r="H1613" s="4" t="inlineStr">
        <is>
          <t>C++</t>
        </is>
      </c>
      <c r="I1613" s="4" t="inlineStr">
        <is>
          <t>33 ms</t>
        </is>
      </c>
      <c r="J1613" s="4" t="inlineStr">
        <is>
          <t>45.6 MB</t>
        </is>
      </c>
      <c r="K1613" s="4" t="n">
        <v>90.5</v>
      </c>
      <c r="L1613" s="4" t="inlineStr">
        <is>
          <t>93/93</t>
        </is>
      </c>
      <c r="M1613" s="9" t="inlineStr">
        <is>
          <t>Submission 1689878099</t>
        </is>
      </c>
      <c r="N1613" s="4" t="inlineStr">
        <is>
          <t>Yes</t>
        </is>
      </c>
    </row>
    <row r="1614">
      <c r="A1614" s="11" t="n">
        <v>45845.96396990741</v>
      </c>
      <c r="B1614" s="4" t="inlineStr">
        <is>
          <t>2025-07</t>
        </is>
      </c>
      <c r="C1614" s="4" t="n">
        <v>121</v>
      </c>
      <c r="D1614" s="9" t="inlineStr">
        <is>
          <t>Best Time to Buy and Sell Stock</t>
        </is>
      </c>
      <c r="E1614" s="4" t="inlineStr">
        <is>
          <t>Easy</t>
        </is>
      </c>
      <c r="F1614" s="4" t="inlineStr">
        <is>
          <t>DP: Buy &amp; Sell Stock</t>
        </is>
      </c>
      <c r="G1614" s="4" t="inlineStr">
        <is>
          <t>Accepted</t>
        </is>
      </c>
      <c r="H1614" s="4" t="inlineStr">
        <is>
          <t>C++</t>
        </is>
      </c>
      <c r="I1614" s="4" t="inlineStr">
        <is>
          <t>4 ms</t>
        </is>
      </c>
      <c r="J1614" s="4" t="inlineStr">
        <is>
          <t>97.4 MB</t>
        </is>
      </c>
      <c r="K1614" s="4" t="n">
        <v>17</v>
      </c>
      <c r="L1614" s="4" t="inlineStr">
        <is>
          <t>212/212</t>
        </is>
      </c>
      <c r="M1614" s="9" t="inlineStr">
        <is>
          <t>Submission 1689878369</t>
        </is>
      </c>
      <c r="N1614" s="4" t="inlineStr">
        <is>
          <t>Yes</t>
        </is>
      </c>
    </row>
    <row r="1615">
      <c r="A1615" s="11" t="n">
        <v>45846.68546296296</v>
      </c>
      <c r="B1615" s="4" t="inlineStr">
        <is>
          <t>2025-07</t>
        </is>
      </c>
      <c r="C1615" s="4" t="n">
        <v>1539</v>
      </c>
      <c r="D1615" s="9" t="inlineStr">
        <is>
          <t>Kth Missing Positive Number</t>
        </is>
      </c>
      <c r="E1615" s="4" t="inlineStr">
        <is>
          <t>Easy</t>
        </is>
      </c>
      <c r="F1615" s="4" t="inlineStr">
        <is>
          <t>Binary Search</t>
        </is>
      </c>
      <c r="G1615" s="4" t="inlineStr">
        <is>
          <t>Accepted</t>
        </is>
      </c>
      <c r="H1615" s="4" t="inlineStr">
        <is>
          <t>C++</t>
        </is>
      </c>
      <c r="I1615" s="4" t="inlineStr">
        <is>
          <t>0 ms</t>
        </is>
      </c>
      <c r="J1615" s="4" t="inlineStr">
        <is>
          <t>13.1 MB</t>
        </is>
      </c>
      <c r="K1615" s="4" t="n">
        <v>100</v>
      </c>
      <c r="L1615" s="4" t="inlineStr">
        <is>
          <t>87/87</t>
        </is>
      </c>
      <c r="M1615" s="9" t="inlineStr">
        <is>
          <t>Submission 1690679643</t>
        </is>
      </c>
      <c r="N1615" s="4" t="inlineStr">
        <is>
          <t>No</t>
        </is>
      </c>
    </row>
    <row r="1616">
      <c r="A1616" s="11" t="n">
        <v>45854.50297453703</v>
      </c>
      <c r="B1616" s="4" t="inlineStr">
        <is>
          <t>2025-07</t>
        </is>
      </c>
      <c r="C1616" s="4" t="n">
        <v>938</v>
      </c>
      <c r="D1616" s="9" t="inlineStr">
        <is>
          <t>Range Sum of BST</t>
        </is>
      </c>
      <c r="E1616" s="4" t="inlineStr">
        <is>
          <t>Easy</t>
        </is>
      </c>
      <c r="F1616" s="4" t="inlineStr">
        <is>
          <t>Binary Search Tree</t>
        </is>
      </c>
      <c r="G1616" s="4" t="inlineStr">
        <is>
          <t>Accepted</t>
        </is>
      </c>
      <c r="H1616" s="4" t="inlineStr">
        <is>
          <t>C++</t>
        </is>
      </c>
      <c r="I1616" s="4" t="inlineStr">
        <is>
          <t>0 ms</t>
        </is>
      </c>
      <c r="J1616" s="4" t="inlineStr">
        <is>
          <t>65 MB</t>
        </is>
      </c>
      <c r="K1616" s="4" t="n">
        <v>100</v>
      </c>
      <c r="L1616" s="4" t="inlineStr">
        <is>
          <t>41/41</t>
        </is>
      </c>
      <c r="M1616" s="9" t="inlineStr">
        <is>
          <t>Submission 1699707053</t>
        </is>
      </c>
      <c r="N1616" s="4" t="inlineStr">
        <is>
          <t>Yes</t>
        </is>
      </c>
    </row>
    <row r="1617">
      <c r="A1617" s="11" t="n">
        <v>45854.51737268519</v>
      </c>
      <c r="B1617" s="4" t="inlineStr">
        <is>
          <t>2025-07</t>
        </is>
      </c>
      <c r="C1617" s="4" t="n">
        <v>1249</v>
      </c>
      <c r="D1617" s="9" t="inlineStr">
        <is>
          <t>Minimum Remove to Make Valid Parentheses</t>
        </is>
      </c>
      <c r="E1617" s="4" t="inlineStr">
        <is>
          <t>Medium</t>
        </is>
      </c>
      <c r="F1617" s="4" t="inlineStr">
        <is>
          <t>Stack</t>
        </is>
      </c>
      <c r="G1617" s="4" t="inlineStr">
        <is>
          <t>Wrong Answer</t>
        </is>
      </c>
      <c r="H1617" s="4" t="inlineStr">
        <is>
          <t>C++</t>
        </is>
      </c>
      <c r="I1617" s="4" t="inlineStr">
        <is>
          <t>N/A</t>
        </is>
      </c>
      <c r="J1617" s="4" t="inlineStr">
        <is>
          <t>N/A</t>
        </is>
      </c>
      <c r="K1617" s="4" t="n"/>
      <c r="L1617" s="4" t="inlineStr">
        <is>
          <t>40/62</t>
        </is>
      </c>
      <c r="M1617" s="9" t="inlineStr">
        <is>
          <t>Submission 1699730806</t>
        </is>
      </c>
      <c r="N1617" s="4" t="inlineStr">
        <is>
          <t>No</t>
        </is>
      </c>
    </row>
    <row r="1618">
      <c r="A1618" s="11" t="n">
        <v>45854.51822916666</v>
      </c>
      <c r="B1618" s="4" t="inlineStr">
        <is>
          <t>2025-07</t>
        </is>
      </c>
      <c r="C1618" s="4" t="n">
        <v>1249</v>
      </c>
      <c r="D1618" s="9" t="inlineStr">
        <is>
          <t>Minimum Remove to Make Valid Parentheses</t>
        </is>
      </c>
      <c r="E1618" s="4" t="inlineStr">
        <is>
          <t>Medium</t>
        </is>
      </c>
      <c r="F1618" s="4" t="inlineStr">
        <is>
          <t>Stack</t>
        </is>
      </c>
      <c r="G1618" s="4" t="inlineStr">
        <is>
          <t>Accepted</t>
        </is>
      </c>
      <c r="H1618" s="4" t="inlineStr">
        <is>
          <t>C++</t>
        </is>
      </c>
      <c r="I1618" s="4" t="inlineStr">
        <is>
          <t>5 ms</t>
        </is>
      </c>
      <c r="J1618" s="4" t="inlineStr">
        <is>
          <t>14.4 MB</t>
        </is>
      </c>
      <c r="K1618" s="4" t="n">
        <v>77.5</v>
      </c>
      <c r="L1618" s="4" t="inlineStr">
        <is>
          <t>62/62</t>
        </is>
      </c>
      <c r="M1618" s="9" t="inlineStr">
        <is>
          <t>Submission 1699732158</t>
        </is>
      </c>
      <c r="N1618" s="4" t="inlineStr">
        <is>
          <t>No</t>
        </is>
      </c>
    </row>
    <row r="1619">
      <c r="A1619" s="11" t="n">
        <v>45857.61243055556</v>
      </c>
      <c r="B1619" s="4" t="inlineStr">
        <is>
          <t>2025-07</t>
        </is>
      </c>
      <c r="C1619" s="4" t="n">
        <v>173</v>
      </c>
      <c r="D1619" s="9" t="inlineStr">
        <is>
          <t>Binary Search Tree Iterator</t>
        </is>
      </c>
      <c r="E1619" s="4" t="inlineStr">
        <is>
          <t>Medium</t>
        </is>
      </c>
      <c r="F1619" s="4" t="inlineStr">
        <is>
          <t>Binary Search Tree</t>
        </is>
      </c>
      <c r="G1619" s="4" t="inlineStr">
        <is>
          <t>Accepted</t>
        </is>
      </c>
      <c r="H1619" s="4" t="inlineStr">
        <is>
          <t>C++</t>
        </is>
      </c>
      <c r="I1619" s="4" t="inlineStr">
        <is>
          <t>4 ms</t>
        </is>
      </c>
      <c r="J1619" s="4" t="inlineStr">
        <is>
          <t>31.8 MB</t>
        </is>
      </c>
      <c r="K1619" s="4" t="n">
        <v>59.7</v>
      </c>
      <c r="L1619" s="4" t="inlineStr">
        <is>
          <t>61/61</t>
        </is>
      </c>
      <c r="M1619" s="9" t="inlineStr">
        <is>
          <t>Submission 1703293806</t>
        </is>
      </c>
      <c r="N1619" s="4" t="inlineStr">
        <is>
          <t>No</t>
        </is>
      </c>
    </row>
    <row r="1620">
      <c r="A1620" s="11" t="n">
        <v>46191.43072916667</v>
      </c>
      <c r="B1620" s="4" t="inlineStr">
        <is>
          <t>2026-06</t>
        </is>
      </c>
      <c r="C1620" s="4" t="n">
        <v>99</v>
      </c>
      <c r="D1620" s="9" t="inlineStr">
        <is>
          <t>Recover Binary Search Tree</t>
        </is>
      </c>
      <c r="E1620" s="4" t="inlineStr">
        <is>
          <t>Medium</t>
        </is>
      </c>
      <c r="F1620" s="4" t="inlineStr">
        <is>
          <t>Binary Search Tree</t>
        </is>
      </c>
      <c r="G1620" s="4" t="inlineStr">
        <is>
          <t>Accepted</t>
        </is>
      </c>
      <c r="H1620" s="4" t="inlineStr">
        <is>
          <t>C++</t>
        </is>
      </c>
      <c r="I1620" s="4" t="inlineStr">
        <is>
          <t>2 ms</t>
        </is>
      </c>
      <c r="J1620" s="4" t="inlineStr">
        <is>
          <t>60.9 MB</t>
        </is>
      </c>
      <c r="K1620" s="4" t="n">
        <v>23.9</v>
      </c>
      <c r="L1620" s="4" t="inlineStr">
        <is>
          <t>1919/1919</t>
        </is>
      </c>
      <c r="M1620" s="9" t="inlineStr">
        <is>
          <t>Submission 2037054274</t>
        </is>
      </c>
      <c r="N1620" s="4" t="inlineStr">
        <is>
          <t>No</t>
        </is>
      </c>
    </row>
    <row r="1621">
      <c r="A1621" s="11" t="n">
        <v>46299.42820601852</v>
      </c>
      <c r="B1621" s="4" t="inlineStr">
        <is>
          <t>2026-10</t>
        </is>
      </c>
      <c r="C1621" s="4" t="n">
        <v>234</v>
      </c>
      <c r="D1621" s="9" t="inlineStr">
        <is>
          <t>Palindrome Linked List</t>
        </is>
      </c>
      <c r="E1621" s="4" t="inlineStr">
        <is>
          <t>Easy</t>
        </is>
      </c>
      <c r="F1621" s="4" t="inlineStr">
        <is>
          <t>Linked List</t>
        </is>
      </c>
      <c r="G1621" s="4" t="inlineStr">
        <is>
          <t>Accepted</t>
        </is>
      </c>
      <c r="H1621" s="4" t="inlineStr">
        <is>
          <t>C++</t>
        </is>
      </c>
      <c r="I1621" s="4" t="inlineStr">
        <is>
          <t>4 ms</t>
        </is>
      </c>
      <c r="J1621" s="4" t="inlineStr">
        <is>
          <t>121.9 MB</t>
        </is>
      </c>
      <c r="K1621" s="4" t="n">
        <v>48.9</v>
      </c>
      <c r="L1621" s="4" t="inlineStr">
        <is>
          <t>93/93</t>
        </is>
      </c>
      <c r="M1621" s="9" t="inlineStr">
        <is>
          <t>Submission 2161729892</t>
        </is>
      </c>
      <c r="N1621" s="4" t="inlineStr">
        <is>
          <t>No</t>
        </is>
      </c>
    </row>
  </sheetData>
  <conditionalFormatting sqref="G2:G1621">
    <cfRule type="cellIs" priority="1" operator="equal" dxfId="0">
      <formula>"Accepted"</formula>
    </cfRule>
    <cfRule type="cellIs" priority="2" operator="notEqual" dxfId="1">
      <formula>"Accepted"</formula>
    </cfRule>
  </conditionalFormatting>
  <hyperlinks>
    <hyperlink xmlns:r="http://schemas.openxmlformats.org/officeDocument/2006/relationships" ref="D2" r:id="rId1"/>
    <hyperlink xmlns:r="http://schemas.openxmlformats.org/officeDocument/2006/relationships" ref="M2" r:id="rId2"/>
    <hyperlink xmlns:r="http://schemas.openxmlformats.org/officeDocument/2006/relationships" ref="D3" r:id="rId3"/>
    <hyperlink xmlns:r="http://schemas.openxmlformats.org/officeDocument/2006/relationships" ref="M3" r:id="rId4"/>
    <hyperlink xmlns:r="http://schemas.openxmlformats.org/officeDocument/2006/relationships" ref="D4" r:id="rId5"/>
    <hyperlink xmlns:r="http://schemas.openxmlformats.org/officeDocument/2006/relationships" ref="M4" r:id="rId6"/>
    <hyperlink xmlns:r="http://schemas.openxmlformats.org/officeDocument/2006/relationships" ref="D5" r:id="rId7"/>
    <hyperlink xmlns:r="http://schemas.openxmlformats.org/officeDocument/2006/relationships" ref="M5" r:id="rId8"/>
    <hyperlink xmlns:r="http://schemas.openxmlformats.org/officeDocument/2006/relationships" ref="D6" r:id="rId9"/>
    <hyperlink xmlns:r="http://schemas.openxmlformats.org/officeDocument/2006/relationships" ref="M6" r:id="rId10"/>
    <hyperlink xmlns:r="http://schemas.openxmlformats.org/officeDocument/2006/relationships" ref="D7" r:id="rId11"/>
    <hyperlink xmlns:r="http://schemas.openxmlformats.org/officeDocument/2006/relationships" ref="M7" r:id="rId12"/>
    <hyperlink xmlns:r="http://schemas.openxmlformats.org/officeDocument/2006/relationships" ref="D8" r:id="rId13"/>
    <hyperlink xmlns:r="http://schemas.openxmlformats.org/officeDocument/2006/relationships" ref="M8" r:id="rId14"/>
    <hyperlink xmlns:r="http://schemas.openxmlformats.org/officeDocument/2006/relationships" ref="D9" r:id="rId15"/>
    <hyperlink xmlns:r="http://schemas.openxmlformats.org/officeDocument/2006/relationships" ref="M9" r:id="rId16"/>
    <hyperlink xmlns:r="http://schemas.openxmlformats.org/officeDocument/2006/relationships" ref="D10" r:id="rId17"/>
    <hyperlink xmlns:r="http://schemas.openxmlformats.org/officeDocument/2006/relationships" ref="M10" r:id="rId18"/>
    <hyperlink xmlns:r="http://schemas.openxmlformats.org/officeDocument/2006/relationships" ref="D11" r:id="rId19"/>
    <hyperlink xmlns:r="http://schemas.openxmlformats.org/officeDocument/2006/relationships" ref="M11" r:id="rId20"/>
    <hyperlink xmlns:r="http://schemas.openxmlformats.org/officeDocument/2006/relationships" ref="D12" r:id="rId21"/>
    <hyperlink xmlns:r="http://schemas.openxmlformats.org/officeDocument/2006/relationships" ref="M12" r:id="rId22"/>
    <hyperlink xmlns:r="http://schemas.openxmlformats.org/officeDocument/2006/relationships" ref="D13" r:id="rId23"/>
    <hyperlink xmlns:r="http://schemas.openxmlformats.org/officeDocument/2006/relationships" ref="M13" r:id="rId24"/>
    <hyperlink xmlns:r="http://schemas.openxmlformats.org/officeDocument/2006/relationships" ref="D14" r:id="rId25"/>
    <hyperlink xmlns:r="http://schemas.openxmlformats.org/officeDocument/2006/relationships" ref="M14" r:id="rId26"/>
    <hyperlink xmlns:r="http://schemas.openxmlformats.org/officeDocument/2006/relationships" ref="D15" r:id="rId27"/>
    <hyperlink xmlns:r="http://schemas.openxmlformats.org/officeDocument/2006/relationships" ref="M15" r:id="rId28"/>
    <hyperlink xmlns:r="http://schemas.openxmlformats.org/officeDocument/2006/relationships" ref="D16" r:id="rId29"/>
    <hyperlink xmlns:r="http://schemas.openxmlformats.org/officeDocument/2006/relationships" ref="M16" r:id="rId30"/>
    <hyperlink xmlns:r="http://schemas.openxmlformats.org/officeDocument/2006/relationships" ref="D17" r:id="rId31"/>
    <hyperlink xmlns:r="http://schemas.openxmlformats.org/officeDocument/2006/relationships" ref="M17" r:id="rId32"/>
    <hyperlink xmlns:r="http://schemas.openxmlformats.org/officeDocument/2006/relationships" ref="D18" r:id="rId33"/>
    <hyperlink xmlns:r="http://schemas.openxmlformats.org/officeDocument/2006/relationships" ref="M18" r:id="rId34"/>
    <hyperlink xmlns:r="http://schemas.openxmlformats.org/officeDocument/2006/relationships" ref="D19" r:id="rId35"/>
    <hyperlink xmlns:r="http://schemas.openxmlformats.org/officeDocument/2006/relationships" ref="M19" r:id="rId36"/>
    <hyperlink xmlns:r="http://schemas.openxmlformats.org/officeDocument/2006/relationships" ref="D20" r:id="rId37"/>
    <hyperlink xmlns:r="http://schemas.openxmlformats.org/officeDocument/2006/relationships" ref="M20" r:id="rId38"/>
    <hyperlink xmlns:r="http://schemas.openxmlformats.org/officeDocument/2006/relationships" ref="D21" r:id="rId39"/>
    <hyperlink xmlns:r="http://schemas.openxmlformats.org/officeDocument/2006/relationships" ref="M21" r:id="rId40"/>
    <hyperlink xmlns:r="http://schemas.openxmlformats.org/officeDocument/2006/relationships" ref="D22" r:id="rId41"/>
    <hyperlink xmlns:r="http://schemas.openxmlformats.org/officeDocument/2006/relationships" ref="M22" r:id="rId42"/>
    <hyperlink xmlns:r="http://schemas.openxmlformats.org/officeDocument/2006/relationships" ref="D23" r:id="rId43"/>
    <hyperlink xmlns:r="http://schemas.openxmlformats.org/officeDocument/2006/relationships" ref="M23" r:id="rId44"/>
    <hyperlink xmlns:r="http://schemas.openxmlformats.org/officeDocument/2006/relationships" ref="D24" r:id="rId45"/>
    <hyperlink xmlns:r="http://schemas.openxmlformats.org/officeDocument/2006/relationships" ref="M24" r:id="rId46"/>
    <hyperlink xmlns:r="http://schemas.openxmlformats.org/officeDocument/2006/relationships" ref="D25" r:id="rId47"/>
    <hyperlink xmlns:r="http://schemas.openxmlformats.org/officeDocument/2006/relationships" ref="M25" r:id="rId48"/>
    <hyperlink xmlns:r="http://schemas.openxmlformats.org/officeDocument/2006/relationships" ref="D26" r:id="rId49"/>
    <hyperlink xmlns:r="http://schemas.openxmlformats.org/officeDocument/2006/relationships" ref="M26" r:id="rId50"/>
    <hyperlink xmlns:r="http://schemas.openxmlformats.org/officeDocument/2006/relationships" ref="D27" r:id="rId51"/>
    <hyperlink xmlns:r="http://schemas.openxmlformats.org/officeDocument/2006/relationships" ref="M27" r:id="rId52"/>
    <hyperlink xmlns:r="http://schemas.openxmlformats.org/officeDocument/2006/relationships" ref="D28" r:id="rId53"/>
    <hyperlink xmlns:r="http://schemas.openxmlformats.org/officeDocument/2006/relationships" ref="M28" r:id="rId54"/>
    <hyperlink xmlns:r="http://schemas.openxmlformats.org/officeDocument/2006/relationships" ref="D29" r:id="rId55"/>
    <hyperlink xmlns:r="http://schemas.openxmlformats.org/officeDocument/2006/relationships" ref="M29" r:id="rId56"/>
    <hyperlink xmlns:r="http://schemas.openxmlformats.org/officeDocument/2006/relationships" ref="D30" r:id="rId57"/>
    <hyperlink xmlns:r="http://schemas.openxmlformats.org/officeDocument/2006/relationships" ref="M30" r:id="rId58"/>
    <hyperlink xmlns:r="http://schemas.openxmlformats.org/officeDocument/2006/relationships" ref="D31" r:id="rId59"/>
    <hyperlink xmlns:r="http://schemas.openxmlformats.org/officeDocument/2006/relationships" ref="M31" r:id="rId60"/>
    <hyperlink xmlns:r="http://schemas.openxmlformats.org/officeDocument/2006/relationships" ref="D32" r:id="rId61"/>
    <hyperlink xmlns:r="http://schemas.openxmlformats.org/officeDocument/2006/relationships" ref="M32" r:id="rId62"/>
    <hyperlink xmlns:r="http://schemas.openxmlformats.org/officeDocument/2006/relationships" ref="D33" r:id="rId63"/>
    <hyperlink xmlns:r="http://schemas.openxmlformats.org/officeDocument/2006/relationships" ref="M33" r:id="rId64"/>
    <hyperlink xmlns:r="http://schemas.openxmlformats.org/officeDocument/2006/relationships" ref="D34" r:id="rId65"/>
    <hyperlink xmlns:r="http://schemas.openxmlformats.org/officeDocument/2006/relationships" ref="M34" r:id="rId66"/>
    <hyperlink xmlns:r="http://schemas.openxmlformats.org/officeDocument/2006/relationships" ref="D35" r:id="rId67"/>
    <hyperlink xmlns:r="http://schemas.openxmlformats.org/officeDocument/2006/relationships" ref="M35" r:id="rId68"/>
    <hyperlink xmlns:r="http://schemas.openxmlformats.org/officeDocument/2006/relationships" ref="D36" r:id="rId69"/>
    <hyperlink xmlns:r="http://schemas.openxmlformats.org/officeDocument/2006/relationships" ref="M36" r:id="rId70"/>
    <hyperlink xmlns:r="http://schemas.openxmlformats.org/officeDocument/2006/relationships" ref="D37" r:id="rId71"/>
    <hyperlink xmlns:r="http://schemas.openxmlformats.org/officeDocument/2006/relationships" ref="M37" r:id="rId72"/>
    <hyperlink xmlns:r="http://schemas.openxmlformats.org/officeDocument/2006/relationships" ref="D38" r:id="rId73"/>
    <hyperlink xmlns:r="http://schemas.openxmlformats.org/officeDocument/2006/relationships" ref="M38" r:id="rId74"/>
    <hyperlink xmlns:r="http://schemas.openxmlformats.org/officeDocument/2006/relationships" ref="D39" r:id="rId75"/>
    <hyperlink xmlns:r="http://schemas.openxmlformats.org/officeDocument/2006/relationships" ref="M39" r:id="rId76"/>
    <hyperlink xmlns:r="http://schemas.openxmlformats.org/officeDocument/2006/relationships" ref="D40" r:id="rId77"/>
    <hyperlink xmlns:r="http://schemas.openxmlformats.org/officeDocument/2006/relationships" ref="M40" r:id="rId78"/>
    <hyperlink xmlns:r="http://schemas.openxmlformats.org/officeDocument/2006/relationships" ref="D41" r:id="rId79"/>
    <hyperlink xmlns:r="http://schemas.openxmlformats.org/officeDocument/2006/relationships" ref="M41" r:id="rId80"/>
    <hyperlink xmlns:r="http://schemas.openxmlformats.org/officeDocument/2006/relationships" ref="D42" r:id="rId81"/>
    <hyperlink xmlns:r="http://schemas.openxmlformats.org/officeDocument/2006/relationships" ref="M42" r:id="rId82"/>
    <hyperlink xmlns:r="http://schemas.openxmlformats.org/officeDocument/2006/relationships" ref="D43" r:id="rId83"/>
    <hyperlink xmlns:r="http://schemas.openxmlformats.org/officeDocument/2006/relationships" ref="M43" r:id="rId84"/>
    <hyperlink xmlns:r="http://schemas.openxmlformats.org/officeDocument/2006/relationships" ref="D44" r:id="rId85"/>
    <hyperlink xmlns:r="http://schemas.openxmlformats.org/officeDocument/2006/relationships" ref="M44" r:id="rId86"/>
    <hyperlink xmlns:r="http://schemas.openxmlformats.org/officeDocument/2006/relationships" ref="D45" r:id="rId87"/>
    <hyperlink xmlns:r="http://schemas.openxmlformats.org/officeDocument/2006/relationships" ref="M45" r:id="rId88"/>
    <hyperlink xmlns:r="http://schemas.openxmlformats.org/officeDocument/2006/relationships" ref="D46" r:id="rId89"/>
    <hyperlink xmlns:r="http://schemas.openxmlformats.org/officeDocument/2006/relationships" ref="M46" r:id="rId90"/>
    <hyperlink xmlns:r="http://schemas.openxmlformats.org/officeDocument/2006/relationships" ref="D47" r:id="rId91"/>
    <hyperlink xmlns:r="http://schemas.openxmlformats.org/officeDocument/2006/relationships" ref="M47" r:id="rId92"/>
    <hyperlink xmlns:r="http://schemas.openxmlformats.org/officeDocument/2006/relationships" ref="D48" r:id="rId93"/>
    <hyperlink xmlns:r="http://schemas.openxmlformats.org/officeDocument/2006/relationships" ref="M48" r:id="rId94"/>
    <hyperlink xmlns:r="http://schemas.openxmlformats.org/officeDocument/2006/relationships" ref="D49" r:id="rId95"/>
    <hyperlink xmlns:r="http://schemas.openxmlformats.org/officeDocument/2006/relationships" ref="M49" r:id="rId96"/>
    <hyperlink xmlns:r="http://schemas.openxmlformats.org/officeDocument/2006/relationships" ref="D50" r:id="rId97"/>
    <hyperlink xmlns:r="http://schemas.openxmlformats.org/officeDocument/2006/relationships" ref="M50" r:id="rId98"/>
    <hyperlink xmlns:r="http://schemas.openxmlformats.org/officeDocument/2006/relationships" ref="D51" r:id="rId99"/>
    <hyperlink xmlns:r="http://schemas.openxmlformats.org/officeDocument/2006/relationships" ref="M51" r:id="rId100"/>
    <hyperlink xmlns:r="http://schemas.openxmlformats.org/officeDocument/2006/relationships" ref="D52" r:id="rId101"/>
    <hyperlink xmlns:r="http://schemas.openxmlformats.org/officeDocument/2006/relationships" ref="M52" r:id="rId102"/>
    <hyperlink xmlns:r="http://schemas.openxmlformats.org/officeDocument/2006/relationships" ref="D53" r:id="rId103"/>
    <hyperlink xmlns:r="http://schemas.openxmlformats.org/officeDocument/2006/relationships" ref="M53" r:id="rId104"/>
    <hyperlink xmlns:r="http://schemas.openxmlformats.org/officeDocument/2006/relationships" ref="D54" r:id="rId105"/>
    <hyperlink xmlns:r="http://schemas.openxmlformats.org/officeDocument/2006/relationships" ref="M54" r:id="rId106"/>
    <hyperlink xmlns:r="http://schemas.openxmlformats.org/officeDocument/2006/relationships" ref="D55" r:id="rId107"/>
    <hyperlink xmlns:r="http://schemas.openxmlformats.org/officeDocument/2006/relationships" ref="M55" r:id="rId108"/>
    <hyperlink xmlns:r="http://schemas.openxmlformats.org/officeDocument/2006/relationships" ref="D56" r:id="rId109"/>
    <hyperlink xmlns:r="http://schemas.openxmlformats.org/officeDocument/2006/relationships" ref="M56" r:id="rId110"/>
    <hyperlink xmlns:r="http://schemas.openxmlformats.org/officeDocument/2006/relationships" ref="D57" r:id="rId111"/>
    <hyperlink xmlns:r="http://schemas.openxmlformats.org/officeDocument/2006/relationships" ref="M57" r:id="rId112"/>
    <hyperlink xmlns:r="http://schemas.openxmlformats.org/officeDocument/2006/relationships" ref="D58" r:id="rId113"/>
    <hyperlink xmlns:r="http://schemas.openxmlformats.org/officeDocument/2006/relationships" ref="M58" r:id="rId114"/>
    <hyperlink xmlns:r="http://schemas.openxmlformats.org/officeDocument/2006/relationships" ref="D59" r:id="rId115"/>
    <hyperlink xmlns:r="http://schemas.openxmlformats.org/officeDocument/2006/relationships" ref="M59" r:id="rId116"/>
    <hyperlink xmlns:r="http://schemas.openxmlformats.org/officeDocument/2006/relationships" ref="D60" r:id="rId117"/>
    <hyperlink xmlns:r="http://schemas.openxmlformats.org/officeDocument/2006/relationships" ref="M60" r:id="rId118"/>
    <hyperlink xmlns:r="http://schemas.openxmlformats.org/officeDocument/2006/relationships" ref="D61" r:id="rId119"/>
    <hyperlink xmlns:r="http://schemas.openxmlformats.org/officeDocument/2006/relationships" ref="M61" r:id="rId120"/>
    <hyperlink xmlns:r="http://schemas.openxmlformats.org/officeDocument/2006/relationships" ref="D62" r:id="rId121"/>
    <hyperlink xmlns:r="http://schemas.openxmlformats.org/officeDocument/2006/relationships" ref="M62" r:id="rId122"/>
    <hyperlink xmlns:r="http://schemas.openxmlformats.org/officeDocument/2006/relationships" ref="D63" r:id="rId123"/>
    <hyperlink xmlns:r="http://schemas.openxmlformats.org/officeDocument/2006/relationships" ref="M63" r:id="rId124"/>
    <hyperlink xmlns:r="http://schemas.openxmlformats.org/officeDocument/2006/relationships" ref="D64" r:id="rId125"/>
    <hyperlink xmlns:r="http://schemas.openxmlformats.org/officeDocument/2006/relationships" ref="M64" r:id="rId126"/>
    <hyperlink xmlns:r="http://schemas.openxmlformats.org/officeDocument/2006/relationships" ref="D65" r:id="rId127"/>
    <hyperlink xmlns:r="http://schemas.openxmlformats.org/officeDocument/2006/relationships" ref="M65" r:id="rId128"/>
    <hyperlink xmlns:r="http://schemas.openxmlformats.org/officeDocument/2006/relationships" ref="D66" r:id="rId129"/>
    <hyperlink xmlns:r="http://schemas.openxmlformats.org/officeDocument/2006/relationships" ref="M66" r:id="rId130"/>
    <hyperlink xmlns:r="http://schemas.openxmlformats.org/officeDocument/2006/relationships" ref="D67" r:id="rId131"/>
    <hyperlink xmlns:r="http://schemas.openxmlformats.org/officeDocument/2006/relationships" ref="M67" r:id="rId132"/>
    <hyperlink xmlns:r="http://schemas.openxmlformats.org/officeDocument/2006/relationships" ref="D68" r:id="rId133"/>
    <hyperlink xmlns:r="http://schemas.openxmlformats.org/officeDocument/2006/relationships" ref="M68" r:id="rId134"/>
    <hyperlink xmlns:r="http://schemas.openxmlformats.org/officeDocument/2006/relationships" ref="D69" r:id="rId135"/>
    <hyperlink xmlns:r="http://schemas.openxmlformats.org/officeDocument/2006/relationships" ref="M69" r:id="rId136"/>
    <hyperlink xmlns:r="http://schemas.openxmlformats.org/officeDocument/2006/relationships" ref="D70" r:id="rId137"/>
    <hyperlink xmlns:r="http://schemas.openxmlformats.org/officeDocument/2006/relationships" ref="M70" r:id="rId138"/>
    <hyperlink xmlns:r="http://schemas.openxmlformats.org/officeDocument/2006/relationships" ref="D71" r:id="rId139"/>
    <hyperlink xmlns:r="http://schemas.openxmlformats.org/officeDocument/2006/relationships" ref="M71" r:id="rId140"/>
    <hyperlink xmlns:r="http://schemas.openxmlformats.org/officeDocument/2006/relationships" ref="D72" r:id="rId141"/>
    <hyperlink xmlns:r="http://schemas.openxmlformats.org/officeDocument/2006/relationships" ref="M72" r:id="rId142"/>
    <hyperlink xmlns:r="http://schemas.openxmlformats.org/officeDocument/2006/relationships" ref="D73" r:id="rId143"/>
    <hyperlink xmlns:r="http://schemas.openxmlformats.org/officeDocument/2006/relationships" ref="M73" r:id="rId144"/>
    <hyperlink xmlns:r="http://schemas.openxmlformats.org/officeDocument/2006/relationships" ref="D74" r:id="rId145"/>
    <hyperlink xmlns:r="http://schemas.openxmlformats.org/officeDocument/2006/relationships" ref="M74" r:id="rId146"/>
    <hyperlink xmlns:r="http://schemas.openxmlformats.org/officeDocument/2006/relationships" ref="D75" r:id="rId147"/>
    <hyperlink xmlns:r="http://schemas.openxmlformats.org/officeDocument/2006/relationships" ref="M75" r:id="rId148"/>
    <hyperlink xmlns:r="http://schemas.openxmlformats.org/officeDocument/2006/relationships" ref="D76" r:id="rId149"/>
    <hyperlink xmlns:r="http://schemas.openxmlformats.org/officeDocument/2006/relationships" ref="M76" r:id="rId150"/>
    <hyperlink xmlns:r="http://schemas.openxmlformats.org/officeDocument/2006/relationships" ref="D77" r:id="rId151"/>
    <hyperlink xmlns:r="http://schemas.openxmlformats.org/officeDocument/2006/relationships" ref="M77" r:id="rId152"/>
    <hyperlink xmlns:r="http://schemas.openxmlformats.org/officeDocument/2006/relationships" ref="D78" r:id="rId153"/>
    <hyperlink xmlns:r="http://schemas.openxmlformats.org/officeDocument/2006/relationships" ref="M78" r:id="rId154"/>
    <hyperlink xmlns:r="http://schemas.openxmlformats.org/officeDocument/2006/relationships" ref="D79" r:id="rId155"/>
    <hyperlink xmlns:r="http://schemas.openxmlformats.org/officeDocument/2006/relationships" ref="M79" r:id="rId156"/>
    <hyperlink xmlns:r="http://schemas.openxmlformats.org/officeDocument/2006/relationships" ref="D80" r:id="rId157"/>
    <hyperlink xmlns:r="http://schemas.openxmlformats.org/officeDocument/2006/relationships" ref="M80" r:id="rId158"/>
    <hyperlink xmlns:r="http://schemas.openxmlformats.org/officeDocument/2006/relationships" ref="D81" r:id="rId159"/>
    <hyperlink xmlns:r="http://schemas.openxmlformats.org/officeDocument/2006/relationships" ref="M81" r:id="rId160"/>
    <hyperlink xmlns:r="http://schemas.openxmlformats.org/officeDocument/2006/relationships" ref="D82" r:id="rId161"/>
    <hyperlink xmlns:r="http://schemas.openxmlformats.org/officeDocument/2006/relationships" ref="M82" r:id="rId162"/>
    <hyperlink xmlns:r="http://schemas.openxmlformats.org/officeDocument/2006/relationships" ref="D83" r:id="rId163"/>
    <hyperlink xmlns:r="http://schemas.openxmlformats.org/officeDocument/2006/relationships" ref="M83" r:id="rId164"/>
    <hyperlink xmlns:r="http://schemas.openxmlformats.org/officeDocument/2006/relationships" ref="D84" r:id="rId165"/>
    <hyperlink xmlns:r="http://schemas.openxmlformats.org/officeDocument/2006/relationships" ref="M84" r:id="rId166"/>
    <hyperlink xmlns:r="http://schemas.openxmlformats.org/officeDocument/2006/relationships" ref="D85" r:id="rId167"/>
    <hyperlink xmlns:r="http://schemas.openxmlformats.org/officeDocument/2006/relationships" ref="M85" r:id="rId168"/>
    <hyperlink xmlns:r="http://schemas.openxmlformats.org/officeDocument/2006/relationships" ref="D86" r:id="rId169"/>
    <hyperlink xmlns:r="http://schemas.openxmlformats.org/officeDocument/2006/relationships" ref="M86" r:id="rId170"/>
    <hyperlink xmlns:r="http://schemas.openxmlformats.org/officeDocument/2006/relationships" ref="D87" r:id="rId171"/>
    <hyperlink xmlns:r="http://schemas.openxmlformats.org/officeDocument/2006/relationships" ref="M87" r:id="rId172"/>
    <hyperlink xmlns:r="http://schemas.openxmlformats.org/officeDocument/2006/relationships" ref="D88" r:id="rId173"/>
    <hyperlink xmlns:r="http://schemas.openxmlformats.org/officeDocument/2006/relationships" ref="M88" r:id="rId174"/>
    <hyperlink xmlns:r="http://schemas.openxmlformats.org/officeDocument/2006/relationships" ref="D89" r:id="rId175"/>
    <hyperlink xmlns:r="http://schemas.openxmlformats.org/officeDocument/2006/relationships" ref="M89" r:id="rId176"/>
    <hyperlink xmlns:r="http://schemas.openxmlformats.org/officeDocument/2006/relationships" ref="D90" r:id="rId177"/>
    <hyperlink xmlns:r="http://schemas.openxmlformats.org/officeDocument/2006/relationships" ref="M90" r:id="rId178"/>
    <hyperlink xmlns:r="http://schemas.openxmlformats.org/officeDocument/2006/relationships" ref="D91" r:id="rId179"/>
    <hyperlink xmlns:r="http://schemas.openxmlformats.org/officeDocument/2006/relationships" ref="M91" r:id="rId180"/>
    <hyperlink xmlns:r="http://schemas.openxmlformats.org/officeDocument/2006/relationships" ref="D92" r:id="rId181"/>
    <hyperlink xmlns:r="http://schemas.openxmlformats.org/officeDocument/2006/relationships" ref="M92" r:id="rId182"/>
    <hyperlink xmlns:r="http://schemas.openxmlformats.org/officeDocument/2006/relationships" ref="D93" r:id="rId183"/>
    <hyperlink xmlns:r="http://schemas.openxmlformats.org/officeDocument/2006/relationships" ref="M93" r:id="rId184"/>
    <hyperlink xmlns:r="http://schemas.openxmlformats.org/officeDocument/2006/relationships" ref="D94" r:id="rId185"/>
    <hyperlink xmlns:r="http://schemas.openxmlformats.org/officeDocument/2006/relationships" ref="M94" r:id="rId186"/>
    <hyperlink xmlns:r="http://schemas.openxmlformats.org/officeDocument/2006/relationships" ref="D95" r:id="rId187"/>
    <hyperlink xmlns:r="http://schemas.openxmlformats.org/officeDocument/2006/relationships" ref="M95" r:id="rId188"/>
    <hyperlink xmlns:r="http://schemas.openxmlformats.org/officeDocument/2006/relationships" ref="D96" r:id="rId189"/>
    <hyperlink xmlns:r="http://schemas.openxmlformats.org/officeDocument/2006/relationships" ref="M96" r:id="rId190"/>
    <hyperlink xmlns:r="http://schemas.openxmlformats.org/officeDocument/2006/relationships" ref="D97" r:id="rId191"/>
    <hyperlink xmlns:r="http://schemas.openxmlformats.org/officeDocument/2006/relationships" ref="M97" r:id="rId192"/>
    <hyperlink xmlns:r="http://schemas.openxmlformats.org/officeDocument/2006/relationships" ref="D98" r:id="rId193"/>
    <hyperlink xmlns:r="http://schemas.openxmlformats.org/officeDocument/2006/relationships" ref="M98" r:id="rId194"/>
    <hyperlink xmlns:r="http://schemas.openxmlformats.org/officeDocument/2006/relationships" ref="D99" r:id="rId195"/>
    <hyperlink xmlns:r="http://schemas.openxmlformats.org/officeDocument/2006/relationships" ref="M99" r:id="rId196"/>
    <hyperlink xmlns:r="http://schemas.openxmlformats.org/officeDocument/2006/relationships" ref="D100" r:id="rId197"/>
    <hyperlink xmlns:r="http://schemas.openxmlformats.org/officeDocument/2006/relationships" ref="M100" r:id="rId198"/>
    <hyperlink xmlns:r="http://schemas.openxmlformats.org/officeDocument/2006/relationships" ref="D101" r:id="rId199"/>
    <hyperlink xmlns:r="http://schemas.openxmlformats.org/officeDocument/2006/relationships" ref="M101" r:id="rId200"/>
    <hyperlink xmlns:r="http://schemas.openxmlformats.org/officeDocument/2006/relationships" ref="D102" r:id="rId201"/>
    <hyperlink xmlns:r="http://schemas.openxmlformats.org/officeDocument/2006/relationships" ref="M102" r:id="rId202"/>
    <hyperlink xmlns:r="http://schemas.openxmlformats.org/officeDocument/2006/relationships" ref="D103" r:id="rId203"/>
    <hyperlink xmlns:r="http://schemas.openxmlformats.org/officeDocument/2006/relationships" ref="M103" r:id="rId204"/>
    <hyperlink xmlns:r="http://schemas.openxmlformats.org/officeDocument/2006/relationships" ref="D104" r:id="rId205"/>
    <hyperlink xmlns:r="http://schemas.openxmlformats.org/officeDocument/2006/relationships" ref="M104" r:id="rId206"/>
    <hyperlink xmlns:r="http://schemas.openxmlformats.org/officeDocument/2006/relationships" ref="D105" r:id="rId207"/>
    <hyperlink xmlns:r="http://schemas.openxmlformats.org/officeDocument/2006/relationships" ref="M105" r:id="rId208"/>
    <hyperlink xmlns:r="http://schemas.openxmlformats.org/officeDocument/2006/relationships" ref="D106" r:id="rId209"/>
    <hyperlink xmlns:r="http://schemas.openxmlformats.org/officeDocument/2006/relationships" ref="M106" r:id="rId210"/>
    <hyperlink xmlns:r="http://schemas.openxmlformats.org/officeDocument/2006/relationships" ref="D107" r:id="rId211"/>
    <hyperlink xmlns:r="http://schemas.openxmlformats.org/officeDocument/2006/relationships" ref="M107" r:id="rId212"/>
    <hyperlink xmlns:r="http://schemas.openxmlformats.org/officeDocument/2006/relationships" ref="D108" r:id="rId213"/>
    <hyperlink xmlns:r="http://schemas.openxmlformats.org/officeDocument/2006/relationships" ref="M108" r:id="rId214"/>
    <hyperlink xmlns:r="http://schemas.openxmlformats.org/officeDocument/2006/relationships" ref="D109" r:id="rId215"/>
    <hyperlink xmlns:r="http://schemas.openxmlformats.org/officeDocument/2006/relationships" ref="M109" r:id="rId216"/>
    <hyperlink xmlns:r="http://schemas.openxmlformats.org/officeDocument/2006/relationships" ref="D110" r:id="rId217"/>
    <hyperlink xmlns:r="http://schemas.openxmlformats.org/officeDocument/2006/relationships" ref="M110" r:id="rId218"/>
    <hyperlink xmlns:r="http://schemas.openxmlformats.org/officeDocument/2006/relationships" ref="D111" r:id="rId219"/>
    <hyperlink xmlns:r="http://schemas.openxmlformats.org/officeDocument/2006/relationships" ref="M111" r:id="rId220"/>
    <hyperlink xmlns:r="http://schemas.openxmlformats.org/officeDocument/2006/relationships" ref="D112" r:id="rId221"/>
    <hyperlink xmlns:r="http://schemas.openxmlformats.org/officeDocument/2006/relationships" ref="M112" r:id="rId222"/>
    <hyperlink xmlns:r="http://schemas.openxmlformats.org/officeDocument/2006/relationships" ref="D113" r:id="rId223"/>
    <hyperlink xmlns:r="http://schemas.openxmlformats.org/officeDocument/2006/relationships" ref="M113" r:id="rId224"/>
    <hyperlink xmlns:r="http://schemas.openxmlformats.org/officeDocument/2006/relationships" ref="D114" r:id="rId225"/>
    <hyperlink xmlns:r="http://schemas.openxmlformats.org/officeDocument/2006/relationships" ref="M114" r:id="rId226"/>
    <hyperlink xmlns:r="http://schemas.openxmlformats.org/officeDocument/2006/relationships" ref="D115" r:id="rId227"/>
    <hyperlink xmlns:r="http://schemas.openxmlformats.org/officeDocument/2006/relationships" ref="M115" r:id="rId228"/>
    <hyperlink xmlns:r="http://schemas.openxmlformats.org/officeDocument/2006/relationships" ref="D116" r:id="rId229"/>
    <hyperlink xmlns:r="http://schemas.openxmlformats.org/officeDocument/2006/relationships" ref="M116" r:id="rId230"/>
    <hyperlink xmlns:r="http://schemas.openxmlformats.org/officeDocument/2006/relationships" ref="D117" r:id="rId231"/>
    <hyperlink xmlns:r="http://schemas.openxmlformats.org/officeDocument/2006/relationships" ref="M117" r:id="rId232"/>
    <hyperlink xmlns:r="http://schemas.openxmlformats.org/officeDocument/2006/relationships" ref="D118" r:id="rId233"/>
    <hyperlink xmlns:r="http://schemas.openxmlformats.org/officeDocument/2006/relationships" ref="M118" r:id="rId234"/>
    <hyperlink xmlns:r="http://schemas.openxmlformats.org/officeDocument/2006/relationships" ref="D119" r:id="rId235"/>
    <hyperlink xmlns:r="http://schemas.openxmlformats.org/officeDocument/2006/relationships" ref="M119" r:id="rId236"/>
    <hyperlink xmlns:r="http://schemas.openxmlformats.org/officeDocument/2006/relationships" ref="D120" r:id="rId237"/>
    <hyperlink xmlns:r="http://schemas.openxmlformats.org/officeDocument/2006/relationships" ref="M120" r:id="rId238"/>
    <hyperlink xmlns:r="http://schemas.openxmlformats.org/officeDocument/2006/relationships" ref="D121" r:id="rId239"/>
    <hyperlink xmlns:r="http://schemas.openxmlformats.org/officeDocument/2006/relationships" ref="M121" r:id="rId240"/>
    <hyperlink xmlns:r="http://schemas.openxmlformats.org/officeDocument/2006/relationships" ref="D122" r:id="rId241"/>
    <hyperlink xmlns:r="http://schemas.openxmlformats.org/officeDocument/2006/relationships" ref="M122" r:id="rId242"/>
    <hyperlink xmlns:r="http://schemas.openxmlformats.org/officeDocument/2006/relationships" ref="D123" r:id="rId243"/>
    <hyperlink xmlns:r="http://schemas.openxmlformats.org/officeDocument/2006/relationships" ref="M123" r:id="rId244"/>
    <hyperlink xmlns:r="http://schemas.openxmlformats.org/officeDocument/2006/relationships" ref="D124" r:id="rId245"/>
    <hyperlink xmlns:r="http://schemas.openxmlformats.org/officeDocument/2006/relationships" ref="M124" r:id="rId246"/>
    <hyperlink xmlns:r="http://schemas.openxmlformats.org/officeDocument/2006/relationships" ref="D125" r:id="rId247"/>
    <hyperlink xmlns:r="http://schemas.openxmlformats.org/officeDocument/2006/relationships" ref="M125" r:id="rId248"/>
    <hyperlink xmlns:r="http://schemas.openxmlformats.org/officeDocument/2006/relationships" ref="D126" r:id="rId249"/>
    <hyperlink xmlns:r="http://schemas.openxmlformats.org/officeDocument/2006/relationships" ref="M126" r:id="rId250"/>
    <hyperlink xmlns:r="http://schemas.openxmlformats.org/officeDocument/2006/relationships" ref="D127" r:id="rId251"/>
    <hyperlink xmlns:r="http://schemas.openxmlformats.org/officeDocument/2006/relationships" ref="M127" r:id="rId252"/>
    <hyperlink xmlns:r="http://schemas.openxmlformats.org/officeDocument/2006/relationships" ref="D128" r:id="rId253"/>
    <hyperlink xmlns:r="http://schemas.openxmlformats.org/officeDocument/2006/relationships" ref="M128" r:id="rId254"/>
    <hyperlink xmlns:r="http://schemas.openxmlformats.org/officeDocument/2006/relationships" ref="D129" r:id="rId255"/>
    <hyperlink xmlns:r="http://schemas.openxmlformats.org/officeDocument/2006/relationships" ref="M129" r:id="rId256"/>
    <hyperlink xmlns:r="http://schemas.openxmlformats.org/officeDocument/2006/relationships" ref="D130" r:id="rId257"/>
    <hyperlink xmlns:r="http://schemas.openxmlformats.org/officeDocument/2006/relationships" ref="M130" r:id="rId258"/>
    <hyperlink xmlns:r="http://schemas.openxmlformats.org/officeDocument/2006/relationships" ref="D131" r:id="rId259"/>
    <hyperlink xmlns:r="http://schemas.openxmlformats.org/officeDocument/2006/relationships" ref="M131" r:id="rId260"/>
    <hyperlink xmlns:r="http://schemas.openxmlformats.org/officeDocument/2006/relationships" ref="D132" r:id="rId261"/>
    <hyperlink xmlns:r="http://schemas.openxmlformats.org/officeDocument/2006/relationships" ref="M132" r:id="rId262"/>
    <hyperlink xmlns:r="http://schemas.openxmlformats.org/officeDocument/2006/relationships" ref="D133" r:id="rId263"/>
    <hyperlink xmlns:r="http://schemas.openxmlformats.org/officeDocument/2006/relationships" ref="M133" r:id="rId264"/>
    <hyperlink xmlns:r="http://schemas.openxmlformats.org/officeDocument/2006/relationships" ref="D134" r:id="rId265"/>
    <hyperlink xmlns:r="http://schemas.openxmlformats.org/officeDocument/2006/relationships" ref="M134" r:id="rId266"/>
    <hyperlink xmlns:r="http://schemas.openxmlformats.org/officeDocument/2006/relationships" ref="D135" r:id="rId267"/>
    <hyperlink xmlns:r="http://schemas.openxmlformats.org/officeDocument/2006/relationships" ref="M135" r:id="rId268"/>
    <hyperlink xmlns:r="http://schemas.openxmlformats.org/officeDocument/2006/relationships" ref="D136" r:id="rId269"/>
    <hyperlink xmlns:r="http://schemas.openxmlformats.org/officeDocument/2006/relationships" ref="M136" r:id="rId270"/>
    <hyperlink xmlns:r="http://schemas.openxmlformats.org/officeDocument/2006/relationships" ref="D137" r:id="rId271"/>
    <hyperlink xmlns:r="http://schemas.openxmlformats.org/officeDocument/2006/relationships" ref="M137" r:id="rId272"/>
    <hyperlink xmlns:r="http://schemas.openxmlformats.org/officeDocument/2006/relationships" ref="D138" r:id="rId273"/>
    <hyperlink xmlns:r="http://schemas.openxmlformats.org/officeDocument/2006/relationships" ref="M138" r:id="rId274"/>
    <hyperlink xmlns:r="http://schemas.openxmlformats.org/officeDocument/2006/relationships" ref="D139" r:id="rId275"/>
    <hyperlink xmlns:r="http://schemas.openxmlformats.org/officeDocument/2006/relationships" ref="M139" r:id="rId276"/>
    <hyperlink xmlns:r="http://schemas.openxmlformats.org/officeDocument/2006/relationships" ref="D140" r:id="rId277"/>
    <hyperlink xmlns:r="http://schemas.openxmlformats.org/officeDocument/2006/relationships" ref="M140" r:id="rId278"/>
    <hyperlink xmlns:r="http://schemas.openxmlformats.org/officeDocument/2006/relationships" ref="D141" r:id="rId279"/>
    <hyperlink xmlns:r="http://schemas.openxmlformats.org/officeDocument/2006/relationships" ref="M141" r:id="rId280"/>
    <hyperlink xmlns:r="http://schemas.openxmlformats.org/officeDocument/2006/relationships" ref="D142" r:id="rId281"/>
    <hyperlink xmlns:r="http://schemas.openxmlformats.org/officeDocument/2006/relationships" ref="M142" r:id="rId282"/>
    <hyperlink xmlns:r="http://schemas.openxmlformats.org/officeDocument/2006/relationships" ref="D143" r:id="rId283"/>
    <hyperlink xmlns:r="http://schemas.openxmlformats.org/officeDocument/2006/relationships" ref="M143" r:id="rId284"/>
    <hyperlink xmlns:r="http://schemas.openxmlformats.org/officeDocument/2006/relationships" ref="D144" r:id="rId285"/>
    <hyperlink xmlns:r="http://schemas.openxmlformats.org/officeDocument/2006/relationships" ref="M144" r:id="rId286"/>
    <hyperlink xmlns:r="http://schemas.openxmlformats.org/officeDocument/2006/relationships" ref="D145" r:id="rId287"/>
    <hyperlink xmlns:r="http://schemas.openxmlformats.org/officeDocument/2006/relationships" ref="M145" r:id="rId288"/>
    <hyperlink xmlns:r="http://schemas.openxmlformats.org/officeDocument/2006/relationships" ref="D146" r:id="rId289"/>
    <hyperlink xmlns:r="http://schemas.openxmlformats.org/officeDocument/2006/relationships" ref="M146" r:id="rId290"/>
    <hyperlink xmlns:r="http://schemas.openxmlformats.org/officeDocument/2006/relationships" ref="D147" r:id="rId291"/>
    <hyperlink xmlns:r="http://schemas.openxmlformats.org/officeDocument/2006/relationships" ref="M147" r:id="rId292"/>
    <hyperlink xmlns:r="http://schemas.openxmlformats.org/officeDocument/2006/relationships" ref="D148" r:id="rId293"/>
    <hyperlink xmlns:r="http://schemas.openxmlformats.org/officeDocument/2006/relationships" ref="M148" r:id="rId294"/>
    <hyperlink xmlns:r="http://schemas.openxmlformats.org/officeDocument/2006/relationships" ref="D149" r:id="rId295"/>
    <hyperlink xmlns:r="http://schemas.openxmlformats.org/officeDocument/2006/relationships" ref="M149" r:id="rId296"/>
    <hyperlink xmlns:r="http://schemas.openxmlformats.org/officeDocument/2006/relationships" ref="D150" r:id="rId297"/>
    <hyperlink xmlns:r="http://schemas.openxmlformats.org/officeDocument/2006/relationships" ref="M150" r:id="rId298"/>
    <hyperlink xmlns:r="http://schemas.openxmlformats.org/officeDocument/2006/relationships" ref="D151" r:id="rId299"/>
    <hyperlink xmlns:r="http://schemas.openxmlformats.org/officeDocument/2006/relationships" ref="M151" r:id="rId300"/>
    <hyperlink xmlns:r="http://schemas.openxmlformats.org/officeDocument/2006/relationships" ref="D152" r:id="rId301"/>
    <hyperlink xmlns:r="http://schemas.openxmlformats.org/officeDocument/2006/relationships" ref="M152" r:id="rId302"/>
    <hyperlink xmlns:r="http://schemas.openxmlformats.org/officeDocument/2006/relationships" ref="D153" r:id="rId303"/>
    <hyperlink xmlns:r="http://schemas.openxmlformats.org/officeDocument/2006/relationships" ref="M153" r:id="rId304"/>
    <hyperlink xmlns:r="http://schemas.openxmlformats.org/officeDocument/2006/relationships" ref="D154" r:id="rId305"/>
    <hyperlink xmlns:r="http://schemas.openxmlformats.org/officeDocument/2006/relationships" ref="M154" r:id="rId306"/>
    <hyperlink xmlns:r="http://schemas.openxmlformats.org/officeDocument/2006/relationships" ref="D155" r:id="rId307"/>
    <hyperlink xmlns:r="http://schemas.openxmlformats.org/officeDocument/2006/relationships" ref="M155" r:id="rId308"/>
    <hyperlink xmlns:r="http://schemas.openxmlformats.org/officeDocument/2006/relationships" ref="D156" r:id="rId309"/>
    <hyperlink xmlns:r="http://schemas.openxmlformats.org/officeDocument/2006/relationships" ref="M156" r:id="rId310"/>
    <hyperlink xmlns:r="http://schemas.openxmlformats.org/officeDocument/2006/relationships" ref="D157" r:id="rId311"/>
    <hyperlink xmlns:r="http://schemas.openxmlformats.org/officeDocument/2006/relationships" ref="M157" r:id="rId312"/>
    <hyperlink xmlns:r="http://schemas.openxmlformats.org/officeDocument/2006/relationships" ref="D158" r:id="rId313"/>
    <hyperlink xmlns:r="http://schemas.openxmlformats.org/officeDocument/2006/relationships" ref="M158" r:id="rId314"/>
    <hyperlink xmlns:r="http://schemas.openxmlformats.org/officeDocument/2006/relationships" ref="D159" r:id="rId315"/>
    <hyperlink xmlns:r="http://schemas.openxmlformats.org/officeDocument/2006/relationships" ref="M159" r:id="rId316"/>
    <hyperlink xmlns:r="http://schemas.openxmlformats.org/officeDocument/2006/relationships" ref="D160" r:id="rId317"/>
    <hyperlink xmlns:r="http://schemas.openxmlformats.org/officeDocument/2006/relationships" ref="M160" r:id="rId318"/>
    <hyperlink xmlns:r="http://schemas.openxmlformats.org/officeDocument/2006/relationships" ref="D161" r:id="rId319"/>
    <hyperlink xmlns:r="http://schemas.openxmlformats.org/officeDocument/2006/relationships" ref="M161" r:id="rId320"/>
    <hyperlink xmlns:r="http://schemas.openxmlformats.org/officeDocument/2006/relationships" ref="D162" r:id="rId321"/>
    <hyperlink xmlns:r="http://schemas.openxmlformats.org/officeDocument/2006/relationships" ref="M162" r:id="rId322"/>
    <hyperlink xmlns:r="http://schemas.openxmlformats.org/officeDocument/2006/relationships" ref="D163" r:id="rId323"/>
    <hyperlink xmlns:r="http://schemas.openxmlformats.org/officeDocument/2006/relationships" ref="M163" r:id="rId324"/>
    <hyperlink xmlns:r="http://schemas.openxmlformats.org/officeDocument/2006/relationships" ref="D164" r:id="rId325"/>
    <hyperlink xmlns:r="http://schemas.openxmlformats.org/officeDocument/2006/relationships" ref="M164" r:id="rId326"/>
    <hyperlink xmlns:r="http://schemas.openxmlformats.org/officeDocument/2006/relationships" ref="D165" r:id="rId327"/>
    <hyperlink xmlns:r="http://schemas.openxmlformats.org/officeDocument/2006/relationships" ref="M165" r:id="rId328"/>
    <hyperlink xmlns:r="http://schemas.openxmlformats.org/officeDocument/2006/relationships" ref="D166" r:id="rId329"/>
    <hyperlink xmlns:r="http://schemas.openxmlformats.org/officeDocument/2006/relationships" ref="M166" r:id="rId330"/>
    <hyperlink xmlns:r="http://schemas.openxmlformats.org/officeDocument/2006/relationships" ref="D167" r:id="rId331"/>
    <hyperlink xmlns:r="http://schemas.openxmlformats.org/officeDocument/2006/relationships" ref="M167" r:id="rId332"/>
    <hyperlink xmlns:r="http://schemas.openxmlformats.org/officeDocument/2006/relationships" ref="D168" r:id="rId333"/>
    <hyperlink xmlns:r="http://schemas.openxmlformats.org/officeDocument/2006/relationships" ref="M168" r:id="rId334"/>
    <hyperlink xmlns:r="http://schemas.openxmlformats.org/officeDocument/2006/relationships" ref="D169" r:id="rId335"/>
    <hyperlink xmlns:r="http://schemas.openxmlformats.org/officeDocument/2006/relationships" ref="M169" r:id="rId336"/>
    <hyperlink xmlns:r="http://schemas.openxmlformats.org/officeDocument/2006/relationships" ref="D170" r:id="rId337"/>
    <hyperlink xmlns:r="http://schemas.openxmlformats.org/officeDocument/2006/relationships" ref="M170" r:id="rId338"/>
    <hyperlink xmlns:r="http://schemas.openxmlformats.org/officeDocument/2006/relationships" ref="D171" r:id="rId339"/>
    <hyperlink xmlns:r="http://schemas.openxmlformats.org/officeDocument/2006/relationships" ref="M171" r:id="rId340"/>
    <hyperlink xmlns:r="http://schemas.openxmlformats.org/officeDocument/2006/relationships" ref="D172" r:id="rId341"/>
    <hyperlink xmlns:r="http://schemas.openxmlformats.org/officeDocument/2006/relationships" ref="M172" r:id="rId342"/>
    <hyperlink xmlns:r="http://schemas.openxmlformats.org/officeDocument/2006/relationships" ref="D173" r:id="rId343"/>
    <hyperlink xmlns:r="http://schemas.openxmlformats.org/officeDocument/2006/relationships" ref="M173" r:id="rId344"/>
    <hyperlink xmlns:r="http://schemas.openxmlformats.org/officeDocument/2006/relationships" ref="D174" r:id="rId345"/>
    <hyperlink xmlns:r="http://schemas.openxmlformats.org/officeDocument/2006/relationships" ref="M174" r:id="rId346"/>
    <hyperlink xmlns:r="http://schemas.openxmlformats.org/officeDocument/2006/relationships" ref="D175" r:id="rId347"/>
    <hyperlink xmlns:r="http://schemas.openxmlformats.org/officeDocument/2006/relationships" ref="M175" r:id="rId348"/>
    <hyperlink xmlns:r="http://schemas.openxmlformats.org/officeDocument/2006/relationships" ref="D176" r:id="rId349"/>
    <hyperlink xmlns:r="http://schemas.openxmlformats.org/officeDocument/2006/relationships" ref="M176" r:id="rId350"/>
    <hyperlink xmlns:r="http://schemas.openxmlformats.org/officeDocument/2006/relationships" ref="D177" r:id="rId351"/>
    <hyperlink xmlns:r="http://schemas.openxmlformats.org/officeDocument/2006/relationships" ref="M177" r:id="rId352"/>
    <hyperlink xmlns:r="http://schemas.openxmlformats.org/officeDocument/2006/relationships" ref="D178" r:id="rId353"/>
    <hyperlink xmlns:r="http://schemas.openxmlformats.org/officeDocument/2006/relationships" ref="M178" r:id="rId354"/>
    <hyperlink xmlns:r="http://schemas.openxmlformats.org/officeDocument/2006/relationships" ref="D179" r:id="rId355"/>
    <hyperlink xmlns:r="http://schemas.openxmlformats.org/officeDocument/2006/relationships" ref="M179" r:id="rId356"/>
    <hyperlink xmlns:r="http://schemas.openxmlformats.org/officeDocument/2006/relationships" ref="D180" r:id="rId357"/>
    <hyperlink xmlns:r="http://schemas.openxmlformats.org/officeDocument/2006/relationships" ref="M180" r:id="rId358"/>
    <hyperlink xmlns:r="http://schemas.openxmlformats.org/officeDocument/2006/relationships" ref="D181" r:id="rId359"/>
    <hyperlink xmlns:r="http://schemas.openxmlformats.org/officeDocument/2006/relationships" ref="M181" r:id="rId360"/>
    <hyperlink xmlns:r="http://schemas.openxmlformats.org/officeDocument/2006/relationships" ref="D182" r:id="rId361"/>
    <hyperlink xmlns:r="http://schemas.openxmlformats.org/officeDocument/2006/relationships" ref="M182" r:id="rId362"/>
    <hyperlink xmlns:r="http://schemas.openxmlformats.org/officeDocument/2006/relationships" ref="D183" r:id="rId363"/>
    <hyperlink xmlns:r="http://schemas.openxmlformats.org/officeDocument/2006/relationships" ref="M183" r:id="rId364"/>
    <hyperlink xmlns:r="http://schemas.openxmlformats.org/officeDocument/2006/relationships" ref="D184" r:id="rId365"/>
    <hyperlink xmlns:r="http://schemas.openxmlformats.org/officeDocument/2006/relationships" ref="M184" r:id="rId366"/>
    <hyperlink xmlns:r="http://schemas.openxmlformats.org/officeDocument/2006/relationships" ref="D185" r:id="rId367"/>
    <hyperlink xmlns:r="http://schemas.openxmlformats.org/officeDocument/2006/relationships" ref="M185" r:id="rId368"/>
    <hyperlink xmlns:r="http://schemas.openxmlformats.org/officeDocument/2006/relationships" ref="D186" r:id="rId369"/>
    <hyperlink xmlns:r="http://schemas.openxmlformats.org/officeDocument/2006/relationships" ref="M186" r:id="rId370"/>
    <hyperlink xmlns:r="http://schemas.openxmlformats.org/officeDocument/2006/relationships" ref="D187" r:id="rId371"/>
    <hyperlink xmlns:r="http://schemas.openxmlformats.org/officeDocument/2006/relationships" ref="M187" r:id="rId372"/>
    <hyperlink xmlns:r="http://schemas.openxmlformats.org/officeDocument/2006/relationships" ref="D188" r:id="rId373"/>
    <hyperlink xmlns:r="http://schemas.openxmlformats.org/officeDocument/2006/relationships" ref="M188" r:id="rId374"/>
    <hyperlink xmlns:r="http://schemas.openxmlformats.org/officeDocument/2006/relationships" ref="D189" r:id="rId375"/>
    <hyperlink xmlns:r="http://schemas.openxmlformats.org/officeDocument/2006/relationships" ref="M189" r:id="rId376"/>
    <hyperlink xmlns:r="http://schemas.openxmlformats.org/officeDocument/2006/relationships" ref="D190" r:id="rId377"/>
    <hyperlink xmlns:r="http://schemas.openxmlformats.org/officeDocument/2006/relationships" ref="M190" r:id="rId378"/>
    <hyperlink xmlns:r="http://schemas.openxmlformats.org/officeDocument/2006/relationships" ref="D191" r:id="rId379"/>
    <hyperlink xmlns:r="http://schemas.openxmlformats.org/officeDocument/2006/relationships" ref="M191" r:id="rId380"/>
    <hyperlink xmlns:r="http://schemas.openxmlformats.org/officeDocument/2006/relationships" ref="D192" r:id="rId381"/>
    <hyperlink xmlns:r="http://schemas.openxmlformats.org/officeDocument/2006/relationships" ref="M192" r:id="rId382"/>
    <hyperlink xmlns:r="http://schemas.openxmlformats.org/officeDocument/2006/relationships" ref="D193" r:id="rId383"/>
    <hyperlink xmlns:r="http://schemas.openxmlformats.org/officeDocument/2006/relationships" ref="M193" r:id="rId384"/>
    <hyperlink xmlns:r="http://schemas.openxmlformats.org/officeDocument/2006/relationships" ref="D194" r:id="rId385"/>
    <hyperlink xmlns:r="http://schemas.openxmlformats.org/officeDocument/2006/relationships" ref="M194" r:id="rId386"/>
    <hyperlink xmlns:r="http://schemas.openxmlformats.org/officeDocument/2006/relationships" ref="D195" r:id="rId387"/>
    <hyperlink xmlns:r="http://schemas.openxmlformats.org/officeDocument/2006/relationships" ref="M195" r:id="rId388"/>
    <hyperlink xmlns:r="http://schemas.openxmlformats.org/officeDocument/2006/relationships" ref="D196" r:id="rId389"/>
    <hyperlink xmlns:r="http://schemas.openxmlformats.org/officeDocument/2006/relationships" ref="M196" r:id="rId390"/>
    <hyperlink xmlns:r="http://schemas.openxmlformats.org/officeDocument/2006/relationships" ref="D197" r:id="rId391"/>
    <hyperlink xmlns:r="http://schemas.openxmlformats.org/officeDocument/2006/relationships" ref="M197" r:id="rId392"/>
    <hyperlink xmlns:r="http://schemas.openxmlformats.org/officeDocument/2006/relationships" ref="D198" r:id="rId393"/>
    <hyperlink xmlns:r="http://schemas.openxmlformats.org/officeDocument/2006/relationships" ref="M198" r:id="rId394"/>
    <hyperlink xmlns:r="http://schemas.openxmlformats.org/officeDocument/2006/relationships" ref="D199" r:id="rId395"/>
    <hyperlink xmlns:r="http://schemas.openxmlformats.org/officeDocument/2006/relationships" ref="M199" r:id="rId396"/>
    <hyperlink xmlns:r="http://schemas.openxmlformats.org/officeDocument/2006/relationships" ref="D200" r:id="rId397"/>
    <hyperlink xmlns:r="http://schemas.openxmlformats.org/officeDocument/2006/relationships" ref="M200" r:id="rId398"/>
    <hyperlink xmlns:r="http://schemas.openxmlformats.org/officeDocument/2006/relationships" ref="D201" r:id="rId399"/>
    <hyperlink xmlns:r="http://schemas.openxmlformats.org/officeDocument/2006/relationships" ref="M201" r:id="rId400"/>
    <hyperlink xmlns:r="http://schemas.openxmlformats.org/officeDocument/2006/relationships" ref="D202" r:id="rId401"/>
    <hyperlink xmlns:r="http://schemas.openxmlformats.org/officeDocument/2006/relationships" ref="M202" r:id="rId402"/>
    <hyperlink xmlns:r="http://schemas.openxmlformats.org/officeDocument/2006/relationships" ref="D203" r:id="rId403"/>
    <hyperlink xmlns:r="http://schemas.openxmlformats.org/officeDocument/2006/relationships" ref="M203" r:id="rId404"/>
    <hyperlink xmlns:r="http://schemas.openxmlformats.org/officeDocument/2006/relationships" ref="D204" r:id="rId405"/>
    <hyperlink xmlns:r="http://schemas.openxmlformats.org/officeDocument/2006/relationships" ref="M204" r:id="rId406"/>
    <hyperlink xmlns:r="http://schemas.openxmlformats.org/officeDocument/2006/relationships" ref="D205" r:id="rId407"/>
    <hyperlink xmlns:r="http://schemas.openxmlformats.org/officeDocument/2006/relationships" ref="M205" r:id="rId408"/>
    <hyperlink xmlns:r="http://schemas.openxmlformats.org/officeDocument/2006/relationships" ref="D206" r:id="rId409"/>
    <hyperlink xmlns:r="http://schemas.openxmlformats.org/officeDocument/2006/relationships" ref="M206" r:id="rId410"/>
    <hyperlink xmlns:r="http://schemas.openxmlformats.org/officeDocument/2006/relationships" ref="D207" r:id="rId411"/>
    <hyperlink xmlns:r="http://schemas.openxmlformats.org/officeDocument/2006/relationships" ref="M207" r:id="rId412"/>
    <hyperlink xmlns:r="http://schemas.openxmlformats.org/officeDocument/2006/relationships" ref="D208" r:id="rId413"/>
    <hyperlink xmlns:r="http://schemas.openxmlformats.org/officeDocument/2006/relationships" ref="M208" r:id="rId414"/>
    <hyperlink xmlns:r="http://schemas.openxmlformats.org/officeDocument/2006/relationships" ref="D209" r:id="rId415"/>
    <hyperlink xmlns:r="http://schemas.openxmlformats.org/officeDocument/2006/relationships" ref="M209" r:id="rId416"/>
    <hyperlink xmlns:r="http://schemas.openxmlformats.org/officeDocument/2006/relationships" ref="D210" r:id="rId417"/>
    <hyperlink xmlns:r="http://schemas.openxmlformats.org/officeDocument/2006/relationships" ref="M210" r:id="rId418"/>
    <hyperlink xmlns:r="http://schemas.openxmlformats.org/officeDocument/2006/relationships" ref="D211" r:id="rId419"/>
    <hyperlink xmlns:r="http://schemas.openxmlformats.org/officeDocument/2006/relationships" ref="M211" r:id="rId420"/>
    <hyperlink xmlns:r="http://schemas.openxmlformats.org/officeDocument/2006/relationships" ref="D212" r:id="rId421"/>
    <hyperlink xmlns:r="http://schemas.openxmlformats.org/officeDocument/2006/relationships" ref="M212" r:id="rId422"/>
    <hyperlink xmlns:r="http://schemas.openxmlformats.org/officeDocument/2006/relationships" ref="D213" r:id="rId423"/>
    <hyperlink xmlns:r="http://schemas.openxmlformats.org/officeDocument/2006/relationships" ref="M213" r:id="rId424"/>
    <hyperlink xmlns:r="http://schemas.openxmlformats.org/officeDocument/2006/relationships" ref="D214" r:id="rId425"/>
    <hyperlink xmlns:r="http://schemas.openxmlformats.org/officeDocument/2006/relationships" ref="M214" r:id="rId426"/>
    <hyperlink xmlns:r="http://schemas.openxmlformats.org/officeDocument/2006/relationships" ref="D215" r:id="rId427"/>
    <hyperlink xmlns:r="http://schemas.openxmlformats.org/officeDocument/2006/relationships" ref="M215" r:id="rId428"/>
    <hyperlink xmlns:r="http://schemas.openxmlformats.org/officeDocument/2006/relationships" ref="D216" r:id="rId429"/>
    <hyperlink xmlns:r="http://schemas.openxmlformats.org/officeDocument/2006/relationships" ref="M216" r:id="rId430"/>
    <hyperlink xmlns:r="http://schemas.openxmlformats.org/officeDocument/2006/relationships" ref="D217" r:id="rId431"/>
    <hyperlink xmlns:r="http://schemas.openxmlformats.org/officeDocument/2006/relationships" ref="M217" r:id="rId432"/>
    <hyperlink xmlns:r="http://schemas.openxmlformats.org/officeDocument/2006/relationships" ref="D218" r:id="rId433"/>
    <hyperlink xmlns:r="http://schemas.openxmlformats.org/officeDocument/2006/relationships" ref="M218" r:id="rId434"/>
    <hyperlink xmlns:r="http://schemas.openxmlformats.org/officeDocument/2006/relationships" ref="D219" r:id="rId435"/>
    <hyperlink xmlns:r="http://schemas.openxmlformats.org/officeDocument/2006/relationships" ref="M219" r:id="rId436"/>
    <hyperlink xmlns:r="http://schemas.openxmlformats.org/officeDocument/2006/relationships" ref="D220" r:id="rId437"/>
    <hyperlink xmlns:r="http://schemas.openxmlformats.org/officeDocument/2006/relationships" ref="M220" r:id="rId438"/>
    <hyperlink xmlns:r="http://schemas.openxmlformats.org/officeDocument/2006/relationships" ref="D221" r:id="rId439"/>
    <hyperlink xmlns:r="http://schemas.openxmlformats.org/officeDocument/2006/relationships" ref="M221" r:id="rId440"/>
    <hyperlink xmlns:r="http://schemas.openxmlformats.org/officeDocument/2006/relationships" ref="D222" r:id="rId441"/>
    <hyperlink xmlns:r="http://schemas.openxmlformats.org/officeDocument/2006/relationships" ref="M222" r:id="rId442"/>
    <hyperlink xmlns:r="http://schemas.openxmlformats.org/officeDocument/2006/relationships" ref="D223" r:id="rId443"/>
    <hyperlink xmlns:r="http://schemas.openxmlformats.org/officeDocument/2006/relationships" ref="M223" r:id="rId444"/>
    <hyperlink xmlns:r="http://schemas.openxmlformats.org/officeDocument/2006/relationships" ref="D224" r:id="rId445"/>
    <hyperlink xmlns:r="http://schemas.openxmlformats.org/officeDocument/2006/relationships" ref="M224" r:id="rId446"/>
    <hyperlink xmlns:r="http://schemas.openxmlformats.org/officeDocument/2006/relationships" ref="D225" r:id="rId447"/>
    <hyperlink xmlns:r="http://schemas.openxmlformats.org/officeDocument/2006/relationships" ref="M225" r:id="rId448"/>
    <hyperlink xmlns:r="http://schemas.openxmlformats.org/officeDocument/2006/relationships" ref="D226" r:id="rId449"/>
    <hyperlink xmlns:r="http://schemas.openxmlformats.org/officeDocument/2006/relationships" ref="M226" r:id="rId450"/>
    <hyperlink xmlns:r="http://schemas.openxmlformats.org/officeDocument/2006/relationships" ref="D227" r:id="rId451"/>
    <hyperlink xmlns:r="http://schemas.openxmlformats.org/officeDocument/2006/relationships" ref="M227" r:id="rId452"/>
    <hyperlink xmlns:r="http://schemas.openxmlformats.org/officeDocument/2006/relationships" ref="D228" r:id="rId453"/>
    <hyperlink xmlns:r="http://schemas.openxmlformats.org/officeDocument/2006/relationships" ref="M228" r:id="rId454"/>
    <hyperlink xmlns:r="http://schemas.openxmlformats.org/officeDocument/2006/relationships" ref="D229" r:id="rId455"/>
    <hyperlink xmlns:r="http://schemas.openxmlformats.org/officeDocument/2006/relationships" ref="M229" r:id="rId456"/>
    <hyperlink xmlns:r="http://schemas.openxmlformats.org/officeDocument/2006/relationships" ref="D230" r:id="rId457"/>
    <hyperlink xmlns:r="http://schemas.openxmlformats.org/officeDocument/2006/relationships" ref="M230" r:id="rId458"/>
    <hyperlink xmlns:r="http://schemas.openxmlformats.org/officeDocument/2006/relationships" ref="D231" r:id="rId459"/>
    <hyperlink xmlns:r="http://schemas.openxmlformats.org/officeDocument/2006/relationships" ref="M231" r:id="rId460"/>
    <hyperlink xmlns:r="http://schemas.openxmlformats.org/officeDocument/2006/relationships" ref="D232" r:id="rId461"/>
    <hyperlink xmlns:r="http://schemas.openxmlformats.org/officeDocument/2006/relationships" ref="M232" r:id="rId462"/>
    <hyperlink xmlns:r="http://schemas.openxmlformats.org/officeDocument/2006/relationships" ref="D233" r:id="rId463"/>
    <hyperlink xmlns:r="http://schemas.openxmlformats.org/officeDocument/2006/relationships" ref="M233" r:id="rId464"/>
    <hyperlink xmlns:r="http://schemas.openxmlformats.org/officeDocument/2006/relationships" ref="D234" r:id="rId465"/>
    <hyperlink xmlns:r="http://schemas.openxmlformats.org/officeDocument/2006/relationships" ref="M234" r:id="rId466"/>
    <hyperlink xmlns:r="http://schemas.openxmlformats.org/officeDocument/2006/relationships" ref="D235" r:id="rId467"/>
    <hyperlink xmlns:r="http://schemas.openxmlformats.org/officeDocument/2006/relationships" ref="M235" r:id="rId468"/>
    <hyperlink xmlns:r="http://schemas.openxmlformats.org/officeDocument/2006/relationships" ref="D236" r:id="rId469"/>
    <hyperlink xmlns:r="http://schemas.openxmlformats.org/officeDocument/2006/relationships" ref="M236" r:id="rId470"/>
    <hyperlink xmlns:r="http://schemas.openxmlformats.org/officeDocument/2006/relationships" ref="D237" r:id="rId471"/>
    <hyperlink xmlns:r="http://schemas.openxmlformats.org/officeDocument/2006/relationships" ref="M237" r:id="rId472"/>
    <hyperlink xmlns:r="http://schemas.openxmlformats.org/officeDocument/2006/relationships" ref="D238" r:id="rId473"/>
    <hyperlink xmlns:r="http://schemas.openxmlformats.org/officeDocument/2006/relationships" ref="M238" r:id="rId474"/>
    <hyperlink xmlns:r="http://schemas.openxmlformats.org/officeDocument/2006/relationships" ref="D239" r:id="rId475"/>
    <hyperlink xmlns:r="http://schemas.openxmlformats.org/officeDocument/2006/relationships" ref="M239" r:id="rId476"/>
    <hyperlink xmlns:r="http://schemas.openxmlformats.org/officeDocument/2006/relationships" ref="D240" r:id="rId477"/>
    <hyperlink xmlns:r="http://schemas.openxmlformats.org/officeDocument/2006/relationships" ref="M240" r:id="rId478"/>
    <hyperlink xmlns:r="http://schemas.openxmlformats.org/officeDocument/2006/relationships" ref="D241" r:id="rId479"/>
    <hyperlink xmlns:r="http://schemas.openxmlformats.org/officeDocument/2006/relationships" ref="M241" r:id="rId480"/>
    <hyperlink xmlns:r="http://schemas.openxmlformats.org/officeDocument/2006/relationships" ref="D242" r:id="rId481"/>
    <hyperlink xmlns:r="http://schemas.openxmlformats.org/officeDocument/2006/relationships" ref="M242" r:id="rId482"/>
    <hyperlink xmlns:r="http://schemas.openxmlformats.org/officeDocument/2006/relationships" ref="D243" r:id="rId483"/>
    <hyperlink xmlns:r="http://schemas.openxmlformats.org/officeDocument/2006/relationships" ref="M243" r:id="rId484"/>
    <hyperlink xmlns:r="http://schemas.openxmlformats.org/officeDocument/2006/relationships" ref="D244" r:id="rId485"/>
    <hyperlink xmlns:r="http://schemas.openxmlformats.org/officeDocument/2006/relationships" ref="M244" r:id="rId486"/>
    <hyperlink xmlns:r="http://schemas.openxmlformats.org/officeDocument/2006/relationships" ref="D245" r:id="rId487"/>
    <hyperlink xmlns:r="http://schemas.openxmlformats.org/officeDocument/2006/relationships" ref="M245" r:id="rId488"/>
    <hyperlink xmlns:r="http://schemas.openxmlformats.org/officeDocument/2006/relationships" ref="D246" r:id="rId489"/>
    <hyperlink xmlns:r="http://schemas.openxmlformats.org/officeDocument/2006/relationships" ref="M246" r:id="rId490"/>
    <hyperlink xmlns:r="http://schemas.openxmlformats.org/officeDocument/2006/relationships" ref="D247" r:id="rId491"/>
    <hyperlink xmlns:r="http://schemas.openxmlformats.org/officeDocument/2006/relationships" ref="M247" r:id="rId492"/>
    <hyperlink xmlns:r="http://schemas.openxmlformats.org/officeDocument/2006/relationships" ref="D248" r:id="rId493"/>
    <hyperlink xmlns:r="http://schemas.openxmlformats.org/officeDocument/2006/relationships" ref="M248" r:id="rId494"/>
    <hyperlink xmlns:r="http://schemas.openxmlformats.org/officeDocument/2006/relationships" ref="D249" r:id="rId495"/>
    <hyperlink xmlns:r="http://schemas.openxmlformats.org/officeDocument/2006/relationships" ref="M249" r:id="rId496"/>
    <hyperlink xmlns:r="http://schemas.openxmlformats.org/officeDocument/2006/relationships" ref="D250" r:id="rId497"/>
    <hyperlink xmlns:r="http://schemas.openxmlformats.org/officeDocument/2006/relationships" ref="M250" r:id="rId498"/>
    <hyperlink xmlns:r="http://schemas.openxmlformats.org/officeDocument/2006/relationships" ref="D251" r:id="rId499"/>
    <hyperlink xmlns:r="http://schemas.openxmlformats.org/officeDocument/2006/relationships" ref="M251" r:id="rId500"/>
    <hyperlink xmlns:r="http://schemas.openxmlformats.org/officeDocument/2006/relationships" ref="D252" r:id="rId501"/>
    <hyperlink xmlns:r="http://schemas.openxmlformats.org/officeDocument/2006/relationships" ref="M252" r:id="rId502"/>
    <hyperlink xmlns:r="http://schemas.openxmlformats.org/officeDocument/2006/relationships" ref="D253" r:id="rId503"/>
    <hyperlink xmlns:r="http://schemas.openxmlformats.org/officeDocument/2006/relationships" ref="M253" r:id="rId504"/>
    <hyperlink xmlns:r="http://schemas.openxmlformats.org/officeDocument/2006/relationships" ref="D254" r:id="rId505"/>
    <hyperlink xmlns:r="http://schemas.openxmlformats.org/officeDocument/2006/relationships" ref="M254" r:id="rId506"/>
    <hyperlink xmlns:r="http://schemas.openxmlformats.org/officeDocument/2006/relationships" ref="D255" r:id="rId507"/>
    <hyperlink xmlns:r="http://schemas.openxmlformats.org/officeDocument/2006/relationships" ref="M255" r:id="rId508"/>
    <hyperlink xmlns:r="http://schemas.openxmlformats.org/officeDocument/2006/relationships" ref="D256" r:id="rId509"/>
    <hyperlink xmlns:r="http://schemas.openxmlformats.org/officeDocument/2006/relationships" ref="M256" r:id="rId510"/>
    <hyperlink xmlns:r="http://schemas.openxmlformats.org/officeDocument/2006/relationships" ref="D257" r:id="rId511"/>
    <hyperlink xmlns:r="http://schemas.openxmlformats.org/officeDocument/2006/relationships" ref="M257" r:id="rId512"/>
    <hyperlink xmlns:r="http://schemas.openxmlformats.org/officeDocument/2006/relationships" ref="D258" r:id="rId513"/>
    <hyperlink xmlns:r="http://schemas.openxmlformats.org/officeDocument/2006/relationships" ref="M258" r:id="rId514"/>
    <hyperlink xmlns:r="http://schemas.openxmlformats.org/officeDocument/2006/relationships" ref="D259" r:id="rId515"/>
    <hyperlink xmlns:r="http://schemas.openxmlformats.org/officeDocument/2006/relationships" ref="M259" r:id="rId516"/>
    <hyperlink xmlns:r="http://schemas.openxmlformats.org/officeDocument/2006/relationships" ref="D260" r:id="rId517"/>
    <hyperlink xmlns:r="http://schemas.openxmlformats.org/officeDocument/2006/relationships" ref="M260" r:id="rId518"/>
    <hyperlink xmlns:r="http://schemas.openxmlformats.org/officeDocument/2006/relationships" ref="D261" r:id="rId519"/>
    <hyperlink xmlns:r="http://schemas.openxmlformats.org/officeDocument/2006/relationships" ref="M261" r:id="rId520"/>
    <hyperlink xmlns:r="http://schemas.openxmlformats.org/officeDocument/2006/relationships" ref="D262" r:id="rId521"/>
    <hyperlink xmlns:r="http://schemas.openxmlformats.org/officeDocument/2006/relationships" ref="M262" r:id="rId522"/>
    <hyperlink xmlns:r="http://schemas.openxmlformats.org/officeDocument/2006/relationships" ref="D263" r:id="rId523"/>
    <hyperlink xmlns:r="http://schemas.openxmlformats.org/officeDocument/2006/relationships" ref="M263" r:id="rId524"/>
    <hyperlink xmlns:r="http://schemas.openxmlformats.org/officeDocument/2006/relationships" ref="D264" r:id="rId525"/>
    <hyperlink xmlns:r="http://schemas.openxmlformats.org/officeDocument/2006/relationships" ref="M264" r:id="rId526"/>
    <hyperlink xmlns:r="http://schemas.openxmlformats.org/officeDocument/2006/relationships" ref="D265" r:id="rId527"/>
    <hyperlink xmlns:r="http://schemas.openxmlformats.org/officeDocument/2006/relationships" ref="M265" r:id="rId528"/>
    <hyperlink xmlns:r="http://schemas.openxmlformats.org/officeDocument/2006/relationships" ref="D266" r:id="rId529"/>
    <hyperlink xmlns:r="http://schemas.openxmlformats.org/officeDocument/2006/relationships" ref="M266" r:id="rId530"/>
    <hyperlink xmlns:r="http://schemas.openxmlformats.org/officeDocument/2006/relationships" ref="D267" r:id="rId531"/>
    <hyperlink xmlns:r="http://schemas.openxmlformats.org/officeDocument/2006/relationships" ref="M267" r:id="rId532"/>
    <hyperlink xmlns:r="http://schemas.openxmlformats.org/officeDocument/2006/relationships" ref="D268" r:id="rId533"/>
    <hyperlink xmlns:r="http://schemas.openxmlformats.org/officeDocument/2006/relationships" ref="M268" r:id="rId534"/>
    <hyperlink xmlns:r="http://schemas.openxmlformats.org/officeDocument/2006/relationships" ref="D269" r:id="rId535"/>
    <hyperlink xmlns:r="http://schemas.openxmlformats.org/officeDocument/2006/relationships" ref="M269" r:id="rId536"/>
    <hyperlink xmlns:r="http://schemas.openxmlformats.org/officeDocument/2006/relationships" ref="D270" r:id="rId537"/>
    <hyperlink xmlns:r="http://schemas.openxmlformats.org/officeDocument/2006/relationships" ref="M270" r:id="rId538"/>
    <hyperlink xmlns:r="http://schemas.openxmlformats.org/officeDocument/2006/relationships" ref="D271" r:id="rId539"/>
    <hyperlink xmlns:r="http://schemas.openxmlformats.org/officeDocument/2006/relationships" ref="M271" r:id="rId540"/>
    <hyperlink xmlns:r="http://schemas.openxmlformats.org/officeDocument/2006/relationships" ref="D272" r:id="rId541"/>
    <hyperlink xmlns:r="http://schemas.openxmlformats.org/officeDocument/2006/relationships" ref="M272" r:id="rId542"/>
    <hyperlink xmlns:r="http://schemas.openxmlformats.org/officeDocument/2006/relationships" ref="D273" r:id="rId543"/>
    <hyperlink xmlns:r="http://schemas.openxmlformats.org/officeDocument/2006/relationships" ref="M273" r:id="rId544"/>
    <hyperlink xmlns:r="http://schemas.openxmlformats.org/officeDocument/2006/relationships" ref="D274" r:id="rId545"/>
    <hyperlink xmlns:r="http://schemas.openxmlformats.org/officeDocument/2006/relationships" ref="M274" r:id="rId546"/>
    <hyperlink xmlns:r="http://schemas.openxmlformats.org/officeDocument/2006/relationships" ref="D275" r:id="rId547"/>
    <hyperlink xmlns:r="http://schemas.openxmlformats.org/officeDocument/2006/relationships" ref="M275" r:id="rId548"/>
    <hyperlink xmlns:r="http://schemas.openxmlformats.org/officeDocument/2006/relationships" ref="D276" r:id="rId549"/>
    <hyperlink xmlns:r="http://schemas.openxmlformats.org/officeDocument/2006/relationships" ref="M276" r:id="rId550"/>
    <hyperlink xmlns:r="http://schemas.openxmlformats.org/officeDocument/2006/relationships" ref="D277" r:id="rId551"/>
    <hyperlink xmlns:r="http://schemas.openxmlformats.org/officeDocument/2006/relationships" ref="M277" r:id="rId552"/>
    <hyperlink xmlns:r="http://schemas.openxmlformats.org/officeDocument/2006/relationships" ref="D278" r:id="rId553"/>
    <hyperlink xmlns:r="http://schemas.openxmlformats.org/officeDocument/2006/relationships" ref="M278" r:id="rId554"/>
    <hyperlink xmlns:r="http://schemas.openxmlformats.org/officeDocument/2006/relationships" ref="D279" r:id="rId555"/>
    <hyperlink xmlns:r="http://schemas.openxmlformats.org/officeDocument/2006/relationships" ref="M279" r:id="rId556"/>
    <hyperlink xmlns:r="http://schemas.openxmlformats.org/officeDocument/2006/relationships" ref="D280" r:id="rId557"/>
    <hyperlink xmlns:r="http://schemas.openxmlformats.org/officeDocument/2006/relationships" ref="M280" r:id="rId558"/>
    <hyperlink xmlns:r="http://schemas.openxmlformats.org/officeDocument/2006/relationships" ref="D281" r:id="rId559"/>
    <hyperlink xmlns:r="http://schemas.openxmlformats.org/officeDocument/2006/relationships" ref="M281" r:id="rId560"/>
    <hyperlink xmlns:r="http://schemas.openxmlformats.org/officeDocument/2006/relationships" ref="D282" r:id="rId561"/>
    <hyperlink xmlns:r="http://schemas.openxmlformats.org/officeDocument/2006/relationships" ref="M282" r:id="rId562"/>
    <hyperlink xmlns:r="http://schemas.openxmlformats.org/officeDocument/2006/relationships" ref="D283" r:id="rId563"/>
    <hyperlink xmlns:r="http://schemas.openxmlformats.org/officeDocument/2006/relationships" ref="M283" r:id="rId564"/>
    <hyperlink xmlns:r="http://schemas.openxmlformats.org/officeDocument/2006/relationships" ref="D284" r:id="rId565"/>
    <hyperlink xmlns:r="http://schemas.openxmlformats.org/officeDocument/2006/relationships" ref="M284" r:id="rId566"/>
    <hyperlink xmlns:r="http://schemas.openxmlformats.org/officeDocument/2006/relationships" ref="D285" r:id="rId567"/>
    <hyperlink xmlns:r="http://schemas.openxmlformats.org/officeDocument/2006/relationships" ref="M285" r:id="rId568"/>
    <hyperlink xmlns:r="http://schemas.openxmlformats.org/officeDocument/2006/relationships" ref="D286" r:id="rId569"/>
    <hyperlink xmlns:r="http://schemas.openxmlformats.org/officeDocument/2006/relationships" ref="M286" r:id="rId570"/>
    <hyperlink xmlns:r="http://schemas.openxmlformats.org/officeDocument/2006/relationships" ref="D287" r:id="rId571"/>
    <hyperlink xmlns:r="http://schemas.openxmlformats.org/officeDocument/2006/relationships" ref="M287" r:id="rId572"/>
    <hyperlink xmlns:r="http://schemas.openxmlformats.org/officeDocument/2006/relationships" ref="D288" r:id="rId573"/>
    <hyperlink xmlns:r="http://schemas.openxmlformats.org/officeDocument/2006/relationships" ref="M288" r:id="rId574"/>
    <hyperlink xmlns:r="http://schemas.openxmlformats.org/officeDocument/2006/relationships" ref="D289" r:id="rId575"/>
    <hyperlink xmlns:r="http://schemas.openxmlformats.org/officeDocument/2006/relationships" ref="M289" r:id="rId576"/>
    <hyperlink xmlns:r="http://schemas.openxmlformats.org/officeDocument/2006/relationships" ref="D290" r:id="rId577"/>
    <hyperlink xmlns:r="http://schemas.openxmlformats.org/officeDocument/2006/relationships" ref="M290" r:id="rId578"/>
    <hyperlink xmlns:r="http://schemas.openxmlformats.org/officeDocument/2006/relationships" ref="D291" r:id="rId579"/>
    <hyperlink xmlns:r="http://schemas.openxmlformats.org/officeDocument/2006/relationships" ref="M291" r:id="rId580"/>
    <hyperlink xmlns:r="http://schemas.openxmlformats.org/officeDocument/2006/relationships" ref="D292" r:id="rId581"/>
    <hyperlink xmlns:r="http://schemas.openxmlformats.org/officeDocument/2006/relationships" ref="M292" r:id="rId582"/>
    <hyperlink xmlns:r="http://schemas.openxmlformats.org/officeDocument/2006/relationships" ref="D293" r:id="rId583"/>
    <hyperlink xmlns:r="http://schemas.openxmlformats.org/officeDocument/2006/relationships" ref="M293" r:id="rId584"/>
    <hyperlink xmlns:r="http://schemas.openxmlformats.org/officeDocument/2006/relationships" ref="D294" r:id="rId585"/>
    <hyperlink xmlns:r="http://schemas.openxmlformats.org/officeDocument/2006/relationships" ref="M294" r:id="rId586"/>
    <hyperlink xmlns:r="http://schemas.openxmlformats.org/officeDocument/2006/relationships" ref="D295" r:id="rId587"/>
    <hyperlink xmlns:r="http://schemas.openxmlformats.org/officeDocument/2006/relationships" ref="M295" r:id="rId588"/>
    <hyperlink xmlns:r="http://schemas.openxmlformats.org/officeDocument/2006/relationships" ref="D296" r:id="rId589"/>
    <hyperlink xmlns:r="http://schemas.openxmlformats.org/officeDocument/2006/relationships" ref="M296" r:id="rId590"/>
    <hyperlink xmlns:r="http://schemas.openxmlformats.org/officeDocument/2006/relationships" ref="D297" r:id="rId591"/>
    <hyperlink xmlns:r="http://schemas.openxmlformats.org/officeDocument/2006/relationships" ref="M297" r:id="rId592"/>
    <hyperlink xmlns:r="http://schemas.openxmlformats.org/officeDocument/2006/relationships" ref="D298" r:id="rId593"/>
    <hyperlink xmlns:r="http://schemas.openxmlformats.org/officeDocument/2006/relationships" ref="M298" r:id="rId594"/>
    <hyperlink xmlns:r="http://schemas.openxmlformats.org/officeDocument/2006/relationships" ref="D299" r:id="rId595"/>
    <hyperlink xmlns:r="http://schemas.openxmlformats.org/officeDocument/2006/relationships" ref="M299" r:id="rId596"/>
    <hyperlink xmlns:r="http://schemas.openxmlformats.org/officeDocument/2006/relationships" ref="D300" r:id="rId597"/>
    <hyperlink xmlns:r="http://schemas.openxmlformats.org/officeDocument/2006/relationships" ref="M300" r:id="rId598"/>
    <hyperlink xmlns:r="http://schemas.openxmlformats.org/officeDocument/2006/relationships" ref="D301" r:id="rId599"/>
    <hyperlink xmlns:r="http://schemas.openxmlformats.org/officeDocument/2006/relationships" ref="M301" r:id="rId600"/>
    <hyperlink xmlns:r="http://schemas.openxmlformats.org/officeDocument/2006/relationships" ref="D302" r:id="rId601"/>
    <hyperlink xmlns:r="http://schemas.openxmlformats.org/officeDocument/2006/relationships" ref="M302" r:id="rId602"/>
    <hyperlink xmlns:r="http://schemas.openxmlformats.org/officeDocument/2006/relationships" ref="D303" r:id="rId603"/>
    <hyperlink xmlns:r="http://schemas.openxmlformats.org/officeDocument/2006/relationships" ref="M303" r:id="rId604"/>
    <hyperlink xmlns:r="http://schemas.openxmlformats.org/officeDocument/2006/relationships" ref="D304" r:id="rId605"/>
    <hyperlink xmlns:r="http://schemas.openxmlformats.org/officeDocument/2006/relationships" ref="M304" r:id="rId606"/>
    <hyperlink xmlns:r="http://schemas.openxmlformats.org/officeDocument/2006/relationships" ref="D305" r:id="rId607"/>
    <hyperlink xmlns:r="http://schemas.openxmlformats.org/officeDocument/2006/relationships" ref="M305" r:id="rId608"/>
    <hyperlink xmlns:r="http://schemas.openxmlformats.org/officeDocument/2006/relationships" ref="D306" r:id="rId609"/>
    <hyperlink xmlns:r="http://schemas.openxmlformats.org/officeDocument/2006/relationships" ref="M306" r:id="rId610"/>
    <hyperlink xmlns:r="http://schemas.openxmlformats.org/officeDocument/2006/relationships" ref="D307" r:id="rId611"/>
    <hyperlink xmlns:r="http://schemas.openxmlformats.org/officeDocument/2006/relationships" ref="M307" r:id="rId612"/>
    <hyperlink xmlns:r="http://schemas.openxmlformats.org/officeDocument/2006/relationships" ref="D308" r:id="rId613"/>
    <hyperlink xmlns:r="http://schemas.openxmlformats.org/officeDocument/2006/relationships" ref="M308" r:id="rId614"/>
    <hyperlink xmlns:r="http://schemas.openxmlformats.org/officeDocument/2006/relationships" ref="D309" r:id="rId615"/>
    <hyperlink xmlns:r="http://schemas.openxmlformats.org/officeDocument/2006/relationships" ref="M309" r:id="rId616"/>
    <hyperlink xmlns:r="http://schemas.openxmlformats.org/officeDocument/2006/relationships" ref="D310" r:id="rId617"/>
    <hyperlink xmlns:r="http://schemas.openxmlformats.org/officeDocument/2006/relationships" ref="M310" r:id="rId618"/>
    <hyperlink xmlns:r="http://schemas.openxmlformats.org/officeDocument/2006/relationships" ref="D311" r:id="rId619"/>
    <hyperlink xmlns:r="http://schemas.openxmlformats.org/officeDocument/2006/relationships" ref="M311" r:id="rId620"/>
    <hyperlink xmlns:r="http://schemas.openxmlformats.org/officeDocument/2006/relationships" ref="D312" r:id="rId621"/>
    <hyperlink xmlns:r="http://schemas.openxmlformats.org/officeDocument/2006/relationships" ref="M312" r:id="rId622"/>
    <hyperlink xmlns:r="http://schemas.openxmlformats.org/officeDocument/2006/relationships" ref="D313" r:id="rId623"/>
    <hyperlink xmlns:r="http://schemas.openxmlformats.org/officeDocument/2006/relationships" ref="M313" r:id="rId624"/>
    <hyperlink xmlns:r="http://schemas.openxmlformats.org/officeDocument/2006/relationships" ref="D314" r:id="rId625"/>
    <hyperlink xmlns:r="http://schemas.openxmlformats.org/officeDocument/2006/relationships" ref="M314" r:id="rId626"/>
    <hyperlink xmlns:r="http://schemas.openxmlformats.org/officeDocument/2006/relationships" ref="D315" r:id="rId627"/>
    <hyperlink xmlns:r="http://schemas.openxmlformats.org/officeDocument/2006/relationships" ref="M315" r:id="rId628"/>
    <hyperlink xmlns:r="http://schemas.openxmlformats.org/officeDocument/2006/relationships" ref="D316" r:id="rId629"/>
    <hyperlink xmlns:r="http://schemas.openxmlformats.org/officeDocument/2006/relationships" ref="M316" r:id="rId630"/>
    <hyperlink xmlns:r="http://schemas.openxmlformats.org/officeDocument/2006/relationships" ref="D317" r:id="rId631"/>
    <hyperlink xmlns:r="http://schemas.openxmlformats.org/officeDocument/2006/relationships" ref="M317" r:id="rId632"/>
    <hyperlink xmlns:r="http://schemas.openxmlformats.org/officeDocument/2006/relationships" ref="D318" r:id="rId633"/>
    <hyperlink xmlns:r="http://schemas.openxmlformats.org/officeDocument/2006/relationships" ref="M318" r:id="rId634"/>
    <hyperlink xmlns:r="http://schemas.openxmlformats.org/officeDocument/2006/relationships" ref="D319" r:id="rId635"/>
    <hyperlink xmlns:r="http://schemas.openxmlformats.org/officeDocument/2006/relationships" ref="M319" r:id="rId636"/>
    <hyperlink xmlns:r="http://schemas.openxmlformats.org/officeDocument/2006/relationships" ref="D320" r:id="rId637"/>
    <hyperlink xmlns:r="http://schemas.openxmlformats.org/officeDocument/2006/relationships" ref="M320" r:id="rId638"/>
    <hyperlink xmlns:r="http://schemas.openxmlformats.org/officeDocument/2006/relationships" ref="D321" r:id="rId639"/>
    <hyperlink xmlns:r="http://schemas.openxmlformats.org/officeDocument/2006/relationships" ref="M321" r:id="rId640"/>
    <hyperlink xmlns:r="http://schemas.openxmlformats.org/officeDocument/2006/relationships" ref="D322" r:id="rId641"/>
    <hyperlink xmlns:r="http://schemas.openxmlformats.org/officeDocument/2006/relationships" ref="M322" r:id="rId642"/>
    <hyperlink xmlns:r="http://schemas.openxmlformats.org/officeDocument/2006/relationships" ref="D323" r:id="rId643"/>
    <hyperlink xmlns:r="http://schemas.openxmlformats.org/officeDocument/2006/relationships" ref="M323" r:id="rId644"/>
    <hyperlink xmlns:r="http://schemas.openxmlformats.org/officeDocument/2006/relationships" ref="D324" r:id="rId645"/>
    <hyperlink xmlns:r="http://schemas.openxmlformats.org/officeDocument/2006/relationships" ref="M324" r:id="rId646"/>
    <hyperlink xmlns:r="http://schemas.openxmlformats.org/officeDocument/2006/relationships" ref="D325" r:id="rId647"/>
    <hyperlink xmlns:r="http://schemas.openxmlformats.org/officeDocument/2006/relationships" ref="M325" r:id="rId648"/>
    <hyperlink xmlns:r="http://schemas.openxmlformats.org/officeDocument/2006/relationships" ref="D326" r:id="rId649"/>
    <hyperlink xmlns:r="http://schemas.openxmlformats.org/officeDocument/2006/relationships" ref="M326" r:id="rId650"/>
    <hyperlink xmlns:r="http://schemas.openxmlformats.org/officeDocument/2006/relationships" ref="D327" r:id="rId651"/>
    <hyperlink xmlns:r="http://schemas.openxmlformats.org/officeDocument/2006/relationships" ref="M327" r:id="rId652"/>
    <hyperlink xmlns:r="http://schemas.openxmlformats.org/officeDocument/2006/relationships" ref="D328" r:id="rId653"/>
    <hyperlink xmlns:r="http://schemas.openxmlformats.org/officeDocument/2006/relationships" ref="M328" r:id="rId654"/>
    <hyperlink xmlns:r="http://schemas.openxmlformats.org/officeDocument/2006/relationships" ref="D329" r:id="rId655"/>
    <hyperlink xmlns:r="http://schemas.openxmlformats.org/officeDocument/2006/relationships" ref="M329" r:id="rId656"/>
    <hyperlink xmlns:r="http://schemas.openxmlformats.org/officeDocument/2006/relationships" ref="D330" r:id="rId657"/>
    <hyperlink xmlns:r="http://schemas.openxmlformats.org/officeDocument/2006/relationships" ref="M330" r:id="rId658"/>
    <hyperlink xmlns:r="http://schemas.openxmlformats.org/officeDocument/2006/relationships" ref="D331" r:id="rId659"/>
    <hyperlink xmlns:r="http://schemas.openxmlformats.org/officeDocument/2006/relationships" ref="M331" r:id="rId660"/>
    <hyperlink xmlns:r="http://schemas.openxmlformats.org/officeDocument/2006/relationships" ref="D332" r:id="rId661"/>
    <hyperlink xmlns:r="http://schemas.openxmlformats.org/officeDocument/2006/relationships" ref="M332" r:id="rId662"/>
    <hyperlink xmlns:r="http://schemas.openxmlformats.org/officeDocument/2006/relationships" ref="D333" r:id="rId663"/>
    <hyperlink xmlns:r="http://schemas.openxmlformats.org/officeDocument/2006/relationships" ref="M333" r:id="rId664"/>
    <hyperlink xmlns:r="http://schemas.openxmlformats.org/officeDocument/2006/relationships" ref="D334" r:id="rId665"/>
    <hyperlink xmlns:r="http://schemas.openxmlformats.org/officeDocument/2006/relationships" ref="M334" r:id="rId666"/>
    <hyperlink xmlns:r="http://schemas.openxmlformats.org/officeDocument/2006/relationships" ref="D335" r:id="rId667"/>
    <hyperlink xmlns:r="http://schemas.openxmlformats.org/officeDocument/2006/relationships" ref="M335" r:id="rId668"/>
    <hyperlink xmlns:r="http://schemas.openxmlformats.org/officeDocument/2006/relationships" ref="D336" r:id="rId669"/>
    <hyperlink xmlns:r="http://schemas.openxmlformats.org/officeDocument/2006/relationships" ref="M336" r:id="rId670"/>
    <hyperlink xmlns:r="http://schemas.openxmlformats.org/officeDocument/2006/relationships" ref="D337" r:id="rId671"/>
    <hyperlink xmlns:r="http://schemas.openxmlformats.org/officeDocument/2006/relationships" ref="M337" r:id="rId672"/>
    <hyperlink xmlns:r="http://schemas.openxmlformats.org/officeDocument/2006/relationships" ref="D338" r:id="rId673"/>
    <hyperlink xmlns:r="http://schemas.openxmlformats.org/officeDocument/2006/relationships" ref="M338" r:id="rId674"/>
    <hyperlink xmlns:r="http://schemas.openxmlformats.org/officeDocument/2006/relationships" ref="D339" r:id="rId675"/>
    <hyperlink xmlns:r="http://schemas.openxmlformats.org/officeDocument/2006/relationships" ref="M339" r:id="rId676"/>
    <hyperlink xmlns:r="http://schemas.openxmlformats.org/officeDocument/2006/relationships" ref="D340" r:id="rId677"/>
    <hyperlink xmlns:r="http://schemas.openxmlformats.org/officeDocument/2006/relationships" ref="M340" r:id="rId678"/>
    <hyperlink xmlns:r="http://schemas.openxmlformats.org/officeDocument/2006/relationships" ref="D341" r:id="rId679"/>
    <hyperlink xmlns:r="http://schemas.openxmlformats.org/officeDocument/2006/relationships" ref="M341" r:id="rId680"/>
    <hyperlink xmlns:r="http://schemas.openxmlformats.org/officeDocument/2006/relationships" ref="D342" r:id="rId681"/>
    <hyperlink xmlns:r="http://schemas.openxmlformats.org/officeDocument/2006/relationships" ref="M342" r:id="rId682"/>
    <hyperlink xmlns:r="http://schemas.openxmlformats.org/officeDocument/2006/relationships" ref="D343" r:id="rId683"/>
    <hyperlink xmlns:r="http://schemas.openxmlformats.org/officeDocument/2006/relationships" ref="M343" r:id="rId684"/>
    <hyperlink xmlns:r="http://schemas.openxmlformats.org/officeDocument/2006/relationships" ref="D344" r:id="rId685"/>
    <hyperlink xmlns:r="http://schemas.openxmlformats.org/officeDocument/2006/relationships" ref="M344" r:id="rId686"/>
    <hyperlink xmlns:r="http://schemas.openxmlformats.org/officeDocument/2006/relationships" ref="D345" r:id="rId687"/>
    <hyperlink xmlns:r="http://schemas.openxmlformats.org/officeDocument/2006/relationships" ref="M345" r:id="rId688"/>
    <hyperlink xmlns:r="http://schemas.openxmlformats.org/officeDocument/2006/relationships" ref="D346" r:id="rId689"/>
    <hyperlink xmlns:r="http://schemas.openxmlformats.org/officeDocument/2006/relationships" ref="M346" r:id="rId690"/>
    <hyperlink xmlns:r="http://schemas.openxmlformats.org/officeDocument/2006/relationships" ref="D347" r:id="rId691"/>
    <hyperlink xmlns:r="http://schemas.openxmlformats.org/officeDocument/2006/relationships" ref="M347" r:id="rId692"/>
    <hyperlink xmlns:r="http://schemas.openxmlformats.org/officeDocument/2006/relationships" ref="D348" r:id="rId693"/>
    <hyperlink xmlns:r="http://schemas.openxmlformats.org/officeDocument/2006/relationships" ref="M348" r:id="rId694"/>
    <hyperlink xmlns:r="http://schemas.openxmlformats.org/officeDocument/2006/relationships" ref="D349" r:id="rId695"/>
    <hyperlink xmlns:r="http://schemas.openxmlformats.org/officeDocument/2006/relationships" ref="M349" r:id="rId696"/>
    <hyperlink xmlns:r="http://schemas.openxmlformats.org/officeDocument/2006/relationships" ref="D350" r:id="rId697"/>
    <hyperlink xmlns:r="http://schemas.openxmlformats.org/officeDocument/2006/relationships" ref="M350" r:id="rId698"/>
    <hyperlink xmlns:r="http://schemas.openxmlformats.org/officeDocument/2006/relationships" ref="D351" r:id="rId699"/>
    <hyperlink xmlns:r="http://schemas.openxmlformats.org/officeDocument/2006/relationships" ref="M351" r:id="rId700"/>
    <hyperlink xmlns:r="http://schemas.openxmlformats.org/officeDocument/2006/relationships" ref="D352" r:id="rId701"/>
    <hyperlink xmlns:r="http://schemas.openxmlformats.org/officeDocument/2006/relationships" ref="M352" r:id="rId702"/>
    <hyperlink xmlns:r="http://schemas.openxmlformats.org/officeDocument/2006/relationships" ref="D353" r:id="rId703"/>
    <hyperlink xmlns:r="http://schemas.openxmlformats.org/officeDocument/2006/relationships" ref="M353" r:id="rId704"/>
    <hyperlink xmlns:r="http://schemas.openxmlformats.org/officeDocument/2006/relationships" ref="D354" r:id="rId705"/>
    <hyperlink xmlns:r="http://schemas.openxmlformats.org/officeDocument/2006/relationships" ref="M354" r:id="rId706"/>
    <hyperlink xmlns:r="http://schemas.openxmlformats.org/officeDocument/2006/relationships" ref="D355" r:id="rId707"/>
    <hyperlink xmlns:r="http://schemas.openxmlformats.org/officeDocument/2006/relationships" ref="M355" r:id="rId708"/>
    <hyperlink xmlns:r="http://schemas.openxmlformats.org/officeDocument/2006/relationships" ref="D356" r:id="rId709"/>
    <hyperlink xmlns:r="http://schemas.openxmlformats.org/officeDocument/2006/relationships" ref="M356" r:id="rId710"/>
    <hyperlink xmlns:r="http://schemas.openxmlformats.org/officeDocument/2006/relationships" ref="D357" r:id="rId711"/>
    <hyperlink xmlns:r="http://schemas.openxmlformats.org/officeDocument/2006/relationships" ref="M357" r:id="rId712"/>
    <hyperlink xmlns:r="http://schemas.openxmlformats.org/officeDocument/2006/relationships" ref="D358" r:id="rId713"/>
    <hyperlink xmlns:r="http://schemas.openxmlformats.org/officeDocument/2006/relationships" ref="M358" r:id="rId714"/>
    <hyperlink xmlns:r="http://schemas.openxmlformats.org/officeDocument/2006/relationships" ref="D359" r:id="rId715"/>
    <hyperlink xmlns:r="http://schemas.openxmlformats.org/officeDocument/2006/relationships" ref="M359" r:id="rId716"/>
    <hyperlink xmlns:r="http://schemas.openxmlformats.org/officeDocument/2006/relationships" ref="D360" r:id="rId717"/>
    <hyperlink xmlns:r="http://schemas.openxmlformats.org/officeDocument/2006/relationships" ref="M360" r:id="rId718"/>
    <hyperlink xmlns:r="http://schemas.openxmlformats.org/officeDocument/2006/relationships" ref="D361" r:id="rId719"/>
    <hyperlink xmlns:r="http://schemas.openxmlformats.org/officeDocument/2006/relationships" ref="M361" r:id="rId720"/>
    <hyperlink xmlns:r="http://schemas.openxmlformats.org/officeDocument/2006/relationships" ref="D362" r:id="rId721"/>
    <hyperlink xmlns:r="http://schemas.openxmlformats.org/officeDocument/2006/relationships" ref="M362" r:id="rId722"/>
    <hyperlink xmlns:r="http://schemas.openxmlformats.org/officeDocument/2006/relationships" ref="D363" r:id="rId723"/>
    <hyperlink xmlns:r="http://schemas.openxmlformats.org/officeDocument/2006/relationships" ref="M363" r:id="rId724"/>
    <hyperlink xmlns:r="http://schemas.openxmlformats.org/officeDocument/2006/relationships" ref="D364" r:id="rId725"/>
    <hyperlink xmlns:r="http://schemas.openxmlformats.org/officeDocument/2006/relationships" ref="M364" r:id="rId726"/>
    <hyperlink xmlns:r="http://schemas.openxmlformats.org/officeDocument/2006/relationships" ref="D365" r:id="rId727"/>
    <hyperlink xmlns:r="http://schemas.openxmlformats.org/officeDocument/2006/relationships" ref="M365" r:id="rId728"/>
    <hyperlink xmlns:r="http://schemas.openxmlformats.org/officeDocument/2006/relationships" ref="D366" r:id="rId729"/>
    <hyperlink xmlns:r="http://schemas.openxmlformats.org/officeDocument/2006/relationships" ref="M366" r:id="rId730"/>
    <hyperlink xmlns:r="http://schemas.openxmlformats.org/officeDocument/2006/relationships" ref="D367" r:id="rId731"/>
    <hyperlink xmlns:r="http://schemas.openxmlformats.org/officeDocument/2006/relationships" ref="M367" r:id="rId732"/>
    <hyperlink xmlns:r="http://schemas.openxmlformats.org/officeDocument/2006/relationships" ref="D368" r:id="rId733"/>
    <hyperlink xmlns:r="http://schemas.openxmlformats.org/officeDocument/2006/relationships" ref="M368" r:id="rId734"/>
    <hyperlink xmlns:r="http://schemas.openxmlformats.org/officeDocument/2006/relationships" ref="D369" r:id="rId735"/>
    <hyperlink xmlns:r="http://schemas.openxmlformats.org/officeDocument/2006/relationships" ref="M369" r:id="rId736"/>
    <hyperlink xmlns:r="http://schemas.openxmlformats.org/officeDocument/2006/relationships" ref="D370" r:id="rId737"/>
    <hyperlink xmlns:r="http://schemas.openxmlformats.org/officeDocument/2006/relationships" ref="M370" r:id="rId738"/>
    <hyperlink xmlns:r="http://schemas.openxmlformats.org/officeDocument/2006/relationships" ref="D371" r:id="rId739"/>
    <hyperlink xmlns:r="http://schemas.openxmlformats.org/officeDocument/2006/relationships" ref="M371" r:id="rId740"/>
    <hyperlink xmlns:r="http://schemas.openxmlformats.org/officeDocument/2006/relationships" ref="D372" r:id="rId741"/>
    <hyperlink xmlns:r="http://schemas.openxmlformats.org/officeDocument/2006/relationships" ref="M372" r:id="rId742"/>
    <hyperlink xmlns:r="http://schemas.openxmlformats.org/officeDocument/2006/relationships" ref="D373" r:id="rId743"/>
    <hyperlink xmlns:r="http://schemas.openxmlformats.org/officeDocument/2006/relationships" ref="M373" r:id="rId744"/>
    <hyperlink xmlns:r="http://schemas.openxmlformats.org/officeDocument/2006/relationships" ref="D374" r:id="rId745"/>
    <hyperlink xmlns:r="http://schemas.openxmlformats.org/officeDocument/2006/relationships" ref="M374" r:id="rId746"/>
    <hyperlink xmlns:r="http://schemas.openxmlformats.org/officeDocument/2006/relationships" ref="D375" r:id="rId747"/>
    <hyperlink xmlns:r="http://schemas.openxmlformats.org/officeDocument/2006/relationships" ref="M375" r:id="rId748"/>
    <hyperlink xmlns:r="http://schemas.openxmlformats.org/officeDocument/2006/relationships" ref="D376" r:id="rId749"/>
    <hyperlink xmlns:r="http://schemas.openxmlformats.org/officeDocument/2006/relationships" ref="M376" r:id="rId750"/>
    <hyperlink xmlns:r="http://schemas.openxmlformats.org/officeDocument/2006/relationships" ref="D377" r:id="rId751"/>
    <hyperlink xmlns:r="http://schemas.openxmlformats.org/officeDocument/2006/relationships" ref="M377" r:id="rId752"/>
    <hyperlink xmlns:r="http://schemas.openxmlformats.org/officeDocument/2006/relationships" ref="D378" r:id="rId753"/>
    <hyperlink xmlns:r="http://schemas.openxmlformats.org/officeDocument/2006/relationships" ref="M378" r:id="rId754"/>
    <hyperlink xmlns:r="http://schemas.openxmlformats.org/officeDocument/2006/relationships" ref="D379" r:id="rId755"/>
    <hyperlink xmlns:r="http://schemas.openxmlformats.org/officeDocument/2006/relationships" ref="M379" r:id="rId756"/>
    <hyperlink xmlns:r="http://schemas.openxmlformats.org/officeDocument/2006/relationships" ref="D380" r:id="rId757"/>
    <hyperlink xmlns:r="http://schemas.openxmlformats.org/officeDocument/2006/relationships" ref="M380" r:id="rId758"/>
    <hyperlink xmlns:r="http://schemas.openxmlformats.org/officeDocument/2006/relationships" ref="D381" r:id="rId759"/>
    <hyperlink xmlns:r="http://schemas.openxmlformats.org/officeDocument/2006/relationships" ref="M381" r:id="rId760"/>
    <hyperlink xmlns:r="http://schemas.openxmlformats.org/officeDocument/2006/relationships" ref="D382" r:id="rId761"/>
    <hyperlink xmlns:r="http://schemas.openxmlformats.org/officeDocument/2006/relationships" ref="M382" r:id="rId762"/>
    <hyperlink xmlns:r="http://schemas.openxmlformats.org/officeDocument/2006/relationships" ref="D383" r:id="rId763"/>
    <hyperlink xmlns:r="http://schemas.openxmlformats.org/officeDocument/2006/relationships" ref="M383" r:id="rId764"/>
    <hyperlink xmlns:r="http://schemas.openxmlformats.org/officeDocument/2006/relationships" ref="D384" r:id="rId765"/>
    <hyperlink xmlns:r="http://schemas.openxmlformats.org/officeDocument/2006/relationships" ref="M384" r:id="rId766"/>
    <hyperlink xmlns:r="http://schemas.openxmlformats.org/officeDocument/2006/relationships" ref="D385" r:id="rId767"/>
    <hyperlink xmlns:r="http://schemas.openxmlformats.org/officeDocument/2006/relationships" ref="M385" r:id="rId768"/>
    <hyperlink xmlns:r="http://schemas.openxmlformats.org/officeDocument/2006/relationships" ref="D386" r:id="rId769"/>
    <hyperlink xmlns:r="http://schemas.openxmlformats.org/officeDocument/2006/relationships" ref="M386" r:id="rId770"/>
    <hyperlink xmlns:r="http://schemas.openxmlformats.org/officeDocument/2006/relationships" ref="D387" r:id="rId771"/>
    <hyperlink xmlns:r="http://schemas.openxmlformats.org/officeDocument/2006/relationships" ref="M387" r:id="rId772"/>
    <hyperlink xmlns:r="http://schemas.openxmlformats.org/officeDocument/2006/relationships" ref="D388" r:id="rId773"/>
    <hyperlink xmlns:r="http://schemas.openxmlformats.org/officeDocument/2006/relationships" ref="M388" r:id="rId774"/>
    <hyperlink xmlns:r="http://schemas.openxmlformats.org/officeDocument/2006/relationships" ref="D389" r:id="rId775"/>
    <hyperlink xmlns:r="http://schemas.openxmlformats.org/officeDocument/2006/relationships" ref="M389" r:id="rId776"/>
    <hyperlink xmlns:r="http://schemas.openxmlformats.org/officeDocument/2006/relationships" ref="D390" r:id="rId777"/>
    <hyperlink xmlns:r="http://schemas.openxmlformats.org/officeDocument/2006/relationships" ref="M390" r:id="rId778"/>
    <hyperlink xmlns:r="http://schemas.openxmlformats.org/officeDocument/2006/relationships" ref="D391" r:id="rId779"/>
    <hyperlink xmlns:r="http://schemas.openxmlformats.org/officeDocument/2006/relationships" ref="M391" r:id="rId780"/>
    <hyperlink xmlns:r="http://schemas.openxmlformats.org/officeDocument/2006/relationships" ref="D392" r:id="rId781"/>
    <hyperlink xmlns:r="http://schemas.openxmlformats.org/officeDocument/2006/relationships" ref="M392" r:id="rId782"/>
    <hyperlink xmlns:r="http://schemas.openxmlformats.org/officeDocument/2006/relationships" ref="D393" r:id="rId783"/>
    <hyperlink xmlns:r="http://schemas.openxmlformats.org/officeDocument/2006/relationships" ref="M393" r:id="rId784"/>
    <hyperlink xmlns:r="http://schemas.openxmlformats.org/officeDocument/2006/relationships" ref="D394" r:id="rId785"/>
    <hyperlink xmlns:r="http://schemas.openxmlformats.org/officeDocument/2006/relationships" ref="M394" r:id="rId786"/>
    <hyperlink xmlns:r="http://schemas.openxmlformats.org/officeDocument/2006/relationships" ref="D395" r:id="rId787"/>
    <hyperlink xmlns:r="http://schemas.openxmlformats.org/officeDocument/2006/relationships" ref="M395" r:id="rId788"/>
    <hyperlink xmlns:r="http://schemas.openxmlformats.org/officeDocument/2006/relationships" ref="D396" r:id="rId789"/>
    <hyperlink xmlns:r="http://schemas.openxmlformats.org/officeDocument/2006/relationships" ref="M396" r:id="rId790"/>
    <hyperlink xmlns:r="http://schemas.openxmlformats.org/officeDocument/2006/relationships" ref="D397" r:id="rId791"/>
    <hyperlink xmlns:r="http://schemas.openxmlformats.org/officeDocument/2006/relationships" ref="M397" r:id="rId792"/>
    <hyperlink xmlns:r="http://schemas.openxmlformats.org/officeDocument/2006/relationships" ref="D398" r:id="rId793"/>
    <hyperlink xmlns:r="http://schemas.openxmlformats.org/officeDocument/2006/relationships" ref="M398" r:id="rId794"/>
    <hyperlink xmlns:r="http://schemas.openxmlformats.org/officeDocument/2006/relationships" ref="D399" r:id="rId795"/>
    <hyperlink xmlns:r="http://schemas.openxmlformats.org/officeDocument/2006/relationships" ref="M399" r:id="rId796"/>
    <hyperlink xmlns:r="http://schemas.openxmlformats.org/officeDocument/2006/relationships" ref="D400" r:id="rId797"/>
    <hyperlink xmlns:r="http://schemas.openxmlformats.org/officeDocument/2006/relationships" ref="M400" r:id="rId798"/>
    <hyperlink xmlns:r="http://schemas.openxmlformats.org/officeDocument/2006/relationships" ref="D401" r:id="rId799"/>
    <hyperlink xmlns:r="http://schemas.openxmlformats.org/officeDocument/2006/relationships" ref="M401" r:id="rId800"/>
    <hyperlink xmlns:r="http://schemas.openxmlformats.org/officeDocument/2006/relationships" ref="D402" r:id="rId801"/>
    <hyperlink xmlns:r="http://schemas.openxmlformats.org/officeDocument/2006/relationships" ref="M402" r:id="rId802"/>
    <hyperlink xmlns:r="http://schemas.openxmlformats.org/officeDocument/2006/relationships" ref="D403" r:id="rId803"/>
    <hyperlink xmlns:r="http://schemas.openxmlformats.org/officeDocument/2006/relationships" ref="M403" r:id="rId804"/>
    <hyperlink xmlns:r="http://schemas.openxmlformats.org/officeDocument/2006/relationships" ref="D404" r:id="rId805"/>
    <hyperlink xmlns:r="http://schemas.openxmlformats.org/officeDocument/2006/relationships" ref="M404" r:id="rId806"/>
    <hyperlink xmlns:r="http://schemas.openxmlformats.org/officeDocument/2006/relationships" ref="D405" r:id="rId807"/>
    <hyperlink xmlns:r="http://schemas.openxmlformats.org/officeDocument/2006/relationships" ref="M405" r:id="rId808"/>
    <hyperlink xmlns:r="http://schemas.openxmlformats.org/officeDocument/2006/relationships" ref="D406" r:id="rId809"/>
    <hyperlink xmlns:r="http://schemas.openxmlformats.org/officeDocument/2006/relationships" ref="M406" r:id="rId810"/>
    <hyperlink xmlns:r="http://schemas.openxmlformats.org/officeDocument/2006/relationships" ref="D407" r:id="rId811"/>
    <hyperlink xmlns:r="http://schemas.openxmlformats.org/officeDocument/2006/relationships" ref="M407" r:id="rId812"/>
    <hyperlink xmlns:r="http://schemas.openxmlformats.org/officeDocument/2006/relationships" ref="D408" r:id="rId813"/>
    <hyperlink xmlns:r="http://schemas.openxmlformats.org/officeDocument/2006/relationships" ref="M408" r:id="rId814"/>
    <hyperlink xmlns:r="http://schemas.openxmlformats.org/officeDocument/2006/relationships" ref="D409" r:id="rId815"/>
    <hyperlink xmlns:r="http://schemas.openxmlformats.org/officeDocument/2006/relationships" ref="M409" r:id="rId816"/>
    <hyperlink xmlns:r="http://schemas.openxmlformats.org/officeDocument/2006/relationships" ref="D410" r:id="rId817"/>
    <hyperlink xmlns:r="http://schemas.openxmlformats.org/officeDocument/2006/relationships" ref="M410" r:id="rId818"/>
    <hyperlink xmlns:r="http://schemas.openxmlformats.org/officeDocument/2006/relationships" ref="D411" r:id="rId819"/>
    <hyperlink xmlns:r="http://schemas.openxmlformats.org/officeDocument/2006/relationships" ref="M411" r:id="rId820"/>
    <hyperlink xmlns:r="http://schemas.openxmlformats.org/officeDocument/2006/relationships" ref="D412" r:id="rId821"/>
    <hyperlink xmlns:r="http://schemas.openxmlformats.org/officeDocument/2006/relationships" ref="M412" r:id="rId822"/>
    <hyperlink xmlns:r="http://schemas.openxmlformats.org/officeDocument/2006/relationships" ref="D413" r:id="rId823"/>
    <hyperlink xmlns:r="http://schemas.openxmlformats.org/officeDocument/2006/relationships" ref="M413" r:id="rId824"/>
    <hyperlink xmlns:r="http://schemas.openxmlformats.org/officeDocument/2006/relationships" ref="D414" r:id="rId825"/>
    <hyperlink xmlns:r="http://schemas.openxmlformats.org/officeDocument/2006/relationships" ref="M414" r:id="rId826"/>
    <hyperlink xmlns:r="http://schemas.openxmlformats.org/officeDocument/2006/relationships" ref="D415" r:id="rId827"/>
    <hyperlink xmlns:r="http://schemas.openxmlformats.org/officeDocument/2006/relationships" ref="M415" r:id="rId828"/>
    <hyperlink xmlns:r="http://schemas.openxmlformats.org/officeDocument/2006/relationships" ref="D416" r:id="rId829"/>
    <hyperlink xmlns:r="http://schemas.openxmlformats.org/officeDocument/2006/relationships" ref="M416" r:id="rId830"/>
    <hyperlink xmlns:r="http://schemas.openxmlformats.org/officeDocument/2006/relationships" ref="D417" r:id="rId831"/>
    <hyperlink xmlns:r="http://schemas.openxmlformats.org/officeDocument/2006/relationships" ref="M417" r:id="rId832"/>
    <hyperlink xmlns:r="http://schemas.openxmlformats.org/officeDocument/2006/relationships" ref="D418" r:id="rId833"/>
    <hyperlink xmlns:r="http://schemas.openxmlformats.org/officeDocument/2006/relationships" ref="M418" r:id="rId834"/>
    <hyperlink xmlns:r="http://schemas.openxmlformats.org/officeDocument/2006/relationships" ref="D419" r:id="rId835"/>
    <hyperlink xmlns:r="http://schemas.openxmlformats.org/officeDocument/2006/relationships" ref="M419" r:id="rId836"/>
    <hyperlink xmlns:r="http://schemas.openxmlformats.org/officeDocument/2006/relationships" ref="D420" r:id="rId837"/>
    <hyperlink xmlns:r="http://schemas.openxmlformats.org/officeDocument/2006/relationships" ref="M420" r:id="rId838"/>
    <hyperlink xmlns:r="http://schemas.openxmlformats.org/officeDocument/2006/relationships" ref="D421" r:id="rId839"/>
    <hyperlink xmlns:r="http://schemas.openxmlformats.org/officeDocument/2006/relationships" ref="M421" r:id="rId840"/>
    <hyperlink xmlns:r="http://schemas.openxmlformats.org/officeDocument/2006/relationships" ref="D422" r:id="rId841"/>
    <hyperlink xmlns:r="http://schemas.openxmlformats.org/officeDocument/2006/relationships" ref="M422" r:id="rId842"/>
    <hyperlink xmlns:r="http://schemas.openxmlformats.org/officeDocument/2006/relationships" ref="D423" r:id="rId843"/>
    <hyperlink xmlns:r="http://schemas.openxmlformats.org/officeDocument/2006/relationships" ref="M423" r:id="rId844"/>
    <hyperlink xmlns:r="http://schemas.openxmlformats.org/officeDocument/2006/relationships" ref="D424" r:id="rId845"/>
    <hyperlink xmlns:r="http://schemas.openxmlformats.org/officeDocument/2006/relationships" ref="M424" r:id="rId846"/>
    <hyperlink xmlns:r="http://schemas.openxmlformats.org/officeDocument/2006/relationships" ref="D425" r:id="rId847"/>
    <hyperlink xmlns:r="http://schemas.openxmlformats.org/officeDocument/2006/relationships" ref="M425" r:id="rId848"/>
    <hyperlink xmlns:r="http://schemas.openxmlformats.org/officeDocument/2006/relationships" ref="D426" r:id="rId849"/>
    <hyperlink xmlns:r="http://schemas.openxmlformats.org/officeDocument/2006/relationships" ref="M426" r:id="rId850"/>
    <hyperlink xmlns:r="http://schemas.openxmlformats.org/officeDocument/2006/relationships" ref="D427" r:id="rId851"/>
    <hyperlink xmlns:r="http://schemas.openxmlformats.org/officeDocument/2006/relationships" ref="M427" r:id="rId852"/>
    <hyperlink xmlns:r="http://schemas.openxmlformats.org/officeDocument/2006/relationships" ref="D428" r:id="rId853"/>
    <hyperlink xmlns:r="http://schemas.openxmlformats.org/officeDocument/2006/relationships" ref="M428" r:id="rId854"/>
    <hyperlink xmlns:r="http://schemas.openxmlformats.org/officeDocument/2006/relationships" ref="D429" r:id="rId855"/>
    <hyperlink xmlns:r="http://schemas.openxmlformats.org/officeDocument/2006/relationships" ref="M429" r:id="rId856"/>
    <hyperlink xmlns:r="http://schemas.openxmlformats.org/officeDocument/2006/relationships" ref="D430" r:id="rId857"/>
    <hyperlink xmlns:r="http://schemas.openxmlformats.org/officeDocument/2006/relationships" ref="M430" r:id="rId858"/>
    <hyperlink xmlns:r="http://schemas.openxmlformats.org/officeDocument/2006/relationships" ref="D431" r:id="rId859"/>
    <hyperlink xmlns:r="http://schemas.openxmlformats.org/officeDocument/2006/relationships" ref="M431" r:id="rId860"/>
    <hyperlink xmlns:r="http://schemas.openxmlformats.org/officeDocument/2006/relationships" ref="D432" r:id="rId861"/>
    <hyperlink xmlns:r="http://schemas.openxmlformats.org/officeDocument/2006/relationships" ref="M432" r:id="rId862"/>
    <hyperlink xmlns:r="http://schemas.openxmlformats.org/officeDocument/2006/relationships" ref="D433" r:id="rId863"/>
    <hyperlink xmlns:r="http://schemas.openxmlformats.org/officeDocument/2006/relationships" ref="M433" r:id="rId864"/>
    <hyperlink xmlns:r="http://schemas.openxmlformats.org/officeDocument/2006/relationships" ref="D434" r:id="rId865"/>
    <hyperlink xmlns:r="http://schemas.openxmlformats.org/officeDocument/2006/relationships" ref="M434" r:id="rId866"/>
    <hyperlink xmlns:r="http://schemas.openxmlformats.org/officeDocument/2006/relationships" ref="D435" r:id="rId867"/>
    <hyperlink xmlns:r="http://schemas.openxmlformats.org/officeDocument/2006/relationships" ref="M435" r:id="rId868"/>
    <hyperlink xmlns:r="http://schemas.openxmlformats.org/officeDocument/2006/relationships" ref="D436" r:id="rId869"/>
    <hyperlink xmlns:r="http://schemas.openxmlformats.org/officeDocument/2006/relationships" ref="M436" r:id="rId870"/>
    <hyperlink xmlns:r="http://schemas.openxmlformats.org/officeDocument/2006/relationships" ref="D437" r:id="rId871"/>
    <hyperlink xmlns:r="http://schemas.openxmlformats.org/officeDocument/2006/relationships" ref="M437" r:id="rId872"/>
    <hyperlink xmlns:r="http://schemas.openxmlformats.org/officeDocument/2006/relationships" ref="D438" r:id="rId873"/>
    <hyperlink xmlns:r="http://schemas.openxmlformats.org/officeDocument/2006/relationships" ref="M438" r:id="rId874"/>
    <hyperlink xmlns:r="http://schemas.openxmlformats.org/officeDocument/2006/relationships" ref="D439" r:id="rId875"/>
    <hyperlink xmlns:r="http://schemas.openxmlformats.org/officeDocument/2006/relationships" ref="M439" r:id="rId876"/>
    <hyperlink xmlns:r="http://schemas.openxmlformats.org/officeDocument/2006/relationships" ref="D440" r:id="rId877"/>
    <hyperlink xmlns:r="http://schemas.openxmlformats.org/officeDocument/2006/relationships" ref="M440" r:id="rId878"/>
    <hyperlink xmlns:r="http://schemas.openxmlformats.org/officeDocument/2006/relationships" ref="D441" r:id="rId879"/>
    <hyperlink xmlns:r="http://schemas.openxmlformats.org/officeDocument/2006/relationships" ref="M441" r:id="rId880"/>
    <hyperlink xmlns:r="http://schemas.openxmlformats.org/officeDocument/2006/relationships" ref="D442" r:id="rId881"/>
    <hyperlink xmlns:r="http://schemas.openxmlformats.org/officeDocument/2006/relationships" ref="M442" r:id="rId882"/>
    <hyperlink xmlns:r="http://schemas.openxmlformats.org/officeDocument/2006/relationships" ref="D443" r:id="rId883"/>
    <hyperlink xmlns:r="http://schemas.openxmlformats.org/officeDocument/2006/relationships" ref="M443" r:id="rId884"/>
    <hyperlink xmlns:r="http://schemas.openxmlformats.org/officeDocument/2006/relationships" ref="D444" r:id="rId885"/>
    <hyperlink xmlns:r="http://schemas.openxmlformats.org/officeDocument/2006/relationships" ref="M444" r:id="rId886"/>
    <hyperlink xmlns:r="http://schemas.openxmlformats.org/officeDocument/2006/relationships" ref="D445" r:id="rId887"/>
    <hyperlink xmlns:r="http://schemas.openxmlformats.org/officeDocument/2006/relationships" ref="M445" r:id="rId888"/>
    <hyperlink xmlns:r="http://schemas.openxmlformats.org/officeDocument/2006/relationships" ref="D446" r:id="rId889"/>
    <hyperlink xmlns:r="http://schemas.openxmlformats.org/officeDocument/2006/relationships" ref="M446" r:id="rId890"/>
    <hyperlink xmlns:r="http://schemas.openxmlformats.org/officeDocument/2006/relationships" ref="D447" r:id="rId891"/>
    <hyperlink xmlns:r="http://schemas.openxmlformats.org/officeDocument/2006/relationships" ref="M447" r:id="rId892"/>
    <hyperlink xmlns:r="http://schemas.openxmlformats.org/officeDocument/2006/relationships" ref="D448" r:id="rId893"/>
    <hyperlink xmlns:r="http://schemas.openxmlformats.org/officeDocument/2006/relationships" ref="M448" r:id="rId894"/>
    <hyperlink xmlns:r="http://schemas.openxmlformats.org/officeDocument/2006/relationships" ref="D449" r:id="rId895"/>
    <hyperlink xmlns:r="http://schemas.openxmlformats.org/officeDocument/2006/relationships" ref="M449" r:id="rId896"/>
    <hyperlink xmlns:r="http://schemas.openxmlformats.org/officeDocument/2006/relationships" ref="D450" r:id="rId897"/>
    <hyperlink xmlns:r="http://schemas.openxmlformats.org/officeDocument/2006/relationships" ref="M450" r:id="rId898"/>
    <hyperlink xmlns:r="http://schemas.openxmlformats.org/officeDocument/2006/relationships" ref="D451" r:id="rId899"/>
    <hyperlink xmlns:r="http://schemas.openxmlformats.org/officeDocument/2006/relationships" ref="M451" r:id="rId900"/>
    <hyperlink xmlns:r="http://schemas.openxmlformats.org/officeDocument/2006/relationships" ref="D452" r:id="rId901"/>
    <hyperlink xmlns:r="http://schemas.openxmlformats.org/officeDocument/2006/relationships" ref="M452" r:id="rId902"/>
    <hyperlink xmlns:r="http://schemas.openxmlformats.org/officeDocument/2006/relationships" ref="D453" r:id="rId903"/>
    <hyperlink xmlns:r="http://schemas.openxmlformats.org/officeDocument/2006/relationships" ref="M453" r:id="rId904"/>
    <hyperlink xmlns:r="http://schemas.openxmlformats.org/officeDocument/2006/relationships" ref="D454" r:id="rId905"/>
    <hyperlink xmlns:r="http://schemas.openxmlformats.org/officeDocument/2006/relationships" ref="M454" r:id="rId906"/>
    <hyperlink xmlns:r="http://schemas.openxmlformats.org/officeDocument/2006/relationships" ref="D455" r:id="rId907"/>
    <hyperlink xmlns:r="http://schemas.openxmlformats.org/officeDocument/2006/relationships" ref="M455" r:id="rId908"/>
    <hyperlink xmlns:r="http://schemas.openxmlformats.org/officeDocument/2006/relationships" ref="D456" r:id="rId909"/>
    <hyperlink xmlns:r="http://schemas.openxmlformats.org/officeDocument/2006/relationships" ref="M456" r:id="rId910"/>
    <hyperlink xmlns:r="http://schemas.openxmlformats.org/officeDocument/2006/relationships" ref="D457" r:id="rId911"/>
    <hyperlink xmlns:r="http://schemas.openxmlformats.org/officeDocument/2006/relationships" ref="M457" r:id="rId912"/>
    <hyperlink xmlns:r="http://schemas.openxmlformats.org/officeDocument/2006/relationships" ref="D458" r:id="rId913"/>
    <hyperlink xmlns:r="http://schemas.openxmlformats.org/officeDocument/2006/relationships" ref="M458" r:id="rId914"/>
    <hyperlink xmlns:r="http://schemas.openxmlformats.org/officeDocument/2006/relationships" ref="D459" r:id="rId915"/>
    <hyperlink xmlns:r="http://schemas.openxmlformats.org/officeDocument/2006/relationships" ref="M459" r:id="rId916"/>
    <hyperlink xmlns:r="http://schemas.openxmlformats.org/officeDocument/2006/relationships" ref="D460" r:id="rId917"/>
    <hyperlink xmlns:r="http://schemas.openxmlformats.org/officeDocument/2006/relationships" ref="M460" r:id="rId918"/>
    <hyperlink xmlns:r="http://schemas.openxmlformats.org/officeDocument/2006/relationships" ref="D461" r:id="rId919"/>
    <hyperlink xmlns:r="http://schemas.openxmlformats.org/officeDocument/2006/relationships" ref="M461" r:id="rId920"/>
    <hyperlink xmlns:r="http://schemas.openxmlformats.org/officeDocument/2006/relationships" ref="D462" r:id="rId921"/>
    <hyperlink xmlns:r="http://schemas.openxmlformats.org/officeDocument/2006/relationships" ref="M462" r:id="rId922"/>
    <hyperlink xmlns:r="http://schemas.openxmlformats.org/officeDocument/2006/relationships" ref="D463" r:id="rId923"/>
    <hyperlink xmlns:r="http://schemas.openxmlformats.org/officeDocument/2006/relationships" ref="M463" r:id="rId924"/>
    <hyperlink xmlns:r="http://schemas.openxmlformats.org/officeDocument/2006/relationships" ref="D464" r:id="rId925"/>
    <hyperlink xmlns:r="http://schemas.openxmlformats.org/officeDocument/2006/relationships" ref="M464" r:id="rId926"/>
    <hyperlink xmlns:r="http://schemas.openxmlformats.org/officeDocument/2006/relationships" ref="D465" r:id="rId927"/>
    <hyperlink xmlns:r="http://schemas.openxmlformats.org/officeDocument/2006/relationships" ref="M465" r:id="rId928"/>
    <hyperlink xmlns:r="http://schemas.openxmlformats.org/officeDocument/2006/relationships" ref="D466" r:id="rId929"/>
    <hyperlink xmlns:r="http://schemas.openxmlformats.org/officeDocument/2006/relationships" ref="M466" r:id="rId930"/>
    <hyperlink xmlns:r="http://schemas.openxmlformats.org/officeDocument/2006/relationships" ref="D467" r:id="rId931"/>
    <hyperlink xmlns:r="http://schemas.openxmlformats.org/officeDocument/2006/relationships" ref="M467" r:id="rId932"/>
    <hyperlink xmlns:r="http://schemas.openxmlformats.org/officeDocument/2006/relationships" ref="D468" r:id="rId933"/>
    <hyperlink xmlns:r="http://schemas.openxmlformats.org/officeDocument/2006/relationships" ref="M468" r:id="rId934"/>
    <hyperlink xmlns:r="http://schemas.openxmlformats.org/officeDocument/2006/relationships" ref="D469" r:id="rId935"/>
    <hyperlink xmlns:r="http://schemas.openxmlformats.org/officeDocument/2006/relationships" ref="M469" r:id="rId936"/>
    <hyperlink xmlns:r="http://schemas.openxmlformats.org/officeDocument/2006/relationships" ref="D470" r:id="rId937"/>
    <hyperlink xmlns:r="http://schemas.openxmlformats.org/officeDocument/2006/relationships" ref="M470" r:id="rId938"/>
    <hyperlink xmlns:r="http://schemas.openxmlformats.org/officeDocument/2006/relationships" ref="D471" r:id="rId939"/>
    <hyperlink xmlns:r="http://schemas.openxmlformats.org/officeDocument/2006/relationships" ref="M471" r:id="rId940"/>
    <hyperlink xmlns:r="http://schemas.openxmlformats.org/officeDocument/2006/relationships" ref="D472" r:id="rId941"/>
    <hyperlink xmlns:r="http://schemas.openxmlformats.org/officeDocument/2006/relationships" ref="M472" r:id="rId942"/>
    <hyperlink xmlns:r="http://schemas.openxmlformats.org/officeDocument/2006/relationships" ref="D473" r:id="rId943"/>
    <hyperlink xmlns:r="http://schemas.openxmlformats.org/officeDocument/2006/relationships" ref="M473" r:id="rId944"/>
    <hyperlink xmlns:r="http://schemas.openxmlformats.org/officeDocument/2006/relationships" ref="D474" r:id="rId945"/>
    <hyperlink xmlns:r="http://schemas.openxmlformats.org/officeDocument/2006/relationships" ref="M474" r:id="rId946"/>
    <hyperlink xmlns:r="http://schemas.openxmlformats.org/officeDocument/2006/relationships" ref="D475" r:id="rId947"/>
    <hyperlink xmlns:r="http://schemas.openxmlformats.org/officeDocument/2006/relationships" ref="M475" r:id="rId948"/>
    <hyperlink xmlns:r="http://schemas.openxmlformats.org/officeDocument/2006/relationships" ref="D476" r:id="rId949"/>
    <hyperlink xmlns:r="http://schemas.openxmlformats.org/officeDocument/2006/relationships" ref="M476" r:id="rId950"/>
    <hyperlink xmlns:r="http://schemas.openxmlformats.org/officeDocument/2006/relationships" ref="D477" r:id="rId951"/>
    <hyperlink xmlns:r="http://schemas.openxmlformats.org/officeDocument/2006/relationships" ref="M477" r:id="rId952"/>
    <hyperlink xmlns:r="http://schemas.openxmlformats.org/officeDocument/2006/relationships" ref="D478" r:id="rId953"/>
    <hyperlink xmlns:r="http://schemas.openxmlformats.org/officeDocument/2006/relationships" ref="M478" r:id="rId954"/>
    <hyperlink xmlns:r="http://schemas.openxmlformats.org/officeDocument/2006/relationships" ref="D479" r:id="rId955"/>
    <hyperlink xmlns:r="http://schemas.openxmlformats.org/officeDocument/2006/relationships" ref="M479" r:id="rId956"/>
    <hyperlink xmlns:r="http://schemas.openxmlformats.org/officeDocument/2006/relationships" ref="D480" r:id="rId957"/>
    <hyperlink xmlns:r="http://schemas.openxmlformats.org/officeDocument/2006/relationships" ref="M480" r:id="rId958"/>
    <hyperlink xmlns:r="http://schemas.openxmlformats.org/officeDocument/2006/relationships" ref="D481" r:id="rId959"/>
    <hyperlink xmlns:r="http://schemas.openxmlformats.org/officeDocument/2006/relationships" ref="M481" r:id="rId960"/>
    <hyperlink xmlns:r="http://schemas.openxmlformats.org/officeDocument/2006/relationships" ref="D482" r:id="rId961"/>
    <hyperlink xmlns:r="http://schemas.openxmlformats.org/officeDocument/2006/relationships" ref="M482" r:id="rId962"/>
    <hyperlink xmlns:r="http://schemas.openxmlformats.org/officeDocument/2006/relationships" ref="D483" r:id="rId963"/>
    <hyperlink xmlns:r="http://schemas.openxmlformats.org/officeDocument/2006/relationships" ref="M483" r:id="rId964"/>
    <hyperlink xmlns:r="http://schemas.openxmlformats.org/officeDocument/2006/relationships" ref="D484" r:id="rId965"/>
    <hyperlink xmlns:r="http://schemas.openxmlformats.org/officeDocument/2006/relationships" ref="M484" r:id="rId966"/>
    <hyperlink xmlns:r="http://schemas.openxmlformats.org/officeDocument/2006/relationships" ref="D485" r:id="rId967"/>
    <hyperlink xmlns:r="http://schemas.openxmlformats.org/officeDocument/2006/relationships" ref="M485" r:id="rId968"/>
    <hyperlink xmlns:r="http://schemas.openxmlformats.org/officeDocument/2006/relationships" ref="D486" r:id="rId969"/>
    <hyperlink xmlns:r="http://schemas.openxmlformats.org/officeDocument/2006/relationships" ref="M486" r:id="rId970"/>
    <hyperlink xmlns:r="http://schemas.openxmlformats.org/officeDocument/2006/relationships" ref="D487" r:id="rId971"/>
    <hyperlink xmlns:r="http://schemas.openxmlformats.org/officeDocument/2006/relationships" ref="M487" r:id="rId972"/>
    <hyperlink xmlns:r="http://schemas.openxmlformats.org/officeDocument/2006/relationships" ref="D488" r:id="rId973"/>
    <hyperlink xmlns:r="http://schemas.openxmlformats.org/officeDocument/2006/relationships" ref="M488" r:id="rId974"/>
    <hyperlink xmlns:r="http://schemas.openxmlformats.org/officeDocument/2006/relationships" ref="D489" r:id="rId975"/>
    <hyperlink xmlns:r="http://schemas.openxmlformats.org/officeDocument/2006/relationships" ref="M489" r:id="rId976"/>
    <hyperlink xmlns:r="http://schemas.openxmlformats.org/officeDocument/2006/relationships" ref="D490" r:id="rId977"/>
    <hyperlink xmlns:r="http://schemas.openxmlformats.org/officeDocument/2006/relationships" ref="M490" r:id="rId978"/>
    <hyperlink xmlns:r="http://schemas.openxmlformats.org/officeDocument/2006/relationships" ref="D491" r:id="rId979"/>
    <hyperlink xmlns:r="http://schemas.openxmlformats.org/officeDocument/2006/relationships" ref="M491" r:id="rId980"/>
    <hyperlink xmlns:r="http://schemas.openxmlformats.org/officeDocument/2006/relationships" ref="D492" r:id="rId981"/>
    <hyperlink xmlns:r="http://schemas.openxmlformats.org/officeDocument/2006/relationships" ref="M492" r:id="rId982"/>
    <hyperlink xmlns:r="http://schemas.openxmlformats.org/officeDocument/2006/relationships" ref="D493" r:id="rId983"/>
    <hyperlink xmlns:r="http://schemas.openxmlformats.org/officeDocument/2006/relationships" ref="M493" r:id="rId984"/>
    <hyperlink xmlns:r="http://schemas.openxmlformats.org/officeDocument/2006/relationships" ref="D494" r:id="rId985"/>
    <hyperlink xmlns:r="http://schemas.openxmlformats.org/officeDocument/2006/relationships" ref="M494" r:id="rId986"/>
    <hyperlink xmlns:r="http://schemas.openxmlformats.org/officeDocument/2006/relationships" ref="D495" r:id="rId987"/>
    <hyperlink xmlns:r="http://schemas.openxmlformats.org/officeDocument/2006/relationships" ref="M495" r:id="rId988"/>
    <hyperlink xmlns:r="http://schemas.openxmlformats.org/officeDocument/2006/relationships" ref="D496" r:id="rId989"/>
    <hyperlink xmlns:r="http://schemas.openxmlformats.org/officeDocument/2006/relationships" ref="M496" r:id="rId990"/>
    <hyperlink xmlns:r="http://schemas.openxmlformats.org/officeDocument/2006/relationships" ref="D497" r:id="rId991"/>
    <hyperlink xmlns:r="http://schemas.openxmlformats.org/officeDocument/2006/relationships" ref="M497" r:id="rId992"/>
    <hyperlink xmlns:r="http://schemas.openxmlformats.org/officeDocument/2006/relationships" ref="D498" r:id="rId993"/>
    <hyperlink xmlns:r="http://schemas.openxmlformats.org/officeDocument/2006/relationships" ref="M498" r:id="rId994"/>
    <hyperlink xmlns:r="http://schemas.openxmlformats.org/officeDocument/2006/relationships" ref="D499" r:id="rId995"/>
    <hyperlink xmlns:r="http://schemas.openxmlformats.org/officeDocument/2006/relationships" ref="M499" r:id="rId996"/>
    <hyperlink xmlns:r="http://schemas.openxmlformats.org/officeDocument/2006/relationships" ref="D500" r:id="rId997"/>
    <hyperlink xmlns:r="http://schemas.openxmlformats.org/officeDocument/2006/relationships" ref="M500" r:id="rId998"/>
    <hyperlink xmlns:r="http://schemas.openxmlformats.org/officeDocument/2006/relationships" ref="D501" r:id="rId999"/>
    <hyperlink xmlns:r="http://schemas.openxmlformats.org/officeDocument/2006/relationships" ref="M501" r:id="rId1000"/>
    <hyperlink xmlns:r="http://schemas.openxmlformats.org/officeDocument/2006/relationships" ref="D502" r:id="rId1001"/>
    <hyperlink xmlns:r="http://schemas.openxmlformats.org/officeDocument/2006/relationships" ref="M502" r:id="rId1002"/>
    <hyperlink xmlns:r="http://schemas.openxmlformats.org/officeDocument/2006/relationships" ref="D503" r:id="rId1003"/>
    <hyperlink xmlns:r="http://schemas.openxmlformats.org/officeDocument/2006/relationships" ref="M503" r:id="rId1004"/>
    <hyperlink xmlns:r="http://schemas.openxmlformats.org/officeDocument/2006/relationships" ref="D504" r:id="rId1005"/>
    <hyperlink xmlns:r="http://schemas.openxmlformats.org/officeDocument/2006/relationships" ref="M504" r:id="rId1006"/>
    <hyperlink xmlns:r="http://schemas.openxmlformats.org/officeDocument/2006/relationships" ref="D505" r:id="rId1007"/>
    <hyperlink xmlns:r="http://schemas.openxmlformats.org/officeDocument/2006/relationships" ref="M505" r:id="rId1008"/>
    <hyperlink xmlns:r="http://schemas.openxmlformats.org/officeDocument/2006/relationships" ref="D506" r:id="rId1009"/>
    <hyperlink xmlns:r="http://schemas.openxmlformats.org/officeDocument/2006/relationships" ref="M506" r:id="rId1010"/>
    <hyperlink xmlns:r="http://schemas.openxmlformats.org/officeDocument/2006/relationships" ref="D507" r:id="rId1011"/>
    <hyperlink xmlns:r="http://schemas.openxmlformats.org/officeDocument/2006/relationships" ref="M507" r:id="rId1012"/>
    <hyperlink xmlns:r="http://schemas.openxmlformats.org/officeDocument/2006/relationships" ref="D508" r:id="rId1013"/>
    <hyperlink xmlns:r="http://schemas.openxmlformats.org/officeDocument/2006/relationships" ref="M508" r:id="rId1014"/>
    <hyperlink xmlns:r="http://schemas.openxmlformats.org/officeDocument/2006/relationships" ref="D509" r:id="rId1015"/>
    <hyperlink xmlns:r="http://schemas.openxmlformats.org/officeDocument/2006/relationships" ref="M509" r:id="rId1016"/>
    <hyperlink xmlns:r="http://schemas.openxmlformats.org/officeDocument/2006/relationships" ref="D510" r:id="rId1017"/>
    <hyperlink xmlns:r="http://schemas.openxmlformats.org/officeDocument/2006/relationships" ref="M510" r:id="rId1018"/>
    <hyperlink xmlns:r="http://schemas.openxmlformats.org/officeDocument/2006/relationships" ref="D511" r:id="rId1019"/>
    <hyperlink xmlns:r="http://schemas.openxmlformats.org/officeDocument/2006/relationships" ref="M511" r:id="rId1020"/>
    <hyperlink xmlns:r="http://schemas.openxmlformats.org/officeDocument/2006/relationships" ref="D512" r:id="rId1021"/>
    <hyperlink xmlns:r="http://schemas.openxmlformats.org/officeDocument/2006/relationships" ref="M512" r:id="rId1022"/>
    <hyperlink xmlns:r="http://schemas.openxmlformats.org/officeDocument/2006/relationships" ref="D513" r:id="rId1023"/>
    <hyperlink xmlns:r="http://schemas.openxmlformats.org/officeDocument/2006/relationships" ref="M513" r:id="rId1024"/>
    <hyperlink xmlns:r="http://schemas.openxmlformats.org/officeDocument/2006/relationships" ref="D514" r:id="rId1025"/>
    <hyperlink xmlns:r="http://schemas.openxmlformats.org/officeDocument/2006/relationships" ref="M514" r:id="rId1026"/>
    <hyperlink xmlns:r="http://schemas.openxmlformats.org/officeDocument/2006/relationships" ref="D515" r:id="rId1027"/>
    <hyperlink xmlns:r="http://schemas.openxmlformats.org/officeDocument/2006/relationships" ref="M515" r:id="rId1028"/>
    <hyperlink xmlns:r="http://schemas.openxmlformats.org/officeDocument/2006/relationships" ref="D516" r:id="rId1029"/>
    <hyperlink xmlns:r="http://schemas.openxmlformats.org/officeDocument/2006/relationships" ref="M516" r:id="rId1030"/>
    <hyperlink xmlns:r="http://schemas.openxmlformats.org/officeDocument/2006/relationships" ref="D517" r:id="rId1031"/>
    <hyperlink xmlns:r="http://schemas.openxmlformats.org/officeDocument/2006/relationships" ref="M517" r:id="rId1032"/>
    <hyperlink xmlns:r="http://schemas.openxmlformats.org/officeDocument/2006/relationships" ref="D518" r:id="rId1033"/>
    <hyperlink xmlns:r="http://schemas.openxmlformats.org/officeDocument/2006/relationships" ref="M518" r:id="rId1034"/>
    <hyperlink xmlns:r="http://schemas.openxmlformats.org/officeDocument/2006/relationships" ref="D519" r:id="rId1035"/>
    <hyperlink xmlns:r="http://schemas.openxmlformats.org/officeDocument/2006/relationships" ref="M519" r:id="rId1036"/>
    <hyperlink xmlns:r="http://schemas.openxmlformats.org/officeDocument/2006/relationships" ref="D520" r:id="rId1037"/>
    <hyperlink xmlns:r="http://schemas.openxmlformats.org/officeDocument/2006/relationships" ref="M520" r:id="rId1038"/>
    <hyperlink xmlns:r="http://schemas.openxmlformats.org/officeDocument/2006/relationships" ref="D521" r:id="rId1039"/>
    <hyperlink xmlns:r="http://schemas.openxmlformats.org/officeDocument/2006/relationships" ref="M521" r:id="rId1040"/>
    <hyperlink xmlns:r="http://schemas.openxmlformats.org/officeDocument/2006/relationships" ref="D522" r:id="rId1041"/>
    <hyperlink xmlns:r="http://schemas.openxmlformats.org/officeDocument/2006/relationships" ref="M522" r:id="rId1042"/>
    <hyperlink xmlns:r="http://schemas.openxmlformats.org/officeDocument/2006/relationships" ref="D523" r:id="rId1043"/>
    <hyperlink xmlns:r="http://schemas.openxmlformats.org/officeDocument/2006/relationships" ref="M523" r:id="rId1044"/>
    <hyperlink xmlns:r="http://schemas.openxmlformats.org/officeDocument/2006/relationships" ref="D524" r:id="rId1045"/>
    <hyperlink xmlns:r="http://schemas.openxmlformats.org/officeDocument/2006/relationships" ref="M524" r:id="rId1046"/>
    <hyperlink xmlns:r="http://schemas.openxmlformats.org/officeDocument/2006/relationships" ref="D525" r:id="rId1047"/>
    <hyperlink xmlns:r="http://schemas.openxmlformats.org/officeDocument/2006/relationships" ref="M525" r:id="rId1048"/>
    <hyperlink xmlns:r="http://schemas.openxmlformats.org/officeDocument/2006/relationships" ref="D526" r:id="rId1049"/>
    <hyperlink xmlns:r="http://schemas.openxmlformats.org/officeDocument/2006/relationships" ref="M526" r:id="rId1050"/>
    <hyperlink xmlns:r="http://schemas.openxmlformats.org/officeDocument/2006/relationships" ref="D527" r:id="rId1051"/>
    <hyperlink xmlns:r="http://schemas.openxmlformats.org/officeDocument/2006/relationships" ref="M527" r:id="rId1052"/>
    <hyperlink xmlns:r="http://schemas.openxmlformats.org/officeDocument/2006/relationships" ref="D528" r:id="rId1053"/>
    <hyperlink xmlns:r="http://schemas.openxmlformats.org/officeDocument/2006/relationships" ref="M528" r:id="rId1054"/>
    <hyperlink xmlns:r="http://schemas.openxmlformats.org/officeDocument/2006/relationships" ref="D529" r:id="rId1055"/>
    <hyperlink xmlns:r="http://schemas.openxmlformats.org/officeDocument/2006/relationships" ref="M529" r:id="rId1056"/>
    <hyperlink xmlns:r="http://schemas.openxmlformats.org/officeDocument/2006/relationships" ref="D530" r:id="rId1057"/>
    <hyperlink xmlns:r="http://schemas.openxmlformats.org/officeDocument/2006/relationships" ref="M530" r:id="rId1058"/>
    <hyperlink xmlns:r="http://schemas.openxmlformats.org/officeDocument/2006/relationships" ref="D531" r:id="rId1059"/>
    <hyperlink xmlns:r="http://schemas.openxmlformats.org/officeDocument/2006/relationships" ref="M531" r:id="rId1060"/>
    <hyperlink xmlns:r="http://schemas.openxmlformats.org/officeDocument/2006/relationships" ref="D532" r:id="rId1061"/>
    <hyperlink xmlns:r="http://schemas.openxmlformats.org/officeDocument/2006/relationships" ref="M532" r:id="rId1062"/>
    <hyperlink xmlns:r="http://schemas.openxmlformats.org/officeDocument/2006/relationships" ref="D533" r:id="rId1063"/>
    <hyperlink xmlns:r="http://schemas.openxmlformats.org/officeDocument/2006/relationships" ref="M533" r:id="rId1064"/>
    <hyperlink xmlns:r="http://schemas.openxmlformats.org/officeDocument/2006/relationships" ref="D534" r:id="rId1065"/>
    <hyperlink xmlns:r="http://schemas.openxmlformats.org/officeDocument/2006/relationships" ref="M534" r:id="rId1066"/>
    <hyperlink xmlns:r="http://schemas.openxmlformats.org/officeDocument/2006/relationships" ref="D535" r:id="rId1067"/>
    <hyperlink xmlns:r="http://schemas.openxmlformats.org/officeDocument/2006/relationships" ref="M535" r:id="rId1068"/>
    <hyperlink xmlns:r="http://schemas.openxmlformats.org/officeDocument/2006/relationships" ref="D536" r:id="rId1069"/>
    <hyperlink xmlns:r="http://schemas.openxmlformats.org/officeDocument/2006/relationships" ref="M536" r:id="rId1070"/>
    <hyperlink xmlns:r="http://schemas.openxmlformats.org/officeDocument/2006/relationships" ref="D537" r:id="rId1071"/>
    <hyperlink xmlns:r="http://schemas.openxmlformats.org/officeDocument/2006/relationships" ref="M537" r:id="rId1072"/>
    <hyperlink xmlns:r="http://schemas.openxmlformats.org/officeDocument/2006/relationships" ref="D538" r:id="rId1073"/>
    <hyperlink xmlns:r="http://schemas.openxmlformats.org/officeDocument/2006/relationships" ref="M538" r:id="rId1074"/>
    <hyperlink xmlns:r="http://schemas.openxmlformats.org/officeDocument/2006/relationships" ref="D539" r:id="rId1075"/>
    <hyperlink xmlns:r="http://schemas.openxmlformats.org/officeDocument/2006/relationships" ref="M539" r:id="rId1076"/>
    <hyperlink xmlns:r="http://schemas.openxmlformats.org/officeDocument/2006/relationships" ref="D540" r:id="rId1077"/>
    <hyperlink xmlns:r="http://schemas.openxmlformats.org/officeDocument/2006/relationships" ref="M540" r:id="rId1078"/>
    <hyperlink xmlns:r="http://schemas.openxmlformats.org/officeDocument/2006/relationships" ref="D541" r:id="rId1079"/>
    <hyperlink xmlns:r="http://schemas.openxmlformats.org/officeDocument/2006/relationships" ref="M541" r:id="rId1080"/>
    <hyperlink xmlns:r="http://schemas.openxmlformats.org/officeDocument/2006/relationships" ref="D542" r:id="rId1081"/>
    <hyperlink xmlns:r="http://schemas.openxmlformats.org/officeDocument/2006/relationships" ref="M542" r:id="rId1082"/>
    <hyperlink xmlns:r="http://schemas.openxmlformats.org/officeDocument/2006/relationships" ref="D543" r:id="rId1083"/>
    <hyperlink xmlns:r="http://schemas.openxmlformats.org/officeDocument/2006/relationships" ref="M543" r:id="rId1084"/>
    <hyperlink xmlns:r="http://schemas.openxmlformats.org/officeDocument/2006/relationships" ref="D544" r:id="rId1085"/>
    <hyperlink xmlns:r="http://schemas.openxmlformats.org/officeDocument/2006/relationships" ref="M544" r:id="rId1086"/>
    <hyperlink xmlns:r="http://schemas.openxmlformats.org/officeDocument/2006/relationships" ref="D545" r:id="rId1087"/>
    <hyperlink xmlns:r="http://schemas.openxmlformats.org/officeDocument/2006/relationships" ref="M545" r:id="rId1088"/>
    <hyperlink xmlns:r="http://schemas.openxmlformats.org/officeDocument/2006/relationships" ref="D546" r:id="rId1089"/>
    <hyperlink xmlns:r="http://schemas.openxmlformats.org/officeDocument/2006/relationships" ref="M546" r:id="rId1090"/>
    <hyperlink xmlns:r="http://schemas.openxmlformats.org/officeDocument/2006/relationships" ref="D547" r:id="rId1091"/>
    <hyperlink xmlns:r="http://schemas.openxmlformats.org/officeDocument/2006/relationships" ref="M547" r:id="rId1092"/>
    <hyperlink xmlns:r="http://schemas.openxmlformats.org/officeDocument/2006/relationships" ref="D548" r:id="rId1093"/>
    <hyperlink xmlns:r="http://schemas.openxmlformats.org/officeDocument/2006/relationships" ref="M548" r:id="rId1094"/>
    <hyperlink xmlns:r="http://schemas.openxmlformats.org/officeDocument/2006/relationships" ref="D549" r:id="rId1095"/>
    <hyperlink xmlns:r="http://schemas.openxmlformats.org/officeDocument/2006/relationships" ref="M549" r:id="rId1096"/>
    <hyperlink xmlns:r="http://schemas.openxmlformats.org/officeDocument/2006/relationships" ref="D550" r:id="rId1097"/>
    <hyperlink xmlns:r="http://schemas.openxmlformats.org/officeDocument/2006/relationships" ref="M550" r:id="rId1098"/>
    <hyperlink xmlns:r="http://schemas.openxmlformats.org/officeDocument/2006/relationships" ref="D551" r:id="rId1099"/>
    <hyperlink xmlns:r="http://schemas.openxmlformats.org/officeDocument/2006/relationships" ref="M551" r:id="rId1100"/>
    <hyperlink xmlns:r="http://schemas.openxmlformats.org/officeDocument/2006/relationships" ref="D552" r:id="rId1101"/>
    <hyperlink xmlns:r="http://schemas.openxmlformats.org/officeDocument/2006/relationships" ref="M552" r:id="rId1102"/>
    <hyperlink xmlns:r="http://schemas.openxmlformats.org/officeDocument/2006/relationships" ref="D553" r:id="rId1103"/>
    <hyperlink xmlns:r="http://schemas.openxmlformats.org/officeDocument/2006/relationships" ref="M553" r:id="rId1104"/>
    <hyperlink xmlns:r="http://schemas.openxmlformats.org/officeDocument/2006/relationships" ref="D554" r:id="rId1105"/>
    <hyperlink xmlns:r="http://schemas.openxmlformats.org/officeDocument/2006/relationships" ref="M554" r:id="rId1106"/>
    <hyperlink xmlns:r="http://schemas.openxmlformats.org/officeDocument/2006/relationships" ref="D555" r:id="rId1107"/>
    <hyperlink xmlns:r="http://schemas.openxmlformats.org/officeDocument/2006/relationships" ref="M555" r:id="rId1108"/>
    <hyperlink xmlns:r="http://schemas.openxmlformats.org/officeDocument/2006/relationships" ref="D556" r:id="rId1109"/>
    <hyperlink xmlns:r="http://schemas.openxmlformats.org/officeDocument/2006/relationships" ref="M556" r:id="rId1110"/>
    <hyperlink xmlns:r="http://schemas.openxmlformats.org/officeDocument/2006/relationships" ref="D557" r:id="rId1111"/>
    <hyperlink xmlns:r="http://schemas.openxmlformats.org/officeDocument/2006/relationships" ref="M557" r:id="rId1112"/>
    <hyperlink xmlns:r="http://schemas.openxmlformats.org/officeDocument/2006/relationships" ref="D558" r:id="rId1113"/>
    <hyperlink xmlns:r="http://schemas.openxmlformats.org/officeDocument/2006/relationships" ref="M558" r:id="rId1114"/>
    <hyperlink xmlns:r="http://schemas.openxmlformats.org/officeDocument/2006/relationships" ref="D559" r:id="rId1115"/>
    <hyperlink xmlns:r="http://schemas.openxmlformats.org/officeDocument/2006/relationships" ref="M559" r:id="rId1116"/>
    <hyperlink xmlns:r="http://schemas.openxmlformats.org/officeDocument/2006/relationships" ref="D560" r:id="rId1117"/>
    <hyperlink xmlns:r="http://schemas.openxmlformats.org/officeDocument/2006/relationships" ref="M560" r:id="rId1118"/>
    <hyperlink xmlns:r="http://schemas.openxmlformats.org/officeDocument/2006/relationships" ref="D561" r:id="rId1119"/>
    <hyperlink xmlns:r="http://schemas.openxmlformats.org/officeDocument/2006/relationships" ref="M561" r:id="rId1120"/>
    <hyperlink xmlns:r="http://schemas.openxmlformats.org/officeDocument/2006/relationships" ref="D562" r:id="rId1121"/>
    <hyperlink xmlns:r="http://schemas.openxmlformats.org/officeDocument/2006/relationships" ref="M562" r:id="rId1122"/>
    <hyperlink xmlns:r="http://schemas.openxmlformats.org/officeDocument/2006/relationships" ref="D563" r:id="rId1123"/>
    <hyperlink xmlns:r="http://schemas.openxmlformats.org/officeDocument/2006/relationships" ref="M563" r:id="rId1124"/>
    <hyperlink xmlns:r="http://schemas.openxmlformats.org/officeDocument/2006/relationships" ref="D564" r:id="rId1125"/>
    <hyperlink xmlns:r="http://schemas.openxmlformats.org/officeDocument/2006/relationships" ref="M564" r:id="rId1126"/>
    <hyperlink xmlns:r="http://schemas.openxmlformats.org/officeDocument/2006/relationships" ref="D565" r:id="rId1127"/>
    <hyperlink xmlns:r="http://schemas.openxmlformats.org/officeDocument/2006/relationships" ref="M565" r:id="rId1128"/>
    <hyperlink xmlns:r="http://schemas.openxmlformats.org/officeDocument/2006/relationships" ref="D566" r:id="rId1129"/>
    <hyperlink xmlns:r="http://schemas.openxmlformats.org/officeDocument/2006/relationships" ref="M566" r:id="rId1130"/>
    <hyperlink xmlns:r="http://schemas.openxmlformats.org/officeDocument/2006/relationships" ref="D567" r:id="rId1131"/>
    <hyperlink xmlns:r="http://schemas.openxmlformats.org/officeDocument/2006/relationships" ref="M567" r:id="rId1132"/>
    <hyperlink xmlns:r="http://schemas.openxmlformats.org/officeDocument/2006/relationships" ref="D568" r:id="rId1133"/>
    <hyperlink xmlns:r="http://schemas.openxmlformats.org/officeDocument/2006/relationships" ref="M568" r:id="rId1134"/>
    <hyperlink xmlns:r="http://schemas.openxmlformats.org/officeDocument/2006/relationships" ref="D569" r:id="rId1135"/>
    <hyperlink xmlns:r="http://schemas.openxmlformats.org/officeDocument/2006/relationships" ref="M569" r:id="rId1136"/>
    <hyperlink xmlns:r="http://schemas.openxmlformats.org/officeDocument/2006/relationships" ref="D570" r:id="rId1137"/>
    <hyperlink xmlns:r="http://schemas.openxmlformats.org/officeDocument/2006/relationships" ref="M570" r:id="rId1138"/>
    <hyperlink xmlns:r="http://schemas.openxmlformats.org/officeDocument/2006/relationships" ref="D571" r:id="rId1139"/>
    <hyperlink xmlns:r="http://schemas.openxmlformats.org/officeDocument/2006/relationships" ref="M571" r:id="rId1140"/>
    <hyperlink xmlns:r="http://schemas.openxmlformats.org/officeDocument/2006/relationships" ref="D572" r:id="rId1141"/>
    <hyperlink xmlns:r="http://schemas.openxmlformats.org/officeDocument/2006/relationships" ref="M572" r:id="rId1142"/>
    <hyperlink xmlns:r="http://schemas.openxmlformats.org/officeDocument/2006/relationships" ref="D573" r:id="rId1143"/>
    <hyperlink xmlns:r="http://schemas.openxmlformats.org/officeDocument/2006/relationships" ref="M573" r:id="rId1144"/>
    <hyperlink xmlns:r="http://schemas.openxmlformats.org/officeDocument/2006/relationships" ref="D574" r:id="rId1145"/>
    <hyperlink xmlns:r="http://schemas.openxmlformats.org/officeDocument/2006/relationships" ref="M574" r:id="rId1146"/>
    <hyperlink xmlns:r="http://schemas.openxmlformats.org/officeDocument/2006/relationships" ref="D575" r:id="rId1147"/>
    <hyperlink xmlns:r="http://schemas.openxmlformats.org/officeDocument/2006/relationships" ref="M575" r:id="rId1148"/>
    <hyperlink xmlns:r="http://schemas.openxmlformats.org/officeDocument/2006/relationships" ref="D576" r:id="rId1149"/>
    <hyperlink xmlns:r="http://schemas.openxmlformats.org/officeDocument/2006/relationships" ref="M576" r:id="rId1150"/>
    <hyperlink xmlns:r="http://schemas.openxmlformats.org/officeDocument/2006/relationships" ref="D577" r:id="rId1151"/>
    <hyperlink xmlns:r="http://schemas.openxmlformats.org/officeDocument/2006/relationships" ref="M577" r:id="rId1152"/>
    <hyperlink xmlns:r="http://schemas.openxmlformats.org/officeDocument/2006/relationships" ref="D578" r:id="rId1153"/>
    <hyperlink xmlns:r="http://schemas.openxmlformats.org/officeDocument/2006/relationships" ref="M578" r:id="rId1154"/>
    <hyperlink xmlns:r="http://schemas.openxmlformats.org/officeDocument/2006/relationships" ref="D579" r:id="rId1155"/>
    <hyperlink xmlns:r="http://schemas.openxmlformats.org/officeDocument/2006/relationships" ref="M579" r:id="rId1156"/>
    <hyperlink xmlns:r="http://schemas.openxmlformats.org/officeDocument/2006/relationships" ref="D580" r:id="rId1157"/>
    <hyperlink xmlns:r="http://schemas.openxmlformats.org/officeDocument/2006/relationships" ref="M580" r:id="rId1158"/>
    <hyperlink xmlns:r="http://schemas.openxmlformats.org/officeDocument/2006/relationships" ref="D581" r:id="rId1159"/>
    <hyperlink xmlns:r="http://schemas.openxmlformats.org/officeDocument/2006/relationships" ref="M581" r:id="rId1160"/>
    <hyperlink xmlns:r="http://schemas.openxmlformats.org/officeDocument/2006/relationships" ref="D582" r:id="rId1161"/>
    <hyperlink xmlns:r="http://schemas.openxmlformats.org/officeDocument/2006/relationships" ref="M582" r:id="rId1162"/>
    <hyperlink xmlns:r="http://schemas.openxmlformats.org/officeDocument/2006/relationships" ref="D583" r:id="rId1163"/>
    <hyperlink xmlns:r="http://schemas.openxmlformats.org/officeDocument/2006/relationships" ref="M583" r:id="rId1164"/>
    <hyperlink xmlns:r="http://schemas.openxmlformats.org/officeDocument/2006/relationships" ref="D584" r:id="rId1165"/>
    <hyperlink xmlns:r="http://schemas.openxmlformats.org/officeDocument/2006/relationships" ref="M584" r:id="rId1166"/>
    <hyperlink xmlns:r="http://schemas.openxmlformats.org/officeDocument/2006/relationships" ref="D585" r:id="rId1167"/>
    <hyperlink xmlns:r="http://schemas.openxmlformats.org/officeDocument/2006/relationships" ref="M585" r:id="rId1168"/>
    <hyperlink xmlns:r="http://schemas.openxmlformats.org/officeDocument/2006/relationships" ref="D586" r:id="rId1169"/>
    <hyperlink xmlns:r="http://schemas.openxmlformats.org/officeDocument/2006/relationships" ref="M586" r:id="rId1170"/>
    <hyperlink xmlns:r="http://schemas.openxmlformats.org/officeDocument/2006/relationships" ref="D587" r:id="rId1171"/>
    <hyperlink xmlns:r="http://schemas.openxmlformats.org/officeDocument/2006/relationships" ref="M587" r:id="rId1172"/>
    <hyperlink xmlns:r="http://schemas.openxmlformats.org/officeDocument/2006/relationships" ref="D588" r:id="rId1173"/>
    <hyperlink xmlns:r="http://schemas.openxmlformats.org/officeDocument/2006/relationships" ref="M588" r:id="rId1174"/>
    <hyperlink xmlns:r="http://schemas.openxmlformats.org/officeDocument/2006/relationships" ref="D589" r:id="rId1175"/>
    <hyperlink xmlns:r="http://schemas.openxmlformats.org/officeDocument/2006/relationships" ref="M589" r:id="rId1176"/>
    <hyperlink xmlns:r="http://schemas.openxmlformats.org/officeDocument/2006/relationships" ref="D590" r:id="rId1177"/>
    <hyperlink xmlns:r="http://schemas.openxmlformats.org/officeDocument/2006/relationships" ref="M590" r:id="rId1178"/>
    <hyperlink xmlns:r="http://schemas.openxmlformats.org/officeDocument/2006/relationships" ref="D591" r:id="rId1179"/>
    <hyperlink xmlns:r="http://schemas.openxmlformats.org/officeDocument/2006/relationships" ref="M591" r:id="rId1180"/>
    <hyperlink xmlns:r="http://schemas.openxmlformats.org/officeDocument/2006/relationships" ref="D592" r:id="rId1181"/>
    <hyperlink xmlns:r="http://schemas.openxmlformats.org/officeDocument/2006/relationships" ref="M592" r:id="rId1182"/>
    <hyperlink xmlns:r="http://schemas.openxmlformats.org/officeDocument/2006/relationships" ref="D593" r:id="rId1183"/>
    <hyperlink xmlns:r="http://schemas.openxmlformats.org/officeDocument/2006/relationships" ref="M593" r:id="rId1184"/>
    <hyperlink xmlns:r="http://schemas.openxmlformats.org/officeDocument/2006/relationships" ref="D594" r:id="rId1185"/>
    <hyperlink xmlns:r="http://schemas.openxmlformats.org/officeDocument/2006/relationships" ref="M594" r:id="rId1186"/>
    <hyperlink xmlns:r="http://schemas.openxmlformats.org/officeDocument/2006/relationships" ref="D595" r:id="rId1187"/>
    <hyperlink xmlns:r="http://schemas.openxmlformats.org/officeDocument/2006/relationships" ref="M595" r:id="rId1188"/>
    <hyperlink xmlns:r="http://schemas.openxmlformats.org/officeDocument/2006/relationships" ref="D596" r:id="rId1189"/>
    <hyperlink xmlns:r="http://schemas.openxmlformats.org/officeDocument/2006/relationships" ref="M596" r:id="rId1190"/>
    <hyperlink xmlns:r="http://schemas.openxmlformats.org/officeDocument/2006/relationships" ref="D597" r:id="rId1191"/>
    <hyperlink xmlns:r="http://schemas.openxmlformats.org/officeDocument/2006/relationships" ref="M597" r:id="rId1192"/>
    <hyperlink xmlns:r="http://schemas.openxmlformats.org/officeDocument/2006/relationships" ref="D598" r:id="rId1193"/>
    <hyperlink xmlns:r="http://schemas.openxmlformats.org/officeDocument/2006/relationships" ref="M598" r:id="rId1194"/>
    <hyperlink xmlns:r="http://schemas.openxmlformats.org/officeDocument/2006/relationships" ref="D599" r:id="rId1195"/>
    <hyperlink xmlns:r="http://schemas.openxmlformats.org/officeDocument/2006/relationships" ref="M599" r:id="rId1196"/>
    <hyperlink xmlns:r="http://schemas.openxmlformats.org/officeDocument/2006/relationships" ref="D600" r:id="rId1197"/>
    <hyperlink xmlns:r="http://schemas.openxmlformats.org/officeDocument/2006/relationships" ref="M600" r:id="rId1198"/>
    <hyperlink xmlns:r="http://schemas.openxmlformats.org/officeDocument/2006/relationships" ref="D601" r:id="rId1199"/>
    <hyperlink xmlns:r="http://schemas.openxmlformats.org/officeDocument/2006/relationships" ref="M601" r:id="rId1200"/>
    <hyperlink xmlns:r="http://schemas.openxmlformats.org/officeDocument/2006/relationships" ref="D602" r:id="rId1201"/>
    <hyperlink xmlns:r="http://schemas.openxmlformats.org/officeDocument/2006/relationships" ref="M602" r:id="rId1202"/>
    <hyperlink xmlns:r="http://schemas.openxmlformats.org/officeDocument/2006/relationships" ref="D603" r:id="rId1203"/>
    <hyperlink xmlns:r="http://schemas.openxmlformats.org/officeDocument/2006/relationships" ref="M603" r:id="rId1204"/>
    <hyperlink xmlns:r="http://schemas.openxmlformats.org/officeDocument/2006/relationships" ref="D604" r:id="rId1205"/>
    <hyperlink xmlns:r="http://schemas.openxmlformats.org/officeDocument/2006/relationships" ref="M604" r:id="rId1206"/>
    <hyperlink xmlns:r="http://schemas.openxmlformats.org/officeDocument/2006/relationships" ref="D605" r:id="rId1207"/>
    <hyperlink xmlns:r="http://schemas.openxmlformats.org/officeDocument/2006/relationships" ref="M605" r:id="rId1208"/>
    <hyperlink xmlns:r="http://schemas.openxmlformats.org/officeDocument/2006/relationships" ref="D606" r:id="rId1209"/>
    <hyperlink xmlns:r="http://schemas.openxmlformats.org/officeDocument/2006/relationships" ref="M606" r:id="rId1210"/>
    <hyperlink xmlns:r="http://schemas.openxmlformats.org/officeDocument/2006/relationships" ref="D607" r:id="rId1211"/>
    <hyperlink xmlns:r="http://schemas.openxmlformats.org/officeDocument/2006/relationships" ref="M607" r:id="rId1212"/>
    <hyperlink xmlns:r="http://schemas.openxmlformats.org/officeDocument/2006/relationships" ref="D608" r:id="rId1213"/>
    <hyperlink xmlns:r="http://schemas.openxmlformats.org/officeDocument/2006/relationships" ref="M608" r:id="rId1214"/>
    <hyperlink xmlns:r="http://schemas.openxmlformats.org/officeDocument/2006/relationships" ref="D609" r:id="rId1215"/>
    <hyperlink xmlns:r="http://schemas.openxmlformats.org/officeDocument/2006/relationships" ref="M609" r:id="rId1216"/>
    <hyperlink xmlns:r="http://schemas.openxmlformats.org/officeDocument/2006/relationships" ref="D610" r:id="rId1217"/>
    <hyperlink xmlns:r="http://schemas.openxmlformats.org/officeDocument/2006/relationships" ref="M610" r:id="rId1218"/>
    <hyperlink xmlns:r="http://schemas.openxmlformats.org/officeDocument/2006/relationships" ref="D611" r:id="rId1219"/>
    <hyperlink xmlns:r="http://schemas.openxmlformats.org/officeDocument/2006/relationships" ref="M611" r:id="rId1220"/>
    <hyperlink xmlns:r="http://schemas.openxmlformats.org/officeDocument/2006/relationships" ref="D612" r:id="rId1221"/>
    <hyperlink xmlns:r="http://schemas.openxmlformats.org/officeDocument/2006/relationships" ref="M612" r:id="rId1222"/>
    <hyperlink xmlns:r="http://schemas.openxmlformats.org/officeDocument/2006/relationships" ref="D613" r:id="rId1223"/>
    <hyperlink xmlns:r="http://schemas.openxmlformats.org/officeDocument/2006/relationships" ref="M613" r:id="rId1224"/>
    <hyperlink xmlns:r="http://schemas.openxmlformats.org/officeDocument/2006/relationships" ref="D614" r:id="rId1225"/>
    <hyperlink xmlns:r="http://schemas.openxmlformats.org/officeDocument/2006/relationships" ref="M614" r:id="rId1226"/>
    <hyperlink xmlns:r="http://schemas.openxmlformats.org/officeDocument/2006/relationships" ref="D615" r:id="rId1227"/>
    <hyperlink xmlns:r="http://schemas.openxmlformats.org/officeDocument/2006/relationships" ref="M615" r:id="rId1228"/>
    <hyperlink xmlns:r="http://schemas.openxmlformats.org/officeDocument/2006/relationships" ref="D616" r:id="rId1229"/>
    <hyperlink xmlns:r="http://schemas.openxmlformats.org/officeDocument/2006/relationships" ref="M616" r:id="rId1230"/>
    <hyperlink xmlns:r="http://schemas.openxmlformats.org/officeDocument/2006/relationships" ref="D617" r:id="rId1231"/>
    <hyperlink xmlns:r="http://schemas.openxmlformats.org/officeDocument/2006/relationships" ref="M617" r:id="rId1232"/>
    <hyperlink xmlns:r="http://schemas.openxmlformats.org/officeDocument/2006/relationships" ref="D618" r:id="rId1233"/>
    <hyperlink xmlns:r="http://schemas.openxmlformats.org/officeDocument/2006/relationships" ref="M618" r:id="rId1234"/>
    <hyperlink xmlns:r="http://schemas.openxmlformats.org/officeDocument/2006/relationships" ref="D619" r:id="rId1235"/>
    <hyperlink xmlns:r="http://schemas.openxmlformats.org/officeDocument/2006/relationships" ref="M619" r:id="rId1236"/>
    <hyperlink xmlns:r="http://schemas.openxmlformats.org/officeDocument/2006/relationships" ref="D620" r:id="rId1237"/>
    <hyperlink xmlns:r="http://schemas.openxmlformats.org/officeDocument/2006/relationships" ref="M620" r:id="rId1238"/>
    <hyperlink xmlns:r="http://schemas.openxmlformats.org/officeDocument/2006/relationships" ref="D621" r:id="rId1239"/>
    <hyperlink xmlns:r="http://schemas.openxmlformats.org/officeDocument/2006/relationships" ref="M621" r:id="rId1240"/>
    <hyperlink xmlns:r="http://schemas.openxmlformats.org/officeDocument/2006/relationships" ref="D622" r:id="rId1241"/>
    <hyperlink xmlns:r="http://schemas.openxmlformats.org/officeDocument/2006/relationships" ref="M622" r:id="rId1242"/>
    <hyperlink xmlns:r="http://schemas.openxmlformats.org/officeDocument/2006/relationships" ref="D623" r:id="rId1243"/>
    <hyperlink xmlns:r="http://schemas.openxmlformats.org/officeDocument/2006/relationships" ref="M623" r:id="rId1244"/>
    <hyperlink xmlns:r="http://schemas.openxmlformats.org/officeDocument/2006/relationships" ref="D624" r:id="rId1245"/>
    <hyperlink xmlns:r="http://schemas.openxmlformats.org/officeDocument/2006/relationships" ref="M624" r:id="rId1246"/>
    <hyperlink xmlns:r="http://schemas.openxmlformats.org/officeDocument/2006/relationships" ref="D625" r:id="rId1247"/>
    <hyperlink xmlns:r="http://schemas.openxmlformats.org/officeDocument/2006/relationships" ref="M625" r:id="rId1248"/>
    <hyperlink xmlns:r="http://schemas.openxmlformats.org/officeDocument/2006/relationships" ref="D626" r:id="rId1249"/>
    <hyperlink xmlns:r="http://schemas.openxmlformats.org/officeDocument/2006/relationships" ref="M626" r:id="rId1250"/>
    <hyperlink xmlns:r="http://schemas.openxmlformats.org/officeDocument/2006/relationships" ref="D627" r:id="rId1251"/>
    <hyperlink xmlns:r="http://schemas.openxmlformats.org/officeDocument/2006/relationships" ref="M627" r:id="rId1252"/>
    <hyperlink xmlns:r="http://schemas.openxmlformats.org/officeDocument/2006/relationships" ref="D628" r:id="rId1253"/>
    <hyperlink xmlns:r="http://schemas.openxmlformats.org/officeDocument/2006/relationships" ref="M628" r:id="rId1254"/>
    <hyperlink xmlns:r="http://schemas.openxmlformats.org/officeDocument/2006/relationships" ref="D629" r:id="rId1255"/>
    <hyperlink xmlns:r="http://schemas.openxmlformats.org/officeDocument/2006/relationships" ref="M629" r:id="rId1256"/>
    <hyperlink xmlns:r="http://schemas.openxmlformats.org/officeDocument/2006/relationships" ref="D630" r:id="rId1257"/>
    <hyperlink xmlns:r="http://schemas.openxmlformats.org/officeDocument/2006/relationships" ref="M630" r:id="rId1258"/>
    <hyperlink xmlns:r="http://schemas.openxmlformats.org/officeDocument/2006/relationships" ref="D631" r:id="rId1259"/>
    <hyperlink xmlns:r="http://schemas.openxmlformats.org/officeDocument/2006/relationships" ref="M631" r:id="rId1260"/>
    <hyperlink xmlns:r="http://schemas.openxmlformats.org/officeDocument/2006/relationships" ref="D632" r:id="rId1261"/>
    <hyperlink xmlns:r="http://schemas.openxmlformats.org/officeDocument/2006/relationships" ref="M632" r:id="rId1262"/>
    <hyperlink xmlns:r="http://schemas.openxmlformats.org/officeDocument/2006/relationships" ref="D633" r:id="rId1263"/>
    <hyperlink xmlns:r="http://schemas.openxmlformats.org/officeDocument/2006/relationships" ref="M633" r:id="rId1264"/>
    <hyperlink xmlns:r="http://schemas.openxmlformats.org/officeDocument/2006/relationships" ref="D634" r:id="rId1265"/>
    <hyperlink xmlns:r="http://schemas.openxmlformats.org/officeDocument/2006/relationships" ref="M634" r:id="rId1266"/>
    <hyperlink xmlns:r="http://schemas.openxmlformats.org/officeDocument/2006/relationships" ref="D635" r:id="rId1267"/>
    <hyperlink xmlns:r="http://schemas.openxmlformats.org/officeDocument/2006/relationships" ref="M635" r:id="rId1268"/>
    <hyperlink xmlns:r="http://schemas.openxmlformats.org/officeDocument/2006/relationships" ref="D636" r:id="rId1269"/>
    <hyperlink xmlns:r="http://schemas.openxmlformats.org/officeDocument/2006/relationships" ref="M636" r:id="rId1270"/>
    <hyperlink xmlns:r="http://schemas.openxmlformats.org/officeDocument/2006/relationships" ref="D637" r:id="rId1271"/>
    <hyperlink xmlns:r="http://schemas.openxmlformats.org/officeDocument/2006/relationships" ref="M637" r:id="rId1272"/>
    <hyperlink xmlns:r="http://schemas.openxmlformats.org/officeDocument/2006/relationships" ref="D638" r:id="rId1273"/>
    <hyperlink xmlns:r="http://schemas.openxmlformats.org/officeDocument/2006/relationships" ref="M638" r:id="rId1274"/>
    <hyperlink xmlns:r="http://schemas.openxmlformats.org/officeDocument/2006/relationships" ref="D639" r:id="rId1275"/>
    <hyperlink xmlns:r="http://schemas.openxmlformats.org/officeDocument/2006/relationships" ref="M639" r:id="rId1276"/>
    <hyperlink xmlns:r="http://schemas.openxmlformats.org/officeDocument/2006/relationships" ref="D640" r:id="rId1277"/>
    <hyperlink xmlns:r="http://schemas.openxmlformats.org/officeDocument/2006/relationships" ref="M640" r:id="rId1278"/>
    <hyperlink xmlns:r="http://schemas.openxmlformats.org/officeDocument/2006/relationships" ref="D641" r:id="rId1279"/>
    <hyperlink xmlns:r="http://schemas.openxmlformats.org/officeDocument/2006/relationships" ref="M641" r:id="rId1280"/>
    <hyperlink xmlns:r="http://schemas.openxmlformats.org/officeDocument/2006/relationships" ref="D642" r:id="rId1281"/>
    <hyperlink xmlns:r="http://schemas.openxmlformats.org/officeDocument/2006/relationships" ref="M642" r:id="rId1282"/>
    <hyperlink xmlns:r="http://schemas.openxmlformats.org/officeDocument/2006/relationships" ref="D643" r:id="rId1283"/>
    <hyperlink xmlns:r="http://schemas.openxmlformats.org/officeDocument/2006/relationships" ref="M643" r:id="rId1284"/>
    <hyperlink xmlns:r="http://schemas.openxmlformats.org/officeDocument/2006/relationships" ref="D644" r:id="rId1285"/>
    <hyperlink xmlns:r="http://schemas.openxmlformats.org/officeDocument/2006/relationships" ref="M644" r:id="rId1286"/>
    <hyperlink xmlns:r="http://schemas.openxmlformats.org/officeDocument/2006/relationships" ref="D645" r:id="rId1287"/>
    <hyperlink xmlns:r="http://schemas.openxmlformats.org/officeDocument/2006/relationships" ref="M645" r:id="rId1288"/>
    <hyperlink xmlns:r="http://schemas.openxmlformats.org/officeDocument/2006/relationships" ref="D646" r:id="rId1289"/>
    <hyperlink xmlns:r="http://schemas.openxmlformats.org/officeDocument/2006/relationships" ref="M646" r:id="rId1290"/>
    <hyperlink xmlns:r="http://schemas.openxmlformats.org/officeDocument/2006/relationships" ref="D647" r:id="rId1291"/>
    <hyperlink xmlns:r="http://schemas.openxmlformats.org/officeDocument/2006/relationships" ref="M647" r:id="rId1292"/>
    <hyperlink xmlns:r="http://schemas.openxmlformats.org/officeDocument/2006/relationships" ref="D648" r:id="rId1293"/>
    <hyperlink xmlns:r="http://schemas.openxmlformats.org/officeDocument/2006/relationships" ref="M648" r:id="rId1294"/>
    <hyperlink xmlns:r="http://schemas.openxmlformats.org/officeDocument/2006/relationships" ref="D649" r:id="rId1295"/>
    <hyperlink xmlns:r="http://schemas.openxmlformats.org/officeDocument/2006/relationships" ref="M649" r:id="rId1296"/>
    <hyperlink xmlns:r="http://schemas.openxmlformats.org/officeDocument/2006/relationships" ref="D650" r:id="rId1297"/>
    <hyperlink xmlns:r="http://schemas.openxmlformats.org/officeDocument/2006/relationships" ref="M650" r:id="rId1298"/>
    <hyperlink xmlns:r="http://schemas.openxmlformats.org/officeDocument/2006/relationships" ref="D651" r:id="rId1299"/>
    <hyperlink xmlns:r="http://schemas.openxmlformats.org/officeDocument/2006/relationships" ref="M651" r:id="rId1300"/>
    <hyperlink xmlns:r="http://schemas.openxmlformats.org/officeDocument/2006/relationships" ref="D652" r:id="rId1301"/>
    <hyperlink xmlns:r="http://schemas.openxmlformats.org/officeDocument/2006/relationships" ref="M652" r:id="rId1302"/>
    <hyperlink xmlns:r="http://schemas.openxmlformats.org/officeDocument/2006/relationships" ref="D653" r:id="rId1303"/>
    <hyperlink xmlns:r="http://schemas.openxmlformats.org/officeDocument/2006/relationships" ref="M653" r:id="rId1304"/>
    <hyperlink xmlns:r="http://schemas.openxmlformats.org/officeDocument/2006/relationships" ref="D654" r:id="rId1305"/>
    <hyperlink xmlns:r="http://schemas.openxmlformats.org/officeDocument/2006/relationships" ref="M654" r:id="rId1306"/>
    <hyperlink xmlns:r="http://schemas.openxmlformats.org/officeDocument/2006/relationships" ref="D655" r:id="rId1307"/>
    <hyperlink xmlns:r="http://schemas.openxmlformats.org/officeDocument/2006/relationships" ref="M655" r:id="rId1308"/>
    <hyperlink xmlns:r="http://schemas.openxmlformats.org/officeDocument/2006/relationships" ref="D656" r:id="rId1309"/>
    <hyperlink xmlns:r="http://schemas.openxmlformats.org/officeDocument/2006/relationships" ref="M656" r:id="rId1310"/>
    <hyperlink xmlns:r="http://schemas.openxmlformats.org/officeDocument/2006/relationships" ref="D657" r:id="rId1311"/>
    <hyperlink xmlns:r="http://schemas.openxmlformats.org/officeDocument/2006/relationships" ref="M657" r:id="rId1312"/>
    <hyperlink xmlns:r="http://schemas.openxmlformats.org/officeDocument/2006/relationships" ref="D658" r:id="rId1313"/>
    <hyperlink xmlns:r="http://schemas.openxmlformats.org/officeDocument/2006/relationships" ref="M658" r:id="rId1314"/>
    <hyperlink xmlns:r="http://schemas.openxmlformats.org/officeDocument/2006/relationships" ref="D659" r:id="rId1315"/>
    <hyperlink xmlns:r="http://schemas.openxmlformats.org/officeDocument/2006/relationships" ref="M659" r:id="rId1316"/>
    <hyperlink xmlns:r="http://schemas.openxmlformats.org/officeDocument/2006/relationships" ref="D660" r:id="rId1317"/>
    <hyperlink xmlns:r="http://schemas.openxmlformats.org/officeDocument/2006/relationships" ref="M660" r:id="rId1318"/>
    <hyperlink xmlns:r="http://schemas.openxmlformats.org/officeDocument/2006/relationships" ref="D661" r:id="rId1319"/>
    <hyperlink xmlns:r="http://schemas.openxmlformats.org/officeDocument/2006/relationships" ref="M661" r:id="rId1320"/>
    <hyperlink xmlns:r="http://schemas.openxmlformats.org/officeDocument/2006/relationships" ref="D662" r:id="rId1321"/>
    <hyperlink xmlns:r="http://schemas.openxmlformats.org/officeDocument/2006/relationships" ref="M662" r:id="rId1322"/>
    <hyperlink xmlns:r="http://schemas.openxmlformats.org/officeDocument/2006/relationships" ref="D663" r:id="rId1323"/>
    <hyperlink xmlns:r="http://schemas.openxmlformats.org/officeDocument/2006/relationships" ref="M663" r:id="rId1324"/>
    <hyperlink xmlns:r="http://schemas.openxmlformats.org/officeDocument/2006/relationships" ref="D664" r:id="rId1325"/>
    <hyperlink xmlns:r="http://schemas.openxmlformats.org/officeDocument/2006/relationships" ref="M664" r:id="rId1326"/>
    <hyperlink xmlns:r="http://schemas.openxmlformats.org/officeDocument/2006/relationships" ref="D665" r:id="rId1327"/>
    <hyperlink xmlns:r="http://schemas.openxmlformats.org/officeDocument/2006/relationships" ref="M665" r:id="rId1328"/>
    <hyperlink xmlns:r="http://schemas.openxmlformats.org/officeDocument/2006/relationships" ref="D666" r:id="rId1329"/>
    <hyperlink xmlns:r="http://schemas.openxmlformats.org/officeDocument/2006/relationships" ref="M666" r:id="rId1330"/>
    <hyperlink xmlns:r="http://schemas.openxmlformats.org/officeDocument/2006/relationships" ref="D667" r:id="rId1331"/>
    <hyperlink xmlns:r="http://schemas.openxmlformats.org/officeDocument/2006/relationships" ref="M667" r:id="rId1332"/>
    <hyperlink xmlns:r="http://schemas.openxmlformats.org/officeDocument/2006/relationships" ref="D668" r:id="rId1333"/>
    <hyperlink xmlns:r="http://schemas.openxmlformats.org/officeDocument/2006/relationships" ref="M668" r:id="rId1334"/>
    <hyperlink xmlns:r="http://schemas.openxmlformats.org/officeDocument/2006/relationships" ref="D669" r:id="rId1335"/>
    <hyperlink xmlns:r="http://schemas.openxmlformats.org/officeDocument/2006/relationships" ref="M669" r:id="rId1336"/>
    <hyperlink xmlns:r="http://schemas.openxmlformats.org/officeDocument/2006/relationships" ref="D670" r:id="rId1337"/>
    <hyperlink xmlns:r="http://schemas.openxmlformats.org/officeDocument/2006/relationships" ref="M670" r:id="rId1338"/>
    <hyperlink xmlns:r="http://schemas.openxmlformats.org/officeDocument/2006/relationships" ref="D671" r:id="rId1339"/>
    <hyperlink xmlns:r="http://schemas.openxmlformats.org/officeDocument/2006/relationships" ref="M671" r:id="rId1340"/>
    <hyperlink xmlns:r="http://schemas.openxmlformats.org/officeDocument/2006/relationships" ref="D672" r:id="rId1341"/>
    <hyperlink xmlns:r="http://schemas.openxmlformats.org/officeDocument/2006/relationships" ref="M672" r:id="rId1342"/>
    <hyperlink xmlns:r="http://schemas.openxmlformats.org/officeDocument/2006/relationships" ref="D673" r:id="rId1343"/>
    <hyperlink xmlns:r="http://schemas.openxmlformats.org/officeDocument/2006/relationships" ref="M673" r:id="rId1344"/>
    <hyperlink xmlns:r="http://schemas.openxmlformats.org/officeDocument/2006/relationships" ref="D674" r:id="rId1345"/>
    <hyperlink xmlns:r="http://schemas.openxmlformats.org/officeDocument/2006/relationships" ref="M674" r:id="rId1346"/>
    <hyperlink xmlns:r="http://schemas.openxmlformats.org/officeDocument/2006/relationships" ref="D675" r:id="rId1347"/>
    <hyperlink xmlns:r="http://schemas.openxmlformats.org/officeDocument/2006/relationships" ref="M675" r:id="rId1348"/>
    <hyperlink xmlns:r="http://schemas.openxmlformats.org/officeDocument/2006/relationships" ref="D676" r:id="rId1349"/>
    <hyperlink xmlns:r="http://schemas.openxmlformats.org/officeDocument/2006/relationships" ref="M676" r:id="rId1350"/>
    <hyperlink xmlns:r="http://schemas.openxmlformats.org/officeDocument/2006/relationships" ref="D677" r:id="rId1351"/>
    <hyperlink xmlns:r="http://schemas.openxmlformats.org/officeDocument/2006/relationships" ref="M677" r:id="rId1352"/>
    <hyperlink xmlns:r="http://schemas.openxmlformats.org/officeDocument/2006/relationships" ref="D678" r:id="rId1353"/>
    <hyperlink xmlns:r="http://schemas.openxmlformats.org/officeDocument/2006/relationships" ref="M678" r:id="rId1354"/>
    <hyperlink xmlns:r="http://schemas.openxmlformats.org/officeDocument/2006/relationships" ref="D679" r:id="rId1355"/>
    <hyperlink xmlns:r="http://schemas.openxmlformats.org/officeDocument/2006/relationships" ref="M679" r:id="rId1356"/>
    <hyperlink xmlns:r="http://schemas.openxmlformats.org/officeDocument/2006/relationships" ref="D680" r:id="rId1357"/>
    <hyperlink xmlns:r="http://schemas.openxmlformats.org/officeDocument/2006/relationships" ref="M680" r:id="rId1358"/>
    <hyperlink xmlns:r="http://schemas.openxmlformats.org/officeDocument/2006/relationships" ref="D681" r:id="rId1359"/>
    <hyperlink xmlns:r="http://schemas.openxmlformats.org/officeDocument/2006/relationships" ref="M681" r:id="rId1360"/>
    <hyperlink xmlns:r="http://schemas.openxmlformats.org/officeDocument/2006/relationships" ref="D682" r:id="rId1361"/>
    <hyperlink xmlns:r="http://schemas.openxmlformats.org/officeDocument/2006/relationships" ref="M682" r:id="rId1362"/>
    <hyperlink xmlns:r="http://schemas.openxmlformats.org/officeDocument/2006/relationships" ref="D683" r:id="rId1363"/>
    <hyperlink xmlns:r="http://schemas.openxmlformats.org/officeDocument/2006/relationships" ref="M683" r:id="rId1364"/>
    <hyperlink xmlns:r="http://schemas.openxmlformats.org/officeDocument/2006/relationships" ref="D684" r:id="rId1365"/>
    <hyperlink xmlns:r="http://schemas.openxmlformats.org/officeDocument/2006/relationships" ref="M684" r:id="rId1366"/>
    <hyperlink xmlns:r="http://schemas.openxmlformats.org/officeDocument/2006/relationships" ref="D685" r:id="rId1367"/>
    <hyperlink xmlns:r="http://schemas.openxmlformats.org/officeDocument/2006/relationships" ref="M685" r:id="rId1368"/>
    <hyperlink xmlns:r="http://schemas.openxmlformats.org/officeDocument/2006/relationships" ref="D686" r:id="rId1369"/>
    <hyperlink xmlns:r="http://schemas.openxmlformats.org/officeDocument/2006/relationships" ref="M686" r:id="rId1370"/>
    <hyperlink xmlns:r="http://schemas.openxmlformats.org/officeDocument/2006/relationships" ref="D687" r:id="rId1371"/>
    <hyperlink xmlns:r="http://schemas.openxmlformats.org/officeDocument/2006/relationships" ref="M687" r:id="rId1372"/>
    <hyperlink xmlns:r="http://schemas.openxmlformats.org/officeDocument/2006/relationships" ref="D688" r:id="rId1373"/>
    <hyperlink xmlns:r="http://schemas.openxmlformats.org/officeDocument/2006/relationships" ref="M688" r:id="rId1374"/>
    <hyperlink xmlns:r="http://schemas.openxmlformats.org/officeDocument/2006/relationships" ref="D689" r:id="rId1375"/>
    <hyperlink xmlns:r="http://schemas.openxmlformats.org/officeDocument/2006/relationships" ref="M689" r:id="rId1376"/>
    <hyperlink xmlns:r="http://schemas.openxmlformats.org/officeDocument/2006/relationships" ref="D690" r:id="rId1377"/>
    <hyperlink xmlns:r="http://schemas.openxmlformats.org/officeDocument/2006/relationships" ref="M690" r:id="rId1378"/>
    <hyperlink xmlns:r="http://schemas.openxmlformats.org/officeDocument/2006/relationships" ref="D691" r:id="rId1379"/>
    <hyperlink xmlns:r="http://schemas.openxmlformats.org/officeDocument/2006/relationships" ref="M691" r:id="rId1380"/>
    <hyperlink xmlns:r="http://schemas.openxmlformats.org/officeDocument/2006/relationships" ref="D692" r:id="rId1381"/>
    <hyperlink xmlns:r="http://schemas.openxmlformats.org/officeDocument/2006/relationships" ref="M692" r:id="rId1382"/>
    <hyperlink xmlns:r="http://schemas.openxmlformats.org/officeDocument/2006/relationships" ref="D693" r:id="rId1383"/>
    <hyperlink xmlns:r="http://schemas.openxmlformats.org/officeDocument/2006/relationships" ref="M693" r:id="rId1384"/>
    <hyperlink xmlns:r="http://schemas.openxmlformats.org/officeDocument/2006/relationships" ref="D694" r:id="rId1385"/>
    <hyperlink xmlns:r="http://schemas.openxmlformats.org/officeDocument/2006/relationships" ref="M694" r:id="rId1386"/>
    <hyperlink xmlns:r="http://schemas.openxmlformats.org/officeDocument/2006/relationships" ref="D695" r:id="rId1387"/>
    <hyperlink xmlns:r="http://schemas.openxmlformats.org/officeDocument/2006/relationships" ref="M695" r:id="rId1388"/>
    <hyperlink xmlns:r="http://schemas.openxmlformats.org/officeDocument/2006/relationships" ref="D696" r:id="rId1389"/>
    <hyperlink xmlns:r="http://schemas.openxmlformats.org/officeDocument/2006/relationships" ref="M696" r:id="rId1390"/>
    <hyperlink xmlns:r="http://schemas.openxmlformats.org/officeDocument/2006/relationships" ref="D697" r:id="rId1391"/>
    <hyperlink xmlns:r="http://schemas.openxmlformats.org/officeDocument/2006/relationships" ref="M697" r:id="rId1392"/>
    <hyperlink xmlns:r="http://schemas.openxmlformats.org/officeDocument/2006/relationships" ref="D698" r:id="rId1393"/>
    <hyperlink xmlns:r="http://schemas.openxmlformats.org/officeDocument/2006/relationships" ref="M698" r:id="rId1394"/>
    <hyperlink xmlns:r="http://schemas.openxmlformats.org/officeDocument/2006/relationships" ref="D699" r:id="rId1395"/>
    <hyperlink xmlns:r="http://schemas.openxmlformats.org/officeDocument/2006/relationships" ref="M699" r:id="rId1396"/>
    <hyperlink xmlns:r="http://schemas.openxmlformats.org/officeDocument/2006/relationships" ref="D700" r:id="rId1397"/>
    <hyperlink xmlns:r="http://schemas.openxmlformats.org/officeDocument/2006/relationships" ref="M700" r:id="rId1398"/>
    <hyperlink xmlns:r="http://schemas.openxmlformats.org/officeDocument/2006/relationships" ref="D701" r:id="rId1399"/>
    <hyperlink xmlns:r="http://schemas.openxmlformats.org/officeDocument/2006/relationships" ref="M701" r:id="rId1400"/>
    <hyperlink xmlns:r="http://schemas.openxmlformats.org/officeDocument/2006/relationships" ref="D702" r:id="rId1401"/>
    <hyperlink xmlns:r="http://schemas.openxmlformats.org/officeDocument/2006/relationships" ref="M702" r:id="rId1402"/>
    <hyperlink xmlns:r="http://schemas.openxmlformats.org/officeDocument/2006/relationships" ref="D703" r:id="rId1403"/>
    <hyperlink xmlns:r="http://schemas.openxmlformats.org/officeDocument/2006/relationships" ref="M703" r:id="rId1404"/>
    <hyperlink xmlns:r="http://schemas.openxmlformats.org/officeDocument/2006/relationships" ref="D704" r:id="rId1405"/>
    <hyperlink xmlns:r="http://schemas.openxmlformats.org/officeDocument/2006/relationships" ref="M704" r:id="rId1406"/>
    <hyperlink xmlns:r="http://schemas.openxmlformats.org/officeDocument/2006/relationships" ref="D705" r:id="rId1407"/>
    <hyperlink xmlns:r="http://schemas.openxmlformats.org/officeDocument/2006/relationships" ref="M705" r:id="rId1408"/>
    <hyperlink xmlns:r="http://schemas.openxmlformats.org/officeDocument/2006/relationships" ref="D706" r:id="rId1409"/>
    <hyperlink xmlns:r="http://schemas.openxmlformats.org/officeDocument/2006/relationships" ref="M706" r:id="rId1410"/>
    <hyperlink xmlns:r="http://schemas.openxmlformats.org/officeDocument/2006/relationships" ref="D707" r:id="rId1411"/>
    <hyperlink xmlns:r="http://schemas.openxmlformats.org/officeDocument/2006/relationships" ref="M707" r:id="rId1412"/>
    <hyperlink xmlns:r="http://schemas.openxmlformats.org/officeDocument/2006/relationships" ref="D708" r:id="rId1413"/>
    <hyperlink xmlns:r="http://schemas.openxmlformats.org/officeDocument/2006/relationships" ref="M708" r:id="rId1414"/>
    <hyperlink xmlns:r="http://schemas.openxmlformats.org/officeDocument/2006/relationships" ref="D709" r:id="rId1415"/>
    <hyperlink xmlns:r="http://schemas.openxmlformats.org/officeDocument/2006/relationships" ref="M709" r:id="rId1416"/>
    <hyperlink xmlns:r="http://schemas.openxmlformats.org/officeDocument/2006/relationships" ref="D710" r:id="rId1417"/>
    <hyperlink xmlns:r="http://schemas.openxmlformats.org/officeDocument/2006/relationships" ref="M710" r:id="rId1418"/>
    <hyperlink xmlns:r="http://schemas.openxmlformats.org/officeDocument/2006/relationships" ref="D711" r:id="rId1419"/>
    <hyperlink xmlns:r="http://schemas.openxmlformats.org/officeDocument/2006/relationships" ref="M711" r:id="rId1420"/>
    <hyperlink xmlns:r="http://schemas.openxmlformats.org/officeDocument/2006/relationships" ref="D712" r:id="rId1421"/>
    <hyperlink xmlns:r="http://schemas.openxmlformats.org/officeDocument/2006/relationships" ref="M712" r:id="rId1422"/>
    <hyperlink xmlns:r="http://schemas.openxmlformats.org/officeDocument/2006/relationships" ref="D713" r:id="rId1423"/>
    <hyperlink xmlns:r="http://schemas.openxmlformats.org/officeDocument/2006/relationships" ref="M713" r:id="rId1424"/>
    <hyperlink xmlns:r="http://schemas.openxmlformats.org/officeDocument/2006/relationships" ref="D714" r:id="rId1425"/>
    <hyperlink xmlns:r="http://schemas.openxmlformats.org/officeDocument/2006/relationships" ref="M714" r:id="rId1426"/>
    <hyperlink xmlns:r="http://schemas.openxmlformats.org/officeDocument/2006/relationships" ref="D715" r:id="rId1427"/>
    <hyperlink xmlns:r="http://schemas.openxmlformats.org/officeDocument/2006/relationships" ref="M715" r:id="rId1428"/>
    <hyperlink xmlns:r="http://schemas.openxmlformats.org/officeDocument/2006/relationships" ref="D716" r:id="rId1429"/>
    <hyperlink xmlns:r="http://schemas.openxmlformats.org/officeDocument/2006/relationships" ref="M716" r:id="rId1430"/>
    <hyperlink xmlns:r="http://schemas.openxmlformats.org/officeDocument/2006/relationships" ref="D717" r:id="rId1431"/>
    <hyperlink xmlns:r="http://schemas.openxmlformats.org/officeDocument/2006/relationships" ref="M717" r:id="rId1432"/>
    <hyperlink xmlns:r="http://schemas.openxmlformats.org/officeDocument/2006/relationships" ref="D718" r:id="rId1433"/>
    <hyperlink xmlns:r="http://schemas.openxmlformats.org/officeDocument/2006/relationships" ref="M718" r:id="rId1434"/>
    <hyperlink xmlns:r="http://schemas.openxmlformats.org/officeDocument/2006/relationships" ref="D719" r:id="rId1435"/>
    <hyperlink xmlns:r="http://schemas.openxmlformats.org/officeDocument/2006/relationships" ref="M719" r:id="rId1436"/>
    <hyperlink xmlns:r="http://schemas.openxmlformats.org/officeDocument/2006/relationships" ref="D720" r:id="rId1437"/>
    <hyperlink xmlns:r="http://schemas.openxmlformats.org/officeDocument/2006/relationships" ref="M720" r:id="rId1438"/>
    <hyperlink xmlns:r="http://schemas.openxmlformats.org/officeDocument/2006/relationships" ref="D721" r:id="rId1439"/>
    <hyperlink xmlns:r="http://schemas.openxmlformats.org/officeDocument/2006/relationships" ref="M721" r:id="rId1440"/>
    <hyperlink xmlns:r="http://schemas.openxmlformats.org/officeDocument/2006/relationships" ref="D722" r:id="rId1441"/>
    <hyperlink xmlns:r="http://schemas.openxmlformats.org/officeDocument/2006/relationships" ref="M722" r:id="rId1442"/>
    <hyperlink xmlns:r="http://schemas.openxmlformats.org/officeDocument/2006/relationships" ref="D723" r:id="rId1443"/>
    <hyperlink xmlns:r="http://schemas.openxmlformats.org/officeDocument/2006/relationships" ref="M723" r:id="rId1444"/>
    <hyperlink xmlns:r="http://schemas.openxmlformats.org/officeDocument/2006/relationships" ref="D724" r:id="rId1445"/>
    <hyperlink xmlns:r="http://schemas.openxmlformats.org/officeDocument/2006/relationships" ref="M724" r:id="rId1446"/>
    <hyperlink xmlns:r="http://schemas.openxmlformats.org/officeDocument/2006/relationships" ref="D725" r:id="rId1447"/>
    <hyperlink xmlns:r="http://schemas.openxmlformats.org/officeDocument/2006/relationships" ref="M725" r:id="rId1448"/>
    <hyperlink xmlns:r="http://schemas.openxmlformats.org/officeDocument/2006/relationships" ref="D726" r:id="rId1449"/>
    <hyperlink xmlns:r="http://schemas.openxmlformats.org/officeDocument/2006/relationships" ref="M726" r:id="rId1450"/>
    <hyperlink xmlns:r="http://schemas.openxmlformats.org/officeDocument/2006/relationships" ref="D727" r:id="rId1451"/>
    <hyperlink xmlns:r="http://schemas.openxmlformats.org/officeDocument/2006/relationships" ref="M727" r:id="rId1452"/>
    <hyperlink xmlns:r="http://schemas.openxmlformats.org/officeDocument/2006/relationships" ref="D728" r:id="rId1453"/>
    <hyperlink xmlns:r="http://schemas.openxmlformats.org/officeDocument/2006/relationships" ref="M728" r:id="rId1454"/>
    <hyperlink xmlns:r="http://schemas.openxmlformats.org/officeDocument/2006/relationships" ref="D729" r:id="rId1455"/>
    <hyperlink xmlns:r="http://schemas.openxmlformats.org/officeDocument/2006/relationships" ref="M729" r:id="rId1456"/>
    <hyperlink xmlns:r="http://schemas.openxmlformats.org/officeDocument/2006/relationships" ref="D730" r:id="rId1457"/>
    <hyperlink xmlns:r="http://schemas.openxmlformats.org/officeDocument/2006/relationships" ref="M730" r:id="rId1458"/>
    <hyperlink xmlns:r="http://schemas.openxmlformats.org/officeDocument/2006/relationships" ref="D731" r:id="rId1459"/>
    <hyperlink xmlns:r="http://schemas.openxmlformats.org/officeDocument/2006/relationships" ref="M731" r:id="rId1460"/>
    <hyperlink xmlns:r="http://schemas.openxmlformats.org/officeDocument/2006/relationships" ref="D732" r:id="rId1461"/>
    <hyperlink xmlns:r="http://schemas.openxmlformats.org/officeDocument/2006/relationships" ref="M732" r:id="rId1462"/>
    <hyperlink xmlns:r="http://schemas.openxmlformats.org/officeDocument/2006/relationships" ref="D733" r:id="rId1463"/>
    <hyperlink xmlns:r="http://schemas.openxmlformats.org/officeDocument/2006/relationships" ref="M733" r:id="rId1464"/>
    <hyperlink xmlns:r="http://schemas.openxmlformats.org/officeDocument/2006/relationships" ref="D734" r:id="rId1465"/>
    <hyperlink xmlns:r="http://schemas.openxmlformats.org/officeDocument/2006/relationships" ref="M734" r:id="rId1466"/>
    <hyperlink xmlns:r="http://schemas.openxmlformats.org/officeDocument/2006/relationships" ref="D735" r:id="rId1467"/>
    <hyperlink xmlns:r="http://schemas.openxmlformats.org/officeDocument/2006/relationships" ref="M735" r:id="rId1468"/>
    <hyperlink xmlns:r="http://schemas.openxmlformats.org/officeDocument/2006/relationships" ref="D736" r:id="rId1469"/>
    <hyperlink xmlns:r="http://schemas.openxmlformats.org/officeDocument/2006/relationships" ref="M736" r:id="rId1470"/>
    <hyperlink xmlns:r="http://schemas.openxmlformats.org/officeDocument/2006/relationships" ref="D737" r:id="rId1471"/>
    <hyperlink xmlns:r="http://schemas.openxmlformats.org/officeDocument/2006/relationships" ref="M737" r:id="rId1472"/>
    <hyperlink xmlns:r="http://schemas.openxmlformats.org/officeDocument/2006/relationships" ref="D738" r:id="rId1473"/>
    <hyperlink xmlns:r="http://schemas.openxmlformats.org/officeDocument/2006/relationships" ref="M738" r:id="rId1474"/>
    <hyperlink xmlns:r="http://schemas.openxmlformats.org/officeDocument/2006/relationships" ref="D739" r:id="rId1475"/>
    <hyperlink xmlns:r="http://schemas.openxmlformats.org/officeDocument/2006/relationships" ref="M739" r:id="rId1476"/>
    <hyperlink xmlns:r="http://schemas.openxmlformats.org/officeDocument/2006/relationships" ref="D740" r:id="rId1477"/>
    <hyperlink xmlns:r="http://schemas.openxmlformats.org/officeDocument/2006/relationships" ref="M740" r:id="rId1478"/>
    <hyperlink xmlns:r="http://schemas.openxmlformats.org/officeDocument/2006/relationships" ref="D741" r:id="rId1479"/>
    <hyperlink xmlns:r="http://schemas.openxmlformats.org/officeDocument/2006/relationships" ref="M741" r:id="rId1480"/>
    <hyperlink xmlns:r="http://schemas.openxmlformats.org/officeDocument/2006/relationships" ref="D742" r:id="rId1481"/>
    <hyperlink xmlns:r="http://schemas.openxmlformats.org/officeDocument/2006/relationships" ref="M742" r:id="rId1482"/>
    <hyperlink xmlns:r="http://schemas.openxmlformats.org/officeDocument/2006/relationships" ref="D743" r:id="rId1483"/>
    <hyperlink xmlns:r="http://schemas.openxmlformats.org/officeDocument/2006/relationships" ref="M743" r:id="rId1484"/>
    <hyperlink xmlns:r="http://schemas.openxmlformats.org/officeDocument/2006/relationships" ref="D744" r:id="rId1485"/>
    <hyperlink xmlns:r="http://schemas.openxmlformats.org/officeDocument/2006/relationships" ref="M744" r:id="rId1486"/>
    <hyperlink xmlns:r="http://schemas.openxmlformats.org/officeDocument/2006/relationships" ref="D745" r:id="rId1487"/>
    <hyperlink xmlns:r="http://schemas.openxmlformats.org/officeDocument/2006/relationships" ref="M745" r:id="rId1488"/>
    <hyperlink xmlns:r="http://schemas.openxmlformats.org/officeDocument/2006/relationships" ref="D746" r:id="rId1489"/>
    <hyperlink xmlns:r="http://schemas.openxmlformats.org/officeDocument/2006/relationships" ref="M746" r:id="rId1490"/>
    <hyperlink xmlns:r="http://schemas.openxmlformats.org/officeDocument/2006/relationships" ref="D747" r:id="rId1491"/>
    <hyperlink xmlns:r="http://schemas.openxmlformats.org/officeDocument/2006/relationships" ref="M747" r:id="rId1492"/>
    <hyperlink xmlns:r="http://schemas.openxmlformats.org/officeDocument/2006/relationships" ref="D748" r:id="rId1493"/>
    <hyperlink xmlns:r="http://schemas.openxmlformats.org/officeDocument/2006/relationships" ref="M748" r:id="rId1494"/>
    <hyperlink xmlns:r="http://schemas.openxmlformats.org/officeDocument/2006/relationships" ref="D749" r:id="rId1495"/>
    <hyperlink xmlns:r="http://schemas.openxmlformats.org/officeDocument/2006/relationships" ref="M749" r:id="rId1496"/>
    <hyperlink xmlns:r="http://schemas.openxmlformats.org/officeDocument/2006/relationships" ref="D750" r:id="rId1497"/>
    <hyperlink xmlns:r="http://schemas.openxmlformats.org/officeDocument/2006/relationships" ref="M750" r:id="rId1498"/>
    <hyperlink xmlns:r="http://schemas.openxmlformats.org/officeDocument/2006/relationships" ref="D751" r:id="rId1499"/>
    <hyperlink xmlns:r="http://schemas.openxmlformats.org/officeDocument/2006/relationships" ref="M751" r:id="rId1500"/>
    <hyperlink xmlns:r="http://schemas.openxmlformats.org/officeDocument/2006/relationships" ref="D752" r:id="rId1501"/>
    <hyperlink xmlns:r="http://schemas.openxmlformats.org/officeDocument/2006/relationships" ref="M752" r:id="rId1502"/>
    <hyperlink xmlns:r="http://schemas.openxmlformats.org/officeDocument/2006/relationships" ref="D753" r:id="rId1503"/>
    <hyperlink xmlns:r="http://schemas.openxmlformats.org/officeDocument/2006/relationships" ref="M753" r:id="rId1504"/>
    <hyperlink xmlns:r="http://schemas.openxmlformats.org/officeDocument/2006/relationships" ref="D754" r:id="rId1505"/>
    <hyperlink xmlns:r="http://schemas.openxmlformats.org/officeDocument/2006/relationships" ref="M754" r:id="rId1506"/>
    <hyperlink xmlns:r="http://schemas.openxmlformats.org/officeDocument/2006/relationships" ref="D755" r:id="rId1507"/>
    <hyperlink xmlns:r="http://schemas.openxmlformats.org/officeDocument/2006/relationships" ref="M755" r:id="rId1508"/>
    <hyperlink xmlns:r="http://schemas.openxmlformats.org/officeDocument/2006/relationships" ref="D756" r:id="rId1509"/>
    <hyperlink xmlns:r="http://schemas.openxmlformats.org/officeDocument/2006/relationships" ref="M756" r:id="rId1510"/>
    <hyperlink xmlns:r="http://schemas.openxmlformats.org/officeDocument/2006/relationships" ref="D757" r:id="rId1511"/>
    <hyperlink xmlns:r="http://schemas.openxmlformats.org/officeDocument/2006/relationships" ref="M757" r:id="rId1512"/>
    <hyperlink xmlns:r="http://schemas.openxmlformats.org/officeDocument/2006/relationships" ref="D758" r:id="rId1513"/>
    <hyperlink xmlns:r="http://schemas.openxmlformats.org/officeDocument/2006/relationships" ref="M758" r:id="rId1514"/>
    <hyperlink xmlns:r="http://schemas.openxmlformats.org/officeDocument/2006/relationships" ref="D759" r:id="rId1515"/>
    <hyperlink xmlns:r="http://schemas.openxmlformats.org/officeDocument/2006/relationships" ref="M759" r:id="rId1516"/>
    <hyperlink xmlns:r="http://schemas.openxmlformats.org/officeDocument/2006/relationships" ref="D760" r:id="rId1517"/>
    <hyperlink xmlns:r="http://schemas.openxmlformats.org/officeDocument/2006/relationships" ref="M760" r:id="rId1518"/>
    <hyperlink xmlns:r="http://schemas.openxmlformats.org/officeDocument/2006/relationships" ref="D761" r:id="rId1519"/>
    <hyperlink xmlns:r="http://schemas.openxmlformats.org/officeDocument/2006/relationships" ref="M761" r:id="rId1520"/>
    <hyperlink xmlns:r="http://schemas.openxmlformats.org/officeDocument/2006/relationships" ref="D762" r:id="rId1521"/>
    <hyperlink xmlns:r="http://schemas.openxmlformats.org/officeDocument/2006/relationships" ref="M762" r:id="rId1522"/>
    <hyperlink xmlns:r="http://schemas.openxmlformats.org/officeDocument/2006/relationships" ref="D763" r:id="rId1523"/>
    <hyperlink xmlns:r="http://schemas.openxmlformats.org/officeDocument/2006/relationships" ref="M763" r:id="rId1524"/>
    <hyperlink xmlns:r="http://schemas.openxmlformats.org/officeDocument/2006/relationships" ref="D764" r:id="rId1525"/>
    <hyperlink xmlns:r="http://schemas.openxmlformats.org/officeDocument/2006/relationships" ref="M764" r:id="rId1526"/>
    <hyperlink xmlns:r="http://schemas.openxmlformats.org/officeDocument/2006/relationships" ref="D765" r:id="rId1527"/>
    <hyperlink xmlns:r="http://schemas.openxmlformats.org/officeDocument/2006/relationships" ref="M765" r:id="rId1528"/>
    <hyperlink xmlns:r="http://schemas.openxmlformats.org/officeDocument/2006/relationships" ref="D766" r:id="rId1529"/>
    <hyperlink xmlns:r="http://schemas.openxmlformats.org/officeDocument/2006/relationships" ref="M766" r:id="rId1530"/>
    <hyperlink xmlns:r="http://schemas.openxmlformats.org/officeDocument/2006/relationships" ref="D767" r:id="rId1531"/>
    <hyperlink xmlns:r="http://schemas.openxmlformats.org/officeDocument/2006/relationships" ref="M767" r:id="rId1532"/>
    <hyperlink xmlns:r="http://schemas.openxmlformats.org/officeDocument/2006/relationships" ref="D768" r:id="rId1533"/>
    <hyperlink xmlns:r="http://schemas.openxmlformats.org/officeDocument/2006/relationships" ref="M768" r:id="rId1534"/>
    <hyperlink xmlns:r="http://schemas.openxmlformats.org/officeDocument/2006/relationships" ref="D769" r:id="rId1535"/>
    <hyperlink xmlns:r="http://schemas.openxmlformats.org/officeDocument/2006/relationships" ref="M769" r:id="rId1536"/>
    <hyperlink xmlns:r="http://schemas.openxmlformats.org/officeDocument/2006/relationships" ref="D770" r:id="rId1537"/>
    <hyperlink xmlns:r="http://schemas.openxmlformats.org/officeDocument/2006/relationships" ref="M770" r:id="rId1538"/>
    <hyperlink xmlns:r="http://schemas.openxmlformats.org/officeDocument/2006/relationships" ref="D771" r:id="rId1539"/>
    <hyperlink xmlns:r="http://schemas.openxmlformats.org/officeDocument/2006/relationships" ref="M771" r:id="rId1540"/>
    <hyperlink xmlns:r="http://schemas.openxmlformats.org/officeDocument/2006/relationships" ref="D772" r:id="rId1541"/>
    <hyperlink xmlns:r="http://schemas.openxmlformats.org/officeDocument/2006/relationships" ref="M772" r:id="rId1542"/>
    <hyperlink xmlns:r="http://schemas.openxmlformats.org/officeDocument/2006/relationships" ref="D773" r:id="rId1543"/>
    <hyperlink xmlns:r="http://schemas.openxmlformats.org/officeDocument/2006/relationships" ref="M773" r:id="rId1544"/>
    <hyperlink xmlns:r="http://schemas.openxmlformats.org/officeDocument/2006/relationships" ref="D774" r:id="rId1545"/>
    <hyperlink xmlns:r="http://schemas.openxmlformats.org/officeDocument/2006/relationships" ref="M774" r:id="rId1546"/>
    <hyperlink xmlns:r="http://schemas.openxmlformats.org/officeDocument/2006/relationships" ref="D775" r:id="rId1547"/>
    <hyperlink xmlns:r="http://schemas.openxmlformats.org/officeDocument/2006/relationships" ref="M775" r:id="rId1548"/>
    <hyperlink xmlns:r="http://schemas.openxmlformats.org/officeDocument/2006/relationships" ref="D776" r:id="rId1549"/>
    <hyperlink xmlns:r="http://schemas.openxmlformats.org/officeDocument/2006/relationships" ref="M776" r:id="rId1550"/>
    <hyperlink xmlns:r="http://schemas.openxmlformats.org/officeDocument/2006/relationships" ref="D777" r:id="rId1551"/>
    <hyperlink xmlns:r="http://schemas.openxmlformats.org/officeDocument/2006/relationships" ref="M777" r:id="rId1552"/>
    <hyperlink xmlns:r="http://schemas.openxmlformats.org/officeDocument/2006/relationships" ref="D778" r:id="rId1553"/>
    <hyperlink xmlns:r="http://schemas.openxmlformats.org/officeDocument/2006/relationships" ref="M778" r:id="rId1554"/>
    <hyperlink xmlns:r="http://schemas.openxmlformats.org/officeDocument/2006/relationships" ref="D779" r:id="rId1555"/>
    <hyperlink xmlns:r="http://schemas.openxmlformats.org/officeDocument/2006/relationships" ref="M779" r:id="rId1556"/>
    <hyperlink xmlns:r="http://schemas.openxmlformats.org/officeDocument/2006/relationships" ref="D780" r:id="rId1557"/>
    <hyperlink xmlns:r="http://schemas.openxmlformats.org/officeDocument/2006/relationships" ref="M780" r:id="rId1558"/>
    <hyperlink xmlns:r="http://schemas.openxmlformats.org/officeDocument/2006/relationships" ref="D781" r:id="rId1559"/>
    <hyperlink xmlns:r="http://schemas.openxmlformats.org/officeDocument/2006/relationships" ref="M781" r:id="rId1560"/>
    <hyperlink xmlns:r="http://schemas.openxmlformats.org/officeDocument/2006/relationships" ref="D782" r:id="rId1561"/>
    <hyperlink xmlns:r="http://schemas.openxmlformats.org/officeDocument/2006/relationships" ref="M782" r:id="rId1562"/>
    <hyperlink xmlns:r="http://schemas.openxmlformats.org/officeDocument/2006/relationships" ref="D783" r:id="rId1563"/>
    <hyperlink xmlns:r="http://schemas.openxmlformats.org/officeDocument/2006/relationships" ref="M783" r:id="rId1564"/>
    <hyperlink xmlns:r="http://schemas.openxmlformats.org/officeDocument/2006/relationships" ref="D784" r:id="rId1565"/>
    <hyperlink xmlns:r="http://schemas.openxmlformats.org/officeDocument/2006/relationships" ref="M784" r:id="rId1566"/>
    <hyperlink xmlns:r="http://schemas.openxmlformats.org/officeDocument/2006/relationships" ref="D785" r:id="rId1567"/>
    <hyperlink xmlns:r="http://schemas.openxmlformats.org/officeDocument/2006/relationships" ref="M785" r:id="rId1568"/>
    <hyperlink xmlns:r="http://schemas.openxmlformats.org/officeDocument/2006/relationships" ref="D786" r:id="rId1569"/>
    <hyperlink xmlns:r="http://schemas.openxmlformats.org/officeDocument/2006/relationships" ref="M786" r:id="rId1570"/>
    <hyperlink xmlns:r="http://schemas.openxmlformats.org/officeDocument/2006/relationships" ref="D787" r:id="rId1571"/>
    <hyperlink xmlns:r="http://schemas.openxmlformats.org/officeDocument/2006/relationships" ref="M787" r:id="rId1572"/>
    <hyperlink xmlns:r="http://schemas.openxmlformats.org/officeDocument/2006/relationships" ref="D788" r:id="rId1573"/>
    <hyperlink xmlns:r="http://schemas.openxmlformats.org/officeDocument/2006/relationships" ref="M788" r:id="rId1574"/>
    <hyperlink xmlns:r="http://schemas.openxmlformats.org/officeDocument/2006/relationships" ref="D789" r:id="rId1575"/>
    <hyperlink xmlns:r="http://schemas.openxmlformats.org/officeDocument/2006/relationships" ref="M789" r:id="rId1576"/>
    <hyperlink xmlns:r="http://schemas.openxmlformats.org/officeDocument/2006/relationships" ref="D790" r:id="rId1577"/>
    <hyperlink xmlns:r="http://schemas.openxmlformats.org/officeDocument/2006/relationships" ref="M790" r:id="rId1578"/>
    <hyperlink xmlns:r="http://schemas.openxmlformats.org/officeDocument/2006/relationships" ref="D791" r:id="rId1579"/>
    <hyperlink xmlns:r="http://schemas.openxmlformats.org/officeDocument/2006/relationships" ref="M791" r:id="rId1580"/>
    <hyperlink xmlns:r="http://schemas.openxmlformats.org/officeDocument/2006/relationships" ref="D792" r:id="rId1581"/>
    <hyperlink xmlns:r="http://schemas.openxmlformats.org/officeDocument/2006/relationships" ref="M792" r:id="rId1582"/>
    <hyperlink xmlns:r="http://schemas.openxmlformats.org/officeDocument/2006/relationships" ref="D793" r:id="rId1583"/>
    <hyperlink xmlns:r="http://schemas.openxmlformats.org/officeDocument/2006/relationships" ref="M793" r:id="rId1584"/>
    <hyperlink xmlns:r="http://schemas.openxmlformats.org/officeDocument/2006/relationships" ref="D794" r:id="rId1585"/>
    <hyperlink xmlns:r="http://schemas.openxmlformats.org/officeDocument/2006/relationships" ref="M794" r:id="rId1586"/>
    <hyperlink xmlns:r="http://schemas.openxmlformats.org/officeDocument/2006/relationships" ref="D795" r:id="rId1587"/>
    <hyperlink xmlns:r="http://schemas.openxmlformats.org/officeDocument/2006/relationships" ref="M795" r:id="rId1588"/>
    <hyperlink xmlns:r="http://schemas.openxmlformats.org/officeDocument/2006/relationships" ref="D796" r:id="rId1589"/>
    <hyperlink xmlns:r="http://schemas.openxmlformats.org/officeDocument/2006/relationships" ref="M796" r:id="rId1590"/>
    <hyperlink xmlns:r="http://schemas.openxmlformats.org/officeDocument/2006/relationships" ref="D797" r:id="rId1591"/>
    <hyperlink xmlns:r="http://schemas.openxmlformats.org/officeDocument/2006/relationships" ref="M797" r:id="rId1592"/>
    <hyperlink xmlns:r="http://schemas.openxmlformats.org/officeDocument/2006/relationships" ref="D798" r:id="rId1593"/>
    <hyperlink xmlns:r="http://schemas.openxmlformats.org/officeDocument/2006/relationships" ref="M798" r:id="rId1594"/>
    <hyperlink xmlns:r="http://schemas.openxmlformats.org/officeDocument/2006/relationships" ref="D799" r:id="rId1595"/>
    <hyperlink xmlns:r="http://schemas.openxmlformats.org/officeDocument/2006/relationships" ref="M799" r:id="rId1596"/>
    <hyperlink xmlns:r="http://schemas.openxmlformats.org/officeDocument/2006/relationships" ref="D800" r:id="rId1597"/>
    <hyperlink xmlns:r="http://schemas.openxmlformats.org/officeDocument/2006/relationships" ref="M800" r:id="rId1598"/>
    <hyperlink xmlns:r="http://schemas.openxmlformats.org/officeDocument/2006/relationships" ref="D801" r:id="rId1599"/>
    <hyperlink xmlns:r="http://schemas.openxmlformats.org/officeDocument/2006/relationships" ref="M801" r:id="rId1600"/>
    <hyperlink xmlns:r="http://schemas.openxmlformats.org/officeDocument/2006/relationships" ref="D802" r:id="rId1601"/>
    <hyperlink xmlns:r="http://schemas.openxmlformats.org/officeDocument/2006/relationships" ref="M802" r:id="rId1602"/>
    <hyperlink xmlns:r="http://schemas.openxmlformats.org/officeDocument/2006/relationships" ref="D803" r:id="rId1603"/>
    <hyperlink xmlns:r="http://schemas.openxmlformats.org/officeDocument/2006/relationships" ref="M803" r:id="rId1604"/>
    <hyperlink xmlns:r="http://schemas.openxmlformats.org/officeDocument/2006/relationships" ref="D804" r:id="rId1605"/>
    <hyperlink xmlns:r="http://schemas.openxmlformats.org/officeDocument/2006/relationships" ref="M804" r:id="rId1606"/>
    <hyperlink xmlns:r="http://schemas.openxmlformats.org/officeDocument/2006/relationships" ref="D805" r:id="rId1607"/>
    <hyperlink xmlns:r="http://schemas.openxmlformats.org/officeDocument/2006/relationships" ref="M805" r:id="rId1608"/>
    <hyperlink xmlns:r="http://schemas.openxmlformats.org/officeDocument/2006/relationships" ref="D806" r:id="rId1609"/>
    <hyperlink xmlns:r="http://schemas.openxmlformats.org/officeDocument/2006/relationships" ref="M806" r:id="rId1610"/>
    <hyperlink xmlns:r="http://schemas.openxmlformats.org/officeDocument/2006/relationships" ref="D807" r:id="rId1611"/>
    <hyperlink xmlns:r="http://schemas.openxmlformats.org/officeDocument/2006/relationships" ref="M807" r:id="rId1612"/>
    <hyperlink xmlns:r="http://schemas.openxmlformats.org/officeDocument/2006/relationships" ref="D808" r:id="rId1613"/>
    <hyperlink xmlns:r="http://schemas.openxmlformats.org/officeDocument/2006/relationships" ref="M808" r:id="rId1614"/>
    <hyperlink xmlns:r="http://schemas.openxmlformats.org/officeDocument/2006/relationships" ref="D809" r:id="rId1615"/>
    <hyperlink xmlns:r="http://schemas.openxmlformats.org/officeDocument/2006/relationships" ref="M809" r:id="rId1616"/>
    <hyperlink xmlns:r="http://schemas.openxmlformats.org/officeDocument/2006/relationships" ref="D810" r:id="rId1617"/>
    <hyperlink xmlns:r="http://schemas.openxmlformats.org/officeDocument/2006/relationships" ref="M810" r:id="rId1618"/>
    <hyperlink xmlns:r="http://schemas.openxmlformats.org/officeDocument/2006/relationships" ref="D811" r:id="rId1619"/>
    <hyperlink xmlns:r="http://schemas.openxmlformats.org/officeDocument/2006/relationships" ref="M811" r:id="rId1620"/>
    <hyperlink xmlns:r="http://schemas.openxmlformats.org/officeDocument/2006/relationships" ref="D812" r:id="rId1621"/>
    <hyperlink xmlns:r="http://schemas.openxmlformats.org/officeDocument/2006/relationships" ref="M812" r:id="rId1622"/>
    <hyperlink xmlns:r="http://schemas.openxmlformats.org/officeDocument/2006/relationships" ref="D813" r:id="rId1623"/>
    <hyperlink xmlns:r="http://schemas.openxmlformats.org/officeDocument/2006/relationships" ref="M813" r:id="rId1624"/>
    <hyperlink xmlns:r="http://schemas.openxmlformats.org/officeDocument/2006/relationships" ref="D814" r:id="rId1625"/>
    <hyperlink xmlns:r="http://schemas.openxmlformats.org/officeDocument/2006/relationships" ref="M814" r:id="rId1626"/>
    <hyperlink xmlns:r="http://schemas.openxmlformats.org/officeDocument/2006/relationships" ref="D815" r:id="rId1627"/>
    <hyperlink xmlns:r="http://schemas.openxmlformats.org/officeDocument/2006/relationships" ref="M815" r:id="rId1628"/>
    <hyperlink xmlns:r="http://schemas.openxmlformats.org/officeDocument/2006/relationships" ref="D816" r:id="rId1629"/>
    <hyperlink xmlns:r="http://schemas.openxmlformats.org/officeDocument/2006/relationships" ref="M816" r:id="rId1630"/>
    <hyperlink xmlns:r="http://schemas.openxmlformats.org/officeDocument/2006/relationships" ref="D817" r:id="rId1631"/>
    <hyperlink xmlns:r="http://schemas.openxmlformats.org/officeDocument/2006/relationships" ref="M817" r:id="rId1632"/>
    <hyperlink xmlns:r="http://schemas.openxmlformats.org/officeDocument/2006/relationships" ref="D818" r:id="rId1633"/>
    <hyperlink xmlns:r="http://schemas.openxmlformats.org/officeDocument/2006/relationships" ref="M818" r:id="rId1634"/>
    <hyperlink xmlns:r="http://schemas.openxmlformats.org/officeDocument/2006/relationships" ref="D819" r:id="rId1635"/>
    <hyperlink xmlns:r="http://schemas.openxmlformats.org/officeDocument/2006/relationships" ref="M819" r:id="rId1636"/>
    <hyperlink xmlns:r="http://schemas.openxmlformats.org/officeDocument/2006/relationships" ref="D820" r:id="rId1637"/>
    <hyperlink xmlns:r="http://schemas.openxmlformats.org/officeDocument/2006/relationships" ref="M820" r:id="rId1638"/>
    <hyperlink xmlns:r="http://schemas.openxmlformats.org/officeDocument/2006/relationships" ref="D821" r:id="rId1639"/>
    <hyperlink xmlns:r="http://schemas.openxmlformats.org/officeDocument/2006/relationships" ref="M821" r:id="rId1640"/>
    <hyperlink xmlns:r="http://schemas.openxmlformats.org/officeDocument/2006/relationships" ref="D822" r:id="rId1641"/>
    <hyperlink xmlns:r="http://schemas.openxmlformats.org/officeDocument/2006/relationships" ref="M822" r:id="rId1642"/>
    <hyperlink xmlns:r="http://schemas.openxmlformats.org/officeDocument/2006/relationships" ref="D823" r:id="rId1643"/>
    <hyperlink xmlns:r="http://schemas.openxmlformats.org/officeDocument/2006/relationships" ref="M823" r:id="rId1644"/>
    <hyperlink xmlns:r="http://schemas.openxmlformats.org/officeDocument/2006/relationships" ref="D824" r:id="rId1645"/>
    <hyperlink xmlns:r="http://schemas.openxmlformats.org/officeDocument/2006/relationships" ref="M824" r:id="rId1646"/>
    <hyperlink xmlns:r="http://schemas.openxmlformats.org/officeDocument/2006/relationships" ref="D825" r:id="rId1647"/>
    <hyperlink xmlns:r="http://schemas.openxmlformats.org/officeDocument/2006/relationships" ref="M825" r:id="rId1648"/>
    <hyperlink xmlns:r="http://schemas.openxmlformats.org/officeDocument/2006/relationships" ref="D826" r:id="rId1649"/>
    <hyperlink xmlns:r="http://schemas.openxmlformats.org/officeDocument/2006/relationships" ref="M826" r:id="rId1650"/>
    <hyperlink xmlns:r="http://schemas.openxmlformats.org/officeDocument/2006/relationships" ref="D827" r:id="rId1651"/>
    <hyperlink xmlns:r="http://schemas.openxmlformats.org/officeDocument/2006/relationships" ref="M827" r:id="rId1652"/>
    <hyperlink xmlns:r="http://schemas.openxmlformats.org/officeDocument/2006/relationships" ref="D828" r:id="rId1653"/>
    <hyperlink xmlns:r="http://schemas.openxmlformats.org/officeDocument/2006/relationships" ref="M828" r:id="rId1654"/>
    <hyperlink xmlns:r="http://schemas.openxmlformats.org/officeDocument/2006/relationships" ref="D829" r:id="rId1655"/>
    <hyperlink xmlns:r="http://schemas.openxmlformats.org/officeDocument/2006/relationships" ref="M829" r:id="rId1656"/>
    <hyperlink xmlns:r="http://schemas.openxmlformats.org/officeDocument/2006/relationships" ref="D830" r:id="rId1657"/>
    <hyperlink xmlns:r="http://schemas.openxmlformats.org/officeDocument/2006/relationships" ref="M830" r:id="rId1658"/>
    <hyperlink xmlns:r="http://schemas.openxmlformats.org/officeDocument/2006/relationships" ref="D831" r:id="rId1659"/>
    <hyperlink xmlns:r="http://schemas.openxmlformats.org/officeDocument/2006/relationships" ref="M831" r:id="rId1660"/>
    <hyperlink xmlns:r="http://schemas.openxmlformats.org/officeDocument/2006/relationships" ref="D832" r:id="rId1661"/>
    <hyperlink xmlns:r="http://schemas.openxmlformats.org/officeDocument/2006/relationships" ref="M832" r:id="rId1662"/>
    <hyperlink xmlns:r="http://schemas.openxmlformats.org/officeDocument/2006/relationships" ref="D833" r:id="rId1663"/>
    <hyperlink xmlns:r="http://schemas.openxmlformats.org/officeDocument/2006/relationships" ref="M833" r:id="rId1664"/>
    <hyperlink xmlns:r="http://schemas.openxmlformats.org/officeDocument/2006/relationships" ref="D834" r:id="rId1665"/>
    <hyperlink xmlns:r="http://schemas.openxmlformats.org/officeDocument/2006/relationships" ref="M834" r:id="rId1666"/>
    <hyperlink xmlns:r="http://schemas.openxmlformats.org/officeDocument/2006/relationships" ref="D835" r:id="rId1667"/>
    <hyperlink xmlns:r="http://schemas.openxmlformats.org/officeDocument/2006/relationships" ref="M835" r:id="rId1668"/>
    <hyperlink xmlns:r="http://schemas.openxmlformats.org/officeDocument/2006/relationships" ref="D836" r:id="rId1669"/>
    <hyperlink xmlns:r="http://schemas.openxmlformats.org/officeDocument/2006/relationships" ref="M836" r:id="rId1670"/>
    <hyperlink xmlns:r="http://schemas.openxmlformats.org/officeDocument/2006/relationships" ref="D837" r:id="rId1671"/>
    <hyperlink xmlns:r="http://schemas.openxmlformats.org/officeDocument/2006/relationships" ref="M837" r:id="rId1672"/>
    <hyperlink xmlns:r="http://schemas.openxmlformats.org/officeDocument/2006/relationships" ref="D838" r:id="rId1673"/>
    <hyperlink xmlns:r="http://schemas.openxmlformats.org/officeDocument/2006/relationships" ref="M838" r:id="rId1674"/>
    <hyperlink xmlns:r="http://schemas.openxmlformats.org/officeDocument/2006/relationships" ref="D839" r:id="rId1675"/>
    <hyperlink xmlns:r="http://schemas.openxmlformats.org/officeDocument/2006/relationships" ref="M839" r:id="rId1676"/>
    <hyperlink xmlns:r="http://schemas.openxmlformats.org/officeDocument/2006/relationships" ref="D840" r:id="rId1677"/>
    <hyperlink xmlns:r="http://schemas.openxmlformats.org/officeDocument/2006/relationships" ref="M840" r:id="rId1678"/>
    <hyperlink xmlns:r="http://schemas.openxmlformats.org/officeDocument/2006/relationships" ref="D841" r:id="rId1679"/>
    <hyperlink xmlns:r="http://schemas.openxmlformats.org/officeDocument/2006/relationships" ref="M841" r:id="rId1680"/>
    <hyperlink xmlns:r="http://schemas.openxmlformats.org/officeDocument/2006/relationships" ref="D842" r:id="rId1681"/>
    <hyperlink xmlns:r="http://schemas.openxmlformats.org/officeDocument/2006/relationships" ref="M842" r:id="rId1682"/>
    <hyperlink xmlns:r="http://schemas.openxmlformats.org/officeDocument/2006/relationships" ref="D843" r:id="rId1683"/>
    <hyperlink xmlns:r="http://schemas.openxmlformats.org/officeDocument/2006/relationships" ref="M843" r:id="rId1684"/>
    <hyperlink xmlns:r="http://schemas.openxmlformats.org/officeDocument/2006/relationships" ref="D844" r:id="rId1685"/>
    <hyperlink xmlns:r="http://schemas.openxmlformats.org/officeDocument/2006/relationships" ref="M844" r:id="rId1686"/>
    <hyperlink xmlns:r="http://schemas.openxmlformats.org/officeDocument/2006/relationships" ref="D845" r:id="rId1687"/>
    <hyperlink xmlns:r="http://schemas.openxmlformats.org/officeDocument/2006/relationships" ref="M845" r:id="rId1688"/>
    <hyperlink xmlns:r="http://schemas.openxmlformats.org/officeDocument/2006/relationships" ref="D846" r:id="rId1689"/>
    <hyperlink xmlns:r="http://schemas.openxmlformats.org/officeDocument/2006/relationships" ref="M846" r:id="rId1690"/>
    <hyperlink xmlns:r="http://schemas.openxmlformats.org/officeDocument/2006/relationships" ref="D847" r:id="rId1691"/>
    <hyperlink xmlns:r="http://schemas.openxmlformats.org/officeDocument/2006/relationships" ref="M847" r:id="rId1692"/>
    <hyperlink xmlns:r="http://schemas.openxmlformats.org/officeDocument/2006/relationships" ref="D848" r:id="rId1693"/>
    <hyperlink xmlns:r="http://schemas.openxmlformats.org/officeDocument/2006/relationships" ref="M848" r:id="rId1694"/>
    <hyperlink xmlns:r="http://schemas.openxmlformats.org/officeDocument/2006/relationships" ref="D849" r:id="rId1695"/>
    <hyperlink xmlns:r="http://schemas.openxmlformats.org/officeDocument/2006/relationships" ref="M849" r:id="rId1696"/>
    <hyperlink xmlns:r="http://schemas.openxmlformats.org/officeDocument/2006/relationships" ref="D850" r:id="rId1697"/>
    <hyperlink xmlns:r="http://schemas.openxmlformats.org/officeDocument/2006/relationships" ref="M850" r:id="rId1698"/>
    <hyperlink xmlns:r="http://schemas.openxmlformats.org/officeDocument/2006/relationships" ref="D851" r:id="rId1699"/>
    <hyperlink xmlns:r="http://schemas.openxmlformats.org/officeDocument/2006/relationships" ref="M851" r:id="rId1700"/>
    <hyperlink xmlns:r="http://schemas.openxmlformats.org/officeDocument/2006/relationships" ref="D852" r:id="rId1701"/>
    <hyperlink xmlns:r="http://schemas.openxmlformats.org/officeDocument/2006/relationships" ref="M852" r:id="rId1702"/>
    <hyperlink xmlns:r="http://schemas.openxmlformats.org/officeDocument/2006/relationships" ref="D853" r:id="rId1703"/>
    <hyperlink xmlns:r="http://schemas.openxmlformats.org/officeDocument/2006/relationships" ref="M853" r:id="rId1704"/>
    <hyperlink xmlns:r="http://schemas.openxmlformats.org/officeDocument/2006/relationships" ref="D854" r:id="rId1705"/>
    <hyperlink xmlns:r="http://schemas.openxmlformats.org/officeDocument/2006/relationships" ref="M854" r:id="rId1706"/>
    <hyperlink xmlns:r="http://schemas.openxmlformats.org/officeDocument/2006/relationships" ref="D855" r:id="rId1707"/>
    <hyperlink xmlns:r="http://schemas.openxmlformats.org/officeDocument/2006/relationships" ref="M855" r:id="rId1708"/>
    <hyperlink xmlns:r="http://schemas.openxmlformats.org/officeDocument/2006/relationships" ref="D856" r:id="rId1709"/>
    <hyperlink xmlns:r="http://schemas.openxmlformats.org/officeDocument/2006/relationships" ref="M856" r:id="rId1710"/>
    <hyperlink xmlns:r="http://schemas.openxmlformats.org/officeDocument/2006/relationships" ref="D857" r:id="rId1711"/>
    <hyperlink xmlns:r="http://schemas.openxmlformats.org/officeDocument/2006/relationships" ref="M857" r:id="rId1712"/>
    <hyperlink xmlns:r="http://schemas.openxmlformats.org/officeDocument/2006/relationships" ref="D858" r:id="rId1713"/>
    <hyperlink xmlns:r="http://schemas.openxmlformats.org/officeDocument/2006/relationships" ref="M858" r:id="rId1714"/>
    <hyperlink xmlns:r="http://schemas.openxmlformats.org/officeDocument/2006/relationships" ref="D859" r:id="rId1715"/>
    <hyperlink xmlns:r="http://schemas.openxmlformats.org/officeDocument/2006/relationships" ref="M859" r:id="rId1716"/>
    <hyperlink xmlns:r="http://schemas.openxmlformats.org/officeDocument/2006/relationships" ref="D860" r:id="rId1717"/>
    <hyperlink xmlns:r="http://schemas.openxmlformats.org/officeDocument/2006/relationships" ref="M860" r:id="rId1718"/>
    <hyperlink xmlns:r="http://schemas.openxmlformats.org/officeDocument/2006/relationships" ref="D861" r:id="rId1719"/>
    <hyperlink xmlns:r="http://schemas.openxmlformats.org/officeDocument/2006/relationships" ref="M861" r:id="rId1720"/>
    <hyperlink xmlns:r="http://schemas.openxmlformats.org/officeDocument/2006/relationships" ref="D862" r:id="rId1721"/>
    <hyperlink xmlns:r="http://schemas.openxmlformats.org/officeDocument/2006/relationships" ref="M862" r:id="rId1722"/>
    <hyperlink xmlns:r="http://schemas.openxmlformats.org/officeDocument/2006/relationships" ref="D863" r:id="rId1723"/>
    <hyperlink xmlns:r="http://schemas.openxmlformats.org/officeDocument/2006/relationships" ref="M863" r:id="rId1724"/>
    <hyperlink xmlns:r="http://schemas.openxmlformats.org/officeDocument/2006/relationships" ref="D864" r:id="rId1725"/>
    <hyperlink xmlns:r="http://schemas.openxmlformats.org/officeDocument/2006/relationships" ref="M864" r:id="rId1726"/>
    <hyperlink xmlns:r="http://schemas.openxmlformats.org/officeDocument/2006/relationships" ref="D865" r:id="rId1727"/>
    <hyperlink xmlns:r="http://schemas.openxmlformats.org/officeDocument/2006/relationships" ref="M865" r:id="rId1728"/>
    <hyperlink xmlns:r="http://schemas.openxmlformats.org/officeDocument/2006/relationships" ref="D866" r:id="rId1729"/>
    <hyperlink xmlns:r="http://schemas.openxmlformats.org/officeDocument/2006/relationships" ref="M866" r:id="rId1730"/>
    <hyperlink xmlns:r="http://schemas.openxmlformats.org/officeDocument/2006/relationships" ref="D867" r:id="rId1731"/>
    <hyperlink xmlns:r="http://schemas.openxmlformats.org/officeDocument/2006/relationships" ref="M867" r:id="rId1732"/>
    <hyperlink xmlns:r="http://schemas.openxmlformats.org/officeDocument/2006/relationships" ref="D868" r:id="rId1733"/>
    <hyperlink xmlns:r="http://schemas.openxmlformats.org/officeDocument/2006/relationships" ref="M868" r:id="rId1734"/>
    <hyperlink xmlns:r="http://schemas.openxmlformats.org/officeDocument/2006/relationships" ref="D869" r:id="rId1735"/>
    <hyperlink xmlns:r="http://schemas.openxmlformats.org/officeDocument/2006/relationships" ref="M869" r:id="rId1736"/>
    <hyperlink xmlns:r="http://schemas.openxmlformats.org/officeDocument/2006/relationships" ref="D870" r:id="rId1737"/>
    <hyperlink xmlns:r="http://schemas.openxmlformats.org/officeDocument/2006/relationships" ref="M870" r:id="rId1738"/>
    <hyperlink xmlns:r="http://schemas.openxmlformats.org/officeDocument/2006/relationships" ref="D871" r:id="rId1739"/>
    <hyperlink xmlns:r="http://schemas.openxmlformats.org/officeDocument/2006/relationships" ref="M871" r:id="rId1740"/>
    <hyperlink xmlns:r="http://schemas.openxmlformats.org/officeDocument/2006/relationships" ref="D872" r:id="rId1741"/>
    <hyperlink xmlns:r="http://schemas.openxmlformats.org/officeDocument/2006/relationships" ref="M872" r:id="rId1742"/>
    <hyperlink xmlns:r="http://schemas.openxmlformats.org/officeDocument/2006/relationships" ref="D873" r:id="rId1743"/>
    <hyperlink xmlns:r="http://schemas.openxmlformats.org/officeDocument/2006/relationships" ref="M873" r:id="rId1744"/>
    <hyperlink xmlns:r="http://schemas.openxmlformats.org/officeDocument/2006/relationships" ref="D874" r:id="rId1745"/>
    <hyperlink xmlns:r="http://schemas.openxmlformats.org/officeDocument/2006/relationships" ref="M874" r:id="rId1746"/>
    <hyperlink xmlns:r="http://schemas.openxmlformats.org/officeDocument/2006/relationships" ref="D875" r:id="rId1747"/>
    <hyperlink xmlns:r="http://schemas.openxmlformats.org/officeDocument/2006/relationships" ref="M875" r:id="rId1748"/>
    <hyperlink xmlns:r="http://schemas.openxmlformats.org/officeDocument/2006/relationships" ref="D876" r:id="rId1749"/>
    <hyperlink xmlns:r="http://schemas.openxmlformats.org/officeDocument/2006/relationships" ref="M876" r:id="rId1750"/>
    <hyperlink xmlns:r="http://schemas.openxmlformats.org/officeDocument/2006/relationships" ref="D877" r:id="rId1751"/>
    <hyperlink xmlns:r="http://schemas.openxmlformats.org/officeDocument/2006/relationships" ref="M877" r:id="rId1752"/>
    <hyperlink xmlns:r="http://schemas.openxmlformats.org/officeDocument/2006/relationships" ref="D878" r:id="rId1753"/>
    <hyperlink xmlns:r="http://schemas.openxmlformats.org/officeDocument/2006/relationships" ref="M878" r:id="rId1754"/>
    <hyperlink xmlns:r="http://schemas.openxmlformats.org/officeDocument/2006/relationships" ref="D879" r:id="rId1755"/>
    <hyperlink xmlns:r="http://schemas.openxmlformats.org/officeDocument/2006/relationships" ref="M879" r:id="rId1756"/>
    <hyperlink xmlns:r="http://schemas.openxmlformats.org/officeDocument/2006/relationships" ref="D880" r:id="rId1757"/>
    <hyperlink xmlns:r="http://schemas.openxmlformats.org/officeDocument/2006/relationships" ref="M880" r:id="rId1758"/>
    <hyperlink xmlns:r="http://schemas.openxmlformats.org/officeDocument/2006/relationships" ref="D881" r:id="rId1759"/>
    <hyperlink xmlns:r="http://schemas.openxmlformats.org/officeDocument/2006/relationships" ref="M881" r:id="rId1760"/>
    <hyperlink xmlns:r="http://schemas.openxmlformats.org/officeDocument/2006/relationships" ref="D882" r:id="rId1761"/>
    <hyperlink xmlns:r="http://schemas.openxmlformats.org/officeDocument/2006/relationships" ref="M882" r:id="rId1762"/>
    <hyperlink xmlns:r="http://schemas.openxmlformats.org/officeDocument/2006/relationships" ref="D883" r:id="rId1763"/>
    <hyperlink xmlns:r="http://schemas.openxmlformats.org/officeDocument/2006/relationships" ref="M883" r:id="rId1764"/>
    <hyperlink xmlns:r="http://schemas.openxmlformats.org/officeDocument/2006/relationships" ref="D884" r:id="rId1765"/>
    <hyperlink xmlns:r="http://schemas.openxmlformats.org/officeDocument/2006/relationships" ref="M884" r:id="rId1766"/>
    <hyperlink xmlns:r="http://schemas.openxmlformats.org/officeDocument/2006/relationships" ref="D885" r:id="rId1767"/>
    <hyperlink xmlns:r="http://schemas.openxmlformats.org/officeDocument/2006/relationships" ref="M885" r:id="rId1768"/>
    <hyperlink xmlns:r="http://schemas.openxmlformats.org/officeDocument/2006/relationships" ref="D886" r:id="rId1769"/>
    <hyperlink xmlns:r="http://schemas.openxmlformats.org/officeDocument/2006/relationships" ref="M886" r:id="rId1770"/>
    <hyperlink xmlns:r="http://schemas.openxmlformats.org/officeDocument/2006/relationships" ref="D887" r:id="rId1771"/>
    <hyperlink xmlns:r="http://schemas.openxmlformats.org/officeDocument/2006/relationships" ref="M887" r:id="rId1772"/>
    <hyperlink xmlns:r="http://schemas.openxmlformats.org/officeDocument/2006/relationships" ref="D888" r:id="rId1773"/>
    <hyperlink xmlns:r="http://schemas.openxmlformats.org/officeDocument/2006/relationships" ref="M888" r:id="rId1774"/>
    <hyperlink xmlns:r="http://schemas.openxmlformats.org/officeDocument/2006/relationships" ref="D889" r:id="rId1775"/>
    <hyperlink xmlns:r="http://schemas.openxmlformats.org/officeDocument/2006/relationships" ref="M889" r:id="rId1776"/>
    <hyperlink xmlns:r="http://schemas.openxmlformats.org/officeDocument/2006/relationships" ref="D890" r:id="rId1777"/>
    <hyperlink xmlns:r="http://schemas.openxmlformats.org/officeDocument/2006/relationships" ref="M890" r:id="rId1778"/>
    <hyperlink xmlns:r="http://schemas.openxmlformats.org/officeDocument/2006/relationships" ref="D891" r:id="rId1779"/>
    <hyperlink xmlns:r="http://schemas.openxmlformats.org/officeDocument/2006/relationships" ref="M891" r:id="rId1780"/>
    <hyperlink xmlns:r="http://schemas.openxmlformats.org/officeDocument/2006/relationships" ref="D892" r:id="rId1781"/>
    <hyperlink xmlns:r="http://schemas.openxmlformats.org/officeDocument/2006/relationships" ref="M892" r:id="rId1782"/>
    <hyperlink xmlns:r="http://schemas.openxmlformats.org/officeDocument/2006/relationships" ref="D893" r:id="rId1783"/>
    <hyperlink xmlns:r="http://schemas.openxmlformats.org/officeDocument/2006/relationships" ref="M893" r:id="rId1784"/>
    <hyperlink xmlns:r="http://schemas.openxmlformats.org/officeDocument/2006/relationships" ref="D894" r:id="rId1785"/>
    <hyperlink xmlns:r="http://schemas.openxmlformats.org/officeDocument/2006/relationships" ref="M894" r:id="rId1786"/>
    <hyperlink xmlns:r="http://schemas.openxmlformats.org/officeDocument/2006/relationships" ref="D895" r:id="rId1787"/>
    <hyperlink xmlns:r="http://schemas.openxmlformats.org/officeDocument/2006/relationships" ref="M895" r:id="rId1788"/>
    <hyperlink xmlns:r="http://schemas.openxmlformats.org/officeDocument/2006/relationships" ref="D896" r:id="rId1789"/>
    <hyperlink xmlns:r="http://schemas.openxmlformats.org/officeDocument/2006/relationships" ref="M896" r:id="rId1790"/>
    <hyperlink xmlns:r="http://schemas.openxmlformats.org/officeDocument/2006/relationships" ref="D897" r:id="rId1791"/>
    <hyperlink xmlns:r="http://schemas.openxmlformats.org/officeDocument/2006/relationships" ref="M897" r:id="rId1792"/>
    <hyperlink xmlns:r="http://schemas.openxmlformats.org/officeDocument/2006/relationships" ref="D898" r:id="rId1793"/>
    <hyperlink xmlns:r="http://schemas.openxmlformats.org/officeDocument/2006/relationships" ref="M898" r:id="rId1794"/>
    <hyperlink xmlns:r="http://schemas.openxmlformats.org/officeDocument/2006/relationships" ref="D899" r:id="rId1795"/>
    <hyperlink xmlns:r="http://schemas.openxmlformats.org/officeDocument/2006/relationships" ref="M899" r:id="rId1796"/>
    <hyperlink xmlns:r="http://schemas.openxmlformats.org/officeDocument/2006/relationships" ref="D900" r:id="rId1797"/>
    <hyperlink xmlns:r="http://schemas.openxmlformats.org/officeDocument/2006/relationships" ref="M900" r:id="rId1798"/>
    <hyperlink xmlns:r="http://schemas.openxmlformats.org/officeDocument/2006/relationships" ref="D901" r:id="rId1799"/>
    <hyperlink xmlns:r="http://schemas.openxmlformats.org/officeDocument/2006/relationships" ref="M901" r:id="rId1800"/>
    <hyperlink xmlns:r="http://schemas.openxmlformats.org/officeDocument/2006/relationships" ref="D902" r:id="rId1801"/>
    <hyperlink xmlns:r="http://schemas.openxmlformats.org/officeDocument/2006/relationships" ref="M902" r:id="rId1802"/>
    <hyperlink xmlns:r="http://schemas.openxmlformats.org/officeDocument/2006/relationships" ref="D903" r:id="rId1803"/>
    <hyperlink xmlns:r="http://schemas.openxmlformats.org/officeDocument/2006/relationships" ref="M903" r:id="rId1804"/>
    <hyperlink xmlns:r="http://schemas.openxmlformats.org/officeDocument/2006/relationships" ref="D904" r:id="rId1805"/>
    <hyperlink xmlns:r="http://schemas.openxmlformats.org/officeDocument/2006/relationships" ref="M904" r:id="rId1806"/>
    <hyperlink xmlns:r="http://schemas.openxmlformats.org/officeDocument/2006/relationships" ref="D905" r:id="rId1807"/>
    <hyperlink xmlns:r="http://schemas.openxmlformats.org/officeDocument/2006/relationships" ref="M905" r:id="rId1808"/>
    <hyperlink xmlns:r="http://schemas.openxmlformats.org/officeDocument/2006/relationships" ref="D906" r:id="rId1809"/>
    <hyperlink xmlns:r="http://schemas.openxmlformats.org/officeDocument/2006/relationships" ref="M906" r:id="rId1810"/>
    <hyperlink xmlns:r="http://schemas.openxmlformats.org/officeDocument/2006/relationships" ref="D907" r:id="rId1811"/>
    <hyperlink xmlns:r="http://schemas.openxmlformats.org/officeDocument/2006/relationships" ref="M907" r:id="rId1812"/>
    <hyperlink xmlns:r="http://schemas.openxmlformats.org/officeDocument/2006/relationships" ref="D908" r:id="rId1813"/>
    <hyperlink xmlns:r="http://schemas.openxmlformats.org/officeDocument/2006/relationships" ref="M908" r:id="rId1814"/>
    <hyperlink xmlns:r="http://schemas.openxmlformats.org/officeDocument/2006/relationships" ref="D909" r:id="rId1815"/>
    <hyperlink xmlns:r="http://schemas.openxmlformats.org/officeDocument/2006/relationships" ref="M909" r:id="rId1816"/>
    <hyperlink xmlns:r="http://schemas.openxmlformats.org/officeDocument/2006/relationships" ref="D910" r:id="rId1817"/>
    <hyperlink xmlns:r="http://schemas.openxmlformats.org/officeDocument/2006/relationships" ref="M910" r:id="rId1818"/>
    <hyperlink xmlns:r="http://schemas.openxmlformats.org/officeDocument/2006/relationships" ref="D911" r:id="rId1819"/>
    <hyperlink xmlns:r="http://schemas.openxmlformats.org/officeDocument/2006/relationships" ref="M911" r:id="rId1820"/>
    <hyperlink xmlns:r="http://schemas.openxmlformats.org/officeDocument/2006/relationships" ref="D912" r:id="rId1821"/>
    <hyperlink xmlns:r="http://schemas.openxmlformats.org/officeDocument/2006/relationships" ref="M912" r:id="rId1822"/>
    <hyperlink xmlns:r="http://schemas.openxmlformats.org/officeDocument/2006/relationships" ref="D913" r:id="rId1823"/>
    <hyperlink xmlns:r="http://schemas.openxmlformats.org/officeDocument/2006/relationships" ref="M913" r:id="rId1824"/>
    <hyperlink xmlns:r="http://schemas.openxmlformats.org/officeDocument/2006/relationships" ref="D914" r:id="rId1825"/>
    <hyperlink xmlns:r="http://schemas.openxmlformats.org/officeDocument/2006/relationships" ref="M914" r:id="rId1826"/>
    <hyperlink xmlns:r="http://schemas.openxmlformats.org/officeDocument/2006/relationships" ref="D915" r:id="rId1827"/>
    <hyperlink xmlns:r="http://schemas.openxmlformats.org/officeDocument/2006/relationships" ref="M915" r:id="rId1828"/>
    <hyperlink xmlns:r="http://schemas.openxmlformats.org/officeDocument/2006/relationships" ref="D916" r:id="rId1829"/>
    <hyperlink xmlns:r="http://schemas.openxmlformats.org/officeDocument/2006/relationships" ref="M916" r:id="rId1830"/>
    <hyperlink xmlns:r="http://schemas.openxmlformats.org/officeDocument/2006/relationships" ref="D917" r:id="rId1831"/>
    <hyperlink xmlns:r="http://schemas.openxmlformats.org/officeDocument/2006/relationships" ref="M917" r:id="rId1832"/>
    <hyperlink xmlns:r="http://schemas.openxmlformats.org/officeDocument/2006/relationships" ref="D918" r:id="rId1833"/>
    <hyperlink xmlns:r="http://schemas.openxmlformats.org/officeDocument/2006/relationships" ref="M918" r:id="rId1834"/>
    <hyperlink xmlns:r="http://schemas.openxmlformats.org/officeDocument/2006/relationships" ref="D919" r:id="rId1835"/>
    <hyperlink xmlns:r="http://schemas.openxmlformats.org/officeDocument/2006/relationships" ref="M919" r:id="rId1836"/>
    <hyperlink xmlns:r="http://schemas.openxmlformats.org/officeDocument/2006/relationships" ref="D920" r:id="rId1837"/>
    <hyperlink xmlns:r="http://schemas.openxmlformats.org/officeDocument/2006/relationships" ref="M920" r:id="rId1838"/>
    <hyperlink xmlns:r="http://schemas.openxmlformats.org/officeDocument/2006/relationships" ref="D921" r:id="rId1839"/>
    <hyperlink xmlns:r="http://schemas.openxmlformats.org/officeDocument/2006/relationships" ref="M921" r:id="rId1840"/>
    <hyperlink xmlns:r="http://schemas.openxmlformats.org/officeDocument/2006/relationships" ref="D922" r:id="rId1841"/>
    <hyperlink xmlns:r="http://schemas.openxmlformats.org/officeDocument/2006/relationships" ref="M922" r:id="rId1842"/>
    <hyperlink xmlns:r="http://schemas.openxmlformats.org/officeDocument/2006/relationships" ref="D923" r:id="rId1843"/>
    <hyperlink xmlns:r="http://schemas.openxmlformats.org/officeDocument/2006/relationships" ref="M923" r:id="rId1844"/>
    <hyperlink xmlns:r="http://schemas.openxmlformats.org/officeDocument/2006/relationships" ref="D924" r:id="rId1845"/>
    <hyperlink xmlns:r="http://schemas.openxmlformats.org/officeDocument/2006/relationships" ref="M924" r:id="rId1846"/>
    <hyperlink xmlns:r="http://schemas.openxmlformats.org/officeDocument/2006/relationships" ref="D925" r:id="rId1847"/>
    <hyperlink xmlns:r="http://schemas.openxmlformats.org/officeDocument/2006/relationships" ref="M925" r:id="rId1848"/>
    <hyperlink xmlns:r="http://schemas.openxmlformats.org/officeDocument/2006/relationships" ref="D926" r:id="rId1849"/>
    <hyperlink xmlns:r="http://schemas.openxmlformats.org/officeDocument/2006/relationships" ref="M926" r:id="rId1850"/>
    <hyperlink xmlns:r="http://schemas.openxmlformats.org/officeDocument/2006/relationships" ref="D927" r:id="rId1851"/>
    <hyperlink xmlns:r="http://schemas.openxmlformats.org/officeDocument/2006/relationships" ref="M927" r:id="rId1852"/>
    <hyperlink xmlns:r="http://schemas.openxmlformats.org/officeDocument/2006/relationships" ref="D928" r:id="rId1853"/>
    <hyperlink xmlns:r="http://schemas.openxmlformats.org/officeDocument/2006/relationships" ref="M928" r:id="rId1854"/>
    <hyperlink xmlns:r="http://schemas.openxmlformats.org/officeDocument/2006/relationships" ref="D929" r:id="rId1855"/>
    <hyperlink xmlns:r="http://schemas.openxmlformats.org/officeDocument/2006/relationships" ref="M929" r:id="rId1856"/>
    <hyperlink xmlns:r="http://schemas.openxmlformats.org/officeDocument/2006/relationships" ref="D930" r:id="rId1857"/>
    <hyperlink xmlns:r="http://schemas.openxmlformats.org/officeDocument/2006/relationships" ref="M930" r:id="rId1858"/>
    <hyperlink xmlns:r="http://schemas.openxmlformats.org/officeDocument/2006/relationships" ref="D931" r:id="rId1859"/>
    <hyperlink xmlns:r="http://schemas.openxmlformats.org/officeDocument/2006/relationships" ref="M931" r:id="rId1860"/>
    <hyperlink xmlns:r="http://schemas.openxmlformats.org/officeDocument/2006/relationships" ref="D932" r:id="rId1861"/>
    <hyperlink xmlns:r="http://schemas.openxmlformats.org/officeDocument/2006/relationships" ref="M932" r:id="rId1862"/>
    <hyperlink xmlns:r="http://schemas.openxmlformats.org/officeDocument/2006/relationships" ref="D933" r:id="rId1863"/>
    <hyperlink xmlns:r="http://schemas.openxmlformats.org/officeDocument/2006/relationships" ref="M933" r:id="rId1864"/>
    <hyperlink xmlns:r="http://schemas.openxmlformats.org/officeDocument/2006/relationships" ref="D934" r:id="rId1865"/>
    <hyperlink xmlns:r="http://schemas.openxmlformats.org/officeDocument/2006/relationships" ref="M934" r:id="rId1866"/>
    <hyperlink xmlns:r="http://schemas.openxmlformats.org/officeDocument/2006/relationships" ref="D935" r:id="rId1867"/>
    <hyperlink xmlns:r="http://schemas.openxmlformats.org/officeDocument/2006/relationships" ref="M935" r:id="rId1868"/>
    <hyperlink xmlns:r="http://schemas.openxmlformats.org/officeDocument/2006/relationships" ref="D936" r:id="rId1869"/>
    <hyperlink xmlns:r="http://schemas.openxmlformats.org/officeDocument/2006/relationships" ref="M936" r:id="rId1870"/>
    <hyperlink xmlns:r="http://schemas.openxmlformats.org/officeDocument/2006/relationships" ref="D937" r:id="rId1871"/>
    <hyperlink xmlns:r="http://schemas.openxmlformats.org/officeDocument/2006/relationships" ref="M937" r:id="rId1872"/>
    <hyperlink xmlns:r="http://schemas.openxmlformats.org/officeDocument/2006/relationships" ref="D938" r:id="rId1873"/>
    <hyperlink xmlns:r="http://schemas.openxmlformats.org/officeDocument/2006/relationships" ref="M938" r:id="rId1874"/>
    <hyperlink xmlns:r="http://schemas.openxmlformats.org/officeDocument/2006/relationships" ref="D939" r:id="rId1875"/>
    <hyperlink xmlns:r="http://schemas.openxmlformats.org/officeDocument/2006/relationships" ref="M939" r:id="rId1876"/>
    <hyperlink xmlns:r="http://schemas.openxmlformats.org/officeDocument/2006/relationships" ref="D940" r:id="rId1877"/>
    <hyperlink xmlns:r="http://schemas.openxmlformats.org/officeDocument/2006/relationships" ref="M940" r:id="rId1878"/>
    <hyperlink xmlns:r="http://schemas.openxmlformats.org/officeDocument/2006/relationships" ref="D941" r:id="rId1879"/>
    <hyperlink xmlns:r="http://schemas.openxmlformats.org/officeDocument/2006/relationships" ref="M941" r:id="rId1880"/>
    <hyperlink xmlns:r="http://schemas.openxmlformats.org/officeDocument/2006/relationships" ref="D942" r:id="rId1881"/>
    <hyperlink xmlns:r="http://schemas.openxmlformats.org/officeDocument/2006/relationships" ref="M942" r:id="rId1882"/>
    <hyperlink xmlns:r="http://schemas.openxmlformats.org/officeDocument/2006/relationships" ref="D943" r:id="rId1883"/>
    <hyperlink xmlns:r="http://schemas.openxmlformats.org/officeDocument/2006/relationships" ref="M943" r:id="rId1884"/>
    <hyperlink xmlns:r="http://schemas.openxmlformats.org/officeDocument/2006/relationships" ref="D944" r:id="rId1885"/>
    <hyperlink xmlns:r="http://schemas.openxmlformats.org/officeDocument/2006/relationships" ref="M944" r:id="rId1886"/>
    <hyperlink xmlns:r="http://schemas.openxmlformats.org/officeDocument/2006/relationships" ref="D945" r:id="rId1887"/>
    <hyperlink xmlns:r="http://schemas.openxmlformats.org/officeDocument/2006/relationships" ref="M945" r:id="rId1888"/>
    <hyperlink xmlns:r="http://schemas.openxmlformats.org/officeDocument/2006/relationships" ref="D946" r:id="rId1889"/>
    <hyperlink xmlns:r="http://schemas.openxmlformats.org/officeDocument/2006/relationships" ref="M946" r:id="rId1890"/>
    <hyperlink xmlns:r="http://schemas.openxmlformats.org/officeDocument/2006/relationships" ref="D947" r:id="rId1891"/>
    <hyperlink xmlns:r="http://schemas.openxmlformats.org/officeDocument/2006/relationships" ref="M947" r:id="rId1892"/>
    <hyperlink xmlns:r="http://schemas.openxmlformats.org/officeDocument/2006/relationships" ref="D948" r:id="rId1893"/>
    <hyperlink xmlns:r="http://schemas.openxmlformats.org/officeDocument/2006/relationships" ref="M948" r:id="rId1894"/>
    <hyperlink xmlns:r="http://schemas.openxmlformats.org/officeDocument/2006/relationships" ref="D949" r:id="rId1895"/>
    <hyperlink xmlns:r="http://schemas.openxmlformats.org/officeDocument/2006/relationships" ref="M949" r:id="rId1896"/>
    <hyperlink xmlns:r="http://schemas.openxmlformats.org/officeDocument/2006/relationships" ref="D950" r:id="rId1897"/>
    <hyperlink xmlns:r="http://schemas.openxmlformats.org/officeDocument/2006/relationships" ref="M950" r:id="rId1898"/>
    <hyperlink xmlns:r="http://schemas.openxmlformats.org/officeDocument/2006/relationships" ref="D951" r:id="rId1899"/>
    <hyperlink xmlns:r="http://schemas.openxmlformats.org/officeDocument/2006/relationships" ref="M951" r:id="rId1900"/>
    <hyperlink xmlns:r="http://schemas.openxmlformats.org/officeDocument/2006/relationships" ref="D952" r:id="rId1901"/>
    <hyperlink xmlns:r="http://schemas.openxmlformats.org/officeDocument/2006/relationships" ref="M952" r:id="rId1902"/>
    <hyperlink xmlns:r="http://schemas.openxmlformats.org/officeDocument/2006/relationships" ref="D953" r:id="rId1903"/>
    <hyperlink xmlns:r="http://schemas.openxmlformats.org/officeDocument/2006/relationships" ref="M953" r:id="rId1904"/>
    <hyperlink xmlns:r="http://schemas.openxmlformats.org/officeDocument/2006/relationships" ref="D954" r:id="rId1905"/>
    <hyperlink xmlns:r="http://schemas.openxmlformats.org/officeDocument/2006/relationships" ref="M954" r:id="rId1906"/>
    <hyperlink xmlns:r="http://schemas.openxmlformats.org/officeDocument/2006/relationships" ref="D955" r:id="rId1907"/>
    <hyperlink xmlns:r="http://schemas.openxmlformats.org/officeDocument/2006/relationships" ref="M955" r:id="rId1908"/>
    <hyperlink xmlns:r="http://schemas.openxmlformats.org/officeDocument/2006/relationships" ref="D956" r:id="rId1909"/>
    <hyperlink xmlns:r="http://schemas.openxmlformats.org/officeDocument/2006/relationships" ref="M956" r:id="rId1910"/>
    <hyperlink xmlns:r="http://schemas.openxmlformats.org/officeDocument/2006/relationships" ref="D957" r:id="rId1911"/>
    <hyperlink xmlns:r="http://schemas.openxmlformats.org/officeDocument/2006/relationships" ref="M957" r:id="rId1912"/>
    <hyperlink xmlns:r="http://schemas.openxmlformats.org/officeDocument/2006/relationships" ref="D958" r:id="rId1913"/>
    <hyperlink xmlns:r="http://schemas.openxmlformats.org/officeDocument/2006/relationships" ref="M958" r:id="rId1914"/>
    <hyperlink xmlns:r="http://schemas.openxmlformats.org/officeDocument/2006/relationships" ref="D959" r:id="rId1915"/>
    <hyperlink xmlns:r="http://schemas.openxmlformats.org/officeDocument/2006/relationships" ref="M959" r:id="rId1916"/>
    <hyperlink xmlns:r="http://schemas.openxmlformats.org/officeDocument/2006/relationships" ref="D960" r:id="rId1917"/>
    <hyperlink xmlns:r="http://schemas.openxmlformats.org/officeDocument/2006/relationships" ref="M960" r:id="rId1918"/>
    <hyperlink xmlns:r="http://schemas.openxmlformats.org/officeDocument/2006/relationships" ref="D961" r:id="rId1919"/>
    <hyperlink xmlns:r="http://schemas.openxmlformats.org/officeDocument/2006/relationships" ref="M961" r:id="rId1920"/>
    <hyperlink xmlns:r="http://schemas.openxmlformats.org/officeDocument/2006/relationships" ref="D962" r:id="rId1921"/>
    <hyperlink xmlns:r="http://schemas.openxmlformats.org/officeDocument/2006/relationships" ref="M962" r:id="rId1922"/>
    <hyperlink xmlns:r="http://schemas.openxmlformats.org/officeDocument/2006/relationships" ref="D963" r:id="rId1923"/>
    <hyperlink xmlns:r="http://schemas.openxmlformats.org/officeDocument/2006/relationships" ref="M963" r:id="rId1924"/>
    <hyperlink xmlns:r="http://schemas.openxmlformats.org/officeDocument/2006/relationships" ref="D964" r:id="rId1925"/>
    <hyperlink xmlns:r="http://schemas.openxmlformats.org/officeDocument/2006/relationships" ref="M964" r:id="rId1926"/>
    <hyperlink xmlns:r="http://schemas.openxmlformats.org/officeDocument/2006/relationships" ref="D965" r:id="rId1927"/>
    <hyperlink xmlns:r="http://schemas.openxmlformats.org/officeDocument/2006/relationships" ref="M965" r:id="rId1928"/>
    <hyperlink xmlns:r="http://schemas.openxmlformats.org/officeDocument/2006/relationships" ref="D966" r:id="rId1929"/>
    <hyperlink xmlns:r="http://schemas.openxmlformats.org/officeDocument/2006/relationships" ref="M966" r:id="rId1930"/>
    <hyperlink xmlns:r="http://schemas.openxmlformats.org/officeDocument/2006/relationships" ref="D967" r:id="rId1931"/>
    <hyperlink xmlns:r="http://schemas.openxmlformats.org/officeDocument/2006/relationships" ref="M967" r:id="rId1932"/>
    <hyperlink xmlns:r="http://schemas.openxmlformats.org/officeDocument/2006/relationships" ref="D968" r:id="rId1933"/>
    <hyperlink xmlns:r="http://schemas.openxmlformats.org/officeDocument/2006/relationships" ref="M968" r:id="rId1934"/>
    <hyperlink xmlns:r="http://schemas.openxmlformats.org/officeDocument/2006/relationships" ref="D969" r:id="rId1935"/>
    <hyperlink xmlns:r="http://schemas.openxmlformats.org/officeDocument/2006/relationships" ref="M969" r:id="rId1936"/>
    <hyperlink xmlns:r="http://schemas.openxmlformats.org/officeDocument/2006/relationships" ref="D970" r:id="rId1937"/>
    <hyperlink xmlns:r="http://schemas.openxmlformats.org/officeDocument/2006/relationships" ref="M970" r:id="rId1938"/>
    <hyperlink xmlns:r="http://schemas.openxmlformats.org/officeDocument/2006/relationships" ref="D971" r:id="rId1939"/>
    <hyperlink xmlns:r="http://schemas.openxmlformats.org/officeDocument/2006/relationships" ref="M971" r:id="rId1940"/>
    <hyperlink xmlns:r="http://schemas.openxmlformats.org/officeDocument/2006/relationships" ref="D972" r:id="rId1941"/>
    <hyperlink xmlns:r="http://schemas.openxmlformats.org/officeDocument/2006/relationships" ref="M972" r:id="rId1942"/>
    <hyperlink xmlns:r="http://schemas.openxmlformats.org/officeDocument/2006/relationships" ref="D973" r:id="rId1943"/>
    <hyperlink xmlns:r="http://schemas.openxmlformats.org/officeDocument/2006/relationships" ref="M973" r:id="rId1944"/>
    <hyperlink xmlns:r="http://schemas.openxmlformats.org/officeDocument/2006/relationships" ref="D974" r:id="rId1945"/>
    <hyperlink xmlns:r="http://schemas.openxmlformats.org/officeDocument/2006/relationships" ref="M974" r:id="rId1946"/>
    <hyperlink xmlns:r="http://schemas.openxmlformats.org/officeDocument/2006/relationships" ref="D975" r:id="rId1947"/>
    <hyperlink xmlns:r="http://schemas.openxmlformats.org/officeDocument/2006/relationships" ref="M975" r:id="rId1948"/>
    <hyperlink xmlns:r="http://schemas.openxmlformats.org/officeDocument/2006/relationships" ref="D976" r:id="rId1949"/>
    <hyperlink xmlns:r="http://schemas.openxmlformats.org/officeDocument/2006/relationships" ref="M976" r:id="rId1950"/>
    <hyperlink xmlns:r="http://schemas.openxmlformats.org/officeDocument/2006/relationships" ref="D977" r:id="rId1951"/>
    <hyperlink xmlns:r="http://schemas.openxmlformats.org/officeDocument/2006/relationships" ref="M977" r:id="rId1952"/>
    <hyperlink xmlns:r="http://schemas.openxmlformats.org/officeDocument/2006/relationships" ref="D978" r:id="rId1953"/>
    <hyperlink xmlns:r="http://schemas.openxmlformats.org/officeDocument/2006/relationships" ref="M978" r:id="rId1954"/>
    <hyperlink xmlns:r="http://schemas.openxmlformats.org/officeDocument/2006/relationships" ref="D979" r:id="rId1955"/>
    <hyperlink xmlns:r="http://schemas.openxmlformats.org/officeDocument/2006/relationships" ref="M979" r:id="rId1956"/>
    <hyperlink xmlns:r="http://schemas.openxmlformats.org/officeDocument/2006/relationships" ref="D980" r:id="rId1957"/>
    <hyperlink xmlns:r="http://schemas.openxmlformats.org/officeDocument/2006/relationships" ref="M980" r:id="rId1958"/>
    <hyperlink xmlns:r="http://schemas.openxmlformats.org/officeDocument/2006/relationships" ref="D981" r:id="rId1959"/>
    <hyperlink xmlns:r="http://schemas.openxmlformats.org/officeDocument/2006/relationships" ref="M981" r:id="rId1960"/>
    <hyperlink xmlns:r="http://schemas.openxmlformats.org/officeDocument/2006/relationships" ref="D982" r:id="rId1961"/>
    <hyperlink xmlns:r="http://schemas.openxmlformats.org/officeDocument/2006/relationships" ref="M982" r:id="rId1962"/>
    <hyperlink xmlns:r="http://schemas.openxmlformats.org/officeDocument/2006/relationships" ref="D983" r:id="rId1963"/>
    <hyperlink xmlns:r="http://schemas.openxmlformats.org/officeDocument/2006/relationships" ref="M983" r:id="rId1964"/>
    <hyperlink xmlns:r="http://schemas.openxmlformats.org/officeDocument/2006/relationships" ref="D984" r:id="rId1965"/>
    <hyperlink xmlns:r="http://schemas.openxmlformats.org/officeDocument/2006/relationships" ref="M984" r:id="rId1966"/>
    <hyperlink xmlns:r="http://schemas.openxmlformats.org/officeDocument/2006/relationships" ref="D985" r:id="rId1967"/>
    <hyperlink xmlns:r="http://schemas.openxmlformats.org/officeDocument/2006/relationships" ref="M985" r:id="rId1968"/>
    <hyperlink xmlns:r="http://schemas.openxmlformats.org/officeDocument/2006/relationships" ref="D986" r:id="rId1969"/>
    <hyperlink xmlns:r="http://schemas.openxmlformats.org/officeDocument/2006/relationships" ref="M986" r:id="rId1970"/>
    <hyperlink xmlns:r="http://schemas.openxmlformats.org/officeDocument/2006/relationships" ref="D987" r:id="rId1971"/>
    <hyperlink xmlns:r="http://schemas.openxmlformats.org/officeDocument/2006/relationships" ref="M987" r:id="rId1972"/>
    <hyperlink xmlns:r="http://schemas.openxmlformats.org/officeDocument/2006/relationships" ref="D988" r:id="rId1973"/>
    <hyperlink xmlns:r="http://schemas.openxmlformats.org/officeDocument/2006/relationships" ref="M988" r:id="rId1974"/>
    <hyperlink xmlns:r="http://schemas.openxmlformats.org/officeDocument/2006/relationships" ref="D989" r:id="rId1975"/>
    <hyperlink xmlns:r="http://schemas.openxmlformats.org/officeDocument/2006/relationships" ref="M989" r:id="rId1976"/>
    <hyperlink xmlns:r="http://schemas.openxmlformats.org/officeDocument/2006/relationships" ref="D990" r:id="rId1977"/>
    <hyperlink xmlns:r="http://schemas.openxmlformats.org/officeDocument/2006/relationships" ref="M990" r:id="rId1978"/>
    <hyperlink xmlns:r="http://schemas.openxmlformats.org/officeDocument/2006/relationships" ref="D991" r:id="rId1979"/>
    <hyperlink xmlns:r="http://schemas.openxmlformats.org/officeDocument/2006/relationships" ref="M991" r:id="rId1980"/>
    <hyperlink xmlns:r="http://schemas.openxmlformats.org/officeDocument/2006/relationships" ref="D992" r:id="rId1981"/>
    <hyperlink xmlns:r="http://schemas.openxmlformats.org/officeDocument/2006/relationships" ref="M992" r:id="rId1982"/>
    <hyperlink xmlns:r="http://schemas.openxmlformats.org/officeDocument/2006/relationships" ref="D993" r:id="rId1983"/>
    <hyperlink xmlns:r="http://schemas.openxmlformats.org/officeDocument/2006/relationships" ref="M993" r:id="rId1984"/>
    <hyperlink xmlns:r="http://schemas.openxmlformats.org/officeDocument/2006/relationships" ref="D994" r:id="rId1985"/>
    <hyperlink xmlns:r="http://schemas.openxmlformats.org/officeDocument/2006/relationships" ref="M994" r:id="rId1986"/>
    <hyperlink xmlns:r="http://schemas.openxmlformats.org/officeDocument/2006/relationships" ref="D995" r:id="rId1987"/>
    <hyperlink xmlns:r="http://schemas.openxmlformats.org/officeDocument/2006/relationships" ref="M995" r:id="rId1988"/>
    <hyperlink xmlns:r="http://schemas.openxmlformats.org/officeDocument/2006/relationships" ref="D996" r:id="rId1989"/>
    <hyperlink xmlns:r="http://schemas.openxmlformats.org/officeDocument/2006/relationships" ref="M996" r:id="rId1990"/>
    <hyperlink xmlns:r="http://schemas.openxmlformats.org/officeDocument/2006/relationships" ref="D997" r:id="rId1991"/>
    <hyperlink xmlns:r="http://schemas.openxmlformats.org/officeDocument/2006/relationships" ref="M997" r:id="rId1992"/>
    <hyperlink xmlns:r="http://schemas.openxmlformats.org/officeDocument/2006/relationships" ref="D998" r:id="rId1993"/>
    <hyperlink xmlns:r="http://schemas.openxmlformats.org/officeDocument/2006/relationships" ref="M998" r:id="rId1994"/>
    <hyperlink xmlns:r="http://schemas.openxmlformats.org/officeDocument/2006/relationships" ref="D999" r:id="rId1995"/>
    <hyperlink xmlns:r="http://schemas.openxmlformats.org/officeDocument/2006/relationships" ref="M999" r:id="rId1996"/>
    <hyperlink xmlns:r="http://schemas.openxmlformats.org/officeDocument/2006/relationships" ref="D1000" r:id="rId1997"/>
    <hyperlink xmlns:r="http://schemas.openxmlformats.org/officeDocument/2006/relationships" ref="M1000" r:id="rId1998"/>
    <hyperlink xmlns:r="http://schemas.openxmlformats.org/officeDocument/2006/relationships" ref="D1001" r:id="rId1999"/>
    <hyperlink xmlns:r="http://schemas.openxmlformats.org/officeDocument/2006/relationships" ref="M1001" r:id="rId2000"/>
    <hyperlink xmlns:r="http://schemas.openxmlformats.org/officeDocument/2006/relationships" ref="D1002" r:id="rId2001"/>
    <hyperlink xmlns:r="http://schemas.openxmlformats.org/officeDocument/2006/relationships" ref="M1002" r:id="rId2002"/>
    <hyperlink xmlns:r="http://schemas.openxmlformats.org/officeDocument/2006/relationships" ref="D1003" r:id="rId2003"/>
    <hyperlink xmlns:r="http://schemas.openxmlformats.org/officeDocument/2006/relationships" ref="M1003" r:id="rId2004"/>
    <hyperlink xmlns:r="http://schemas.openxmlformats.org/officeDocument/2006/relationships" ref="D1004" r:id="rId2005"/>
    <hyperlink xmlns:r="http://schemas.openxmlformats.org/officeDocument/2006/relationships" ref="M1004" r:id="rId2006"/>
    <hyperlink xmlns:r="http://schemas.openxmlformats.org/officeDocument/2006/relationships" ref="D1005" r:id="rId2007"/>
    <hyperlink xmlns:r="http://schemas.openxmlformats.org/officeDocument/2006/relationships" ref="M1005" r:id="rId2008"/>
    <hyperlink xmlns:r="http://schemas.openxmlformats.org/officeDocument/2006/relationships" ref="D1006" r:id="rId2009"/>
    <hyperlink xmlns:r="http://schemas.openxmlformats.org/officeDocument/2006/relationships" ref="M1006" r:id="rId2010"/>
    <hyperlink xmlns:r="http://schemas.openxmlformats.org/officeDocument/2006/relationships" ref="D1007" r:id="rId2011"/>
    <hyperlink xmlns:r="http://schemas.openxmlformats.org/officeDocument/2006/relationships" ref="M1007" r:id="rId2012"/>
    <hyperlink xmlns:r="http://schemas.openxmlformats.org/officeDocument/2006/relationships" ref="D1008" r:id="rId2013"/>
    <hyperlink xmlns:r="http://schemas.openxmlformats.org/officeDocument/2006/relationships" ref="M1008" r:id="rId2014"/>
    <hyperlink xmlns:r="http://schemas.openxmlformats.org/officeDocument/2006/relationships" ref="D1009" r:id="rId2015"/>
    <hyperlink xmlns:r="http://schemas.openxmlformats.org/officeDocument/2006/relationships" ref="M1009" r:id="rId2016"/>
    <hyperlink xmlns:r="http://schemas.openxmlformats.org/officeDocument/2006/relationships" ref="D1010" r:id="rId2017"/>
    <hyperlink xmlns:r="http://schemas.openxmlformats.org/officeDocument/2006/relationships" ref="M1010" r:id="rId2018"/>
    <hyperlink xmlns:r="http://schemas.openxmlformats.org/officeDocument/2006/relationships" ref="D1011" r:id="rId2019"/>
    <hyperlink xmlns:r="http://schemas.openxmlformats.org/officeDocument/2006/relationships" ref="M1011" r:id="rId2020"/>
    <hyperlink xmlns:r="http://schemas.openxmlformats.org/officeDocument/2006/relationships" ref="D1012" r:id="rId2021"/>
    <hyperlink xmlns:r="http://schemas.openxmlformats.org/officeDocument/2006/relationships" ref="M1012" r:id="rId2022"/>
    <hyperlink xmlns:r="http://schemas.openxmlformats.org/officeDocument/2006/relationships" ref="D1013" r:id="rId2023"/>
    <hyperlink xmlns:r="http://schemas.openxmlformats.org/officeDocument/2006/relationships" ref="M1013" r:id="rId2024"/>
    <hyperlink xmlns:r="http://schemas.openxmlformats.org/officeDocument/2006/relationships" ref="D1014" r:id="rId2025"/>
    <hyperlink xmlns:r="http://schemas.openxmlformats.org/officeDocument/2006/relationships" ref="M1014" r:id="rId2026"/>
    <hyperlink xmlns:r="http://schemas.openxmlformats.org/officeDocument/2006/relationships" ref="D1015" r:id="rId2027"/>
    <hyperlink xmlns:r="http://schemas.openxmlformats.org/officeDocument/2006/relationships" ref="M1015" r:id="rId2028"/>
    <hyperlink xmlns:r="http://schemas.openxmlformats.org/officeDocument/2006/relationships" ref="D1016" r:id="rId2029"/>
    <hyperlink xmlns:r="http://schemas.openxmlformats.org/officeDocument/2006/relationships" ref="M1016" r:id="rId2030"/>
    <hyperlink xmlns:r="http://schemas.openxmlformats.org/officeDocument/2006/relationships" ref="D1017" r:id="rId2031"/>
    <hyperlink xmlns:r="http://schemas.openxmlformats.org/officeDocument/2006/relationships" ref="M1017" r:id="rId2032"/>
    <hyperlink xmlns:r="http://schemas.openxmlformats.org/officeDocument/2006/relationships" ref="D1018" r:id="rId2033"/>
    <hyperlink xmlns:r="http://schemas.openxmlformats.org/officeDocument/2006/relationships" ref="M1018" r:id="rId2034"/>
    <hyperlink xmlns:r="http://schemas.openxmlformats.org/officeDocument/2006/relationships" ref="D1019" r:id="rId2035"/>
    <hyperlink xmlns:r="http://schemas.openxmlformats.org/officeDocument/2006/relationships" ref="M1019" r:id="rId2036"/>
    <hyperlink xmlns:r="http://schemas.openxmlformats.org/officeDocument/2006/relationships" ref="D1020" r:id="rId2037"/>
    <hyperlink xmlns:r="http://schemas.openxmlformats.org/officeDocument/2006/relationships" ref="M1020" r:id="rId2038"/>
    <hyperlink xmlns:r="http://schemas.openxmlformats.org/officeDocument/2006/relationships" ref="D1021" r:id="rId2039"/>
    <hyperlink xmlns:r="http://schemas.openxmlformats.org/officeDocument/2006/relationships" ref="M1021" r:id="rId2040"/>
    <hyperlink xmlns:r="http://schemas.openxmlformats.org/officeDocument/2006/relationships" ref="D1022" r:id="rId2041"/>
    <hyperlink xmlns:r="http://schemas.openxmlformats.org/officeDocument/2006/relationships" ref="M1022" r:id="rId2042"/>
    <hyperlink xmlns:r="http://schemas.openxmlformats.org/officeDocument/2006/relationships" ref="D1023" r:id="rId2043"/>
    <hyperlink xmlns:r="http://schemas.openxmlformats.org/officeDocument/2006/relationships" ref="M1023" r:id="rId2044"/>
    <hyperlink xmlns:r="http://schemas.openxmlformats.org/officeDocument/2006/relationships" ref="D1024" r:id="rId2045"/>
    <hyperlink xmlns:r="http://schemas.openxmlformats.org/officeDocument/2006/relationships" ref="M1024" r:id="rId2046"/>
    <hyperlink xmlns:r="http://schemas.openxmlformats.org/officeDocument/2006/relationships" ref="D1025" r:id="rId2047"/>
    <hyperlink xmlns:r="http://schemas.openxmlformats.org/officeDocument/2006/relationships" ref="M1025" r:id="rId2048"/>
    <hyperlink xmlns:r="http://schemas.openxmlformats.org/officeDocument/2006/relationships" ref="D1026" r:id="rId2049"/>
    <hyperlink xmlns:r="http://schemas.openxmlformats.org/officeDocument/2006/relationships" ref="M1026" r:id="rId2050"/>
    <hyperlink xmlns:r="http://schemas.openxmlformats.org/officeDocument/2006/relationships" ref="D1027" r:id="rId2051"/>
    <hyperlink xmlns:r="http://schemas.openxmlformats.org/officeDocument/2006/relationships" ref="M1027" r:id="rId2052"/>
    <hyperlink xmlns:r="http://schemas.openxmlformats.org/officeDocument/2006/relationships" ref="D1028" r:id="rId2053"/>
    <hyperlink xmlns:r="http://schemas.openxmlformats.org/officeDocument/2006/relationships" ref="M1028" r:id="rId2054"/>
    <hyperlink xmlns:r="http://schemas.openxmlformats.org/officeDocument/2006/relationships" ref="D1029" r:id="rId2055"/>
    <hyperlink xmlns:r="http://schemas.openxmlformats.org/officeDocument/2006/relationships" ref="M1029" r:id="rId2056"/>
    <hyperlink xmlns:r="http://schemas.openxmlformats.org/officeDocument/2006/relationships" ref="D1030" r:id="rId2057"/>
    <hyperlink xmlns:r="http://schemas.openxmlformats.org/officeDocument/2006/relationships" ref="M1030" r:id="rId2058"/>
    <hyperlink xmlns:r="http://schemas.openxmlformats.org/officeDocument/2006/relationships" ref="D1031" r:id="rId2059"/>
    <hyperlink xmlns:r="http://schemas.openxmlformats.org/officeDocument/2006/relationships" ref="M1031" r:id="rId2060"/>
    <hyperlink xmlns:r="http://schemas.openxmlformats.org/officeDocument/2006/relationships" ref="D1032" r:id="rId2061"/>
    <hyperlink xmlns:r="http://schemas.openxmlformats.org/officeDocument/2006/relationships" ref="M1032" r:id="rId2062"/>
    <hyperlink xmlns:r="http://schemas.openxmlformats.org/officeDocument/2006/relationships" ref="D1033" r:id="rId2063"/>
    <hyperlink xmlns:r="http://schemas.openxmlformats.org/officeDocument/2006/relationships" ref="M1033" r:id="rId2064"/>
    <hyperlink xmlns:r="http://schemas.openxmlformats.org/officeDocument/2006/relationships" ref="D1034" r:id="rId2065"/>
    <hyperlink xmlns:r="http://schemas.openxmlformats.org/officeDocument/2006/relationships" ref="M1034" r:id="rId2066"/>
    <hyperlink xmlns:r="http://schemas.openxmlformats.org/officeDocument/2006/relationships" ref="D1035" r:id="rId2067"/>
    <hyperlink xmlns:r="http://schemas.openxmlformats.org/officeDocument/2006/relationships" ref="M1035" r:id="rId2068"/>
    <hyperlink xmlns:r="http://schemas.openxmlformats.org/officeDocument/2006/relationships" ref="D1036" r:id="rId2069"/>
    <hyperlink xmlns:r="http://schemas.openxmlformats.org/officeDocument/2006/relationships" ref="M1036" r:id="rId2070"/>
    <hyperlink xmlns:r="http://schemas.openxmlformats.org/officeDocument/2006/relationships" ref="D1037" r:id="rId2071"/>
    <hyperlink xmlns:r="http://schemas.openxmlformats.org/officeDocument/2006/relationships" ref="M1037" r:id="rId2072"/>
    <hyperlink xmlns:r="http://schemas.openxmlformats.org/officeDocument/2006/relationships" ref="D1038" r:id="rId2073"/>
    <hyperlink xmlns:r="http://schemas.openxmlformats.org/officeDocument/2006/relationships" ref="M1038" r:id="rId2074"/>
    <hyperlink xmlns:r="http://schemas.openxmlformats.org/officeDocument/2006/relationships" ref="D1039" r:id="rId2075"/>
    <hyperlink xmlns:r="http://schemas.openxmlformats.org/officeDocument/2006/relationships" ref="M1039" r:id="rId2076"/>
    <hyperlink xmlns:r="http://schemas.openxmlformats.org/officeDocument/2006/relationships" ref="D1040" r:id="rId2077"/>
    <hyperlink xmlns:r="http://schemas.openxmlformats.org/officeDocument/2006/relationships" ref="M1040" r:id="rId2078"/>
    <hyperlink xmlns:r="http://schemas.openxmlformats.org/officeDocument/2006/relationships" ref="D1041" r:id="rId2079"/>
    <hyperlink xmlns:r="http://schemas.openxmlformats.org/officeDocument/2006/relationships" ref="M1041" r:id="rId2080"/>
    <hyperlink xmlns:r="http://schemas.openxmlformats.org/officeDocument/2006/relationships" ref="D1042" r:id="rId2081"/>
    <hyperlink xmlns:r="http://schemas.openxmlformats.org/officeDocument/2006/relationships" ref="M1042" r:id="rId2082"/>
    <hyperlink xmlns:r="http://schemas.openxmlformats.org/officeDocument/2006/relationships" ref="D1043" r:id="rId2083"/>
    <hyperlink xmlns:r="http://schemas.openxmlformats.org/officeDocument/2006/relationships" ref="M1043" r:id="rId2084"/>
    <hyperlink xmlns:r="http://schemas.openxmlformats.org/officeDocument/2006/relationships" ref="D1044" r:id="rId2085"/>
    <hyperlink xmlns:r="http://schemas.openxmlformats.org/officeDocument/2006/relationships" ref="M1044" r:id="rId2086"/>
    <hyperlink xmlns:r="http://schemas.openxmlformats.org/officeDocument/2006/relationships" ref="D1045" r:id="rId2087"/>
    <hyperlink xmlns:r="http://schemas.openxmlformats.org/officeDocument/2006/relationships" ref="M1045" r:id="rId2088"/>
    <hyperlink xmlns:r="http://schemas.openxmlformats.org/officeDocument/2006/relationships" ref="D1046" r:id="rId2089"/>
    <hyperlink xmlns:r="http://schemas.openxmlformats.org/officeDocument/2006/relationships" ref="M1046" r:id="rId2090"/>
    <hyperlink xmlns:r="http://schemas.openxmlformats.org/officeDocument/2006/relationships" ref="D1047" r:id="rId2091"/>
    <hyperlink xmlns:r="http://schemas.openxmlformats.org/officeDocument/2006/relationships" ref="M1047" r:id="rId2092"/>
    <hyperlink xmlns:r="http://schemas.openxmlformats.org/officeDocument/2006/relationships" ref="D1048" r:id="rId2093"/>
    <hyperlink xmlns:r="http://schemas.openxmlformats.org/officeDocument/2006/relationships" ref="M1048" r:id="rId2094"/>
    <hyperlink xmlns:r="http://schemas.openxmlformats.org/officeDocument/2006/relationships" ref="D1049" r:id="rId2095"/>
    <hyperlink xmlns:r="http://schemas.openxmlformats.org/officeDocument/2006/relationships" ref="M1049" r:id="rId2096"/>
    <hyperlink xmlns:r="http://schemas.openxmlformats.org/officeDocument/2006/relationships" ref="D1050" r:id="rId2097"/>
    <hyperlink xmlns:r="http://schemas.openxmlformats.org/officeDocument/2006/relationships" ref="M1050" r:id="rId2098"/>
    <hyperlink xmlns:r="http://schemas.openxmlformats.org/officeDocument/2006/relationships" ref="D1051" r:id="rId2099"/>
    <hyperlink xmlns:r="http://schemas.openxmlformats.org/officeDocument/2006/relationships" ref="M1051" r:id="rId2100"/>
    <hyperlink xmlns:r="http://schemas.openxmlformats.org/officeDocument/2006/relationships" ref="D1052" r:id="rId2101"/>
    <hyperlink xmlns:r="http://schemas.openxmlformats.org/officeDocument/2006/relationships" ref="M1052" r:id="rId2102"/>
    <hyperlink xmlns:r="http://schemas.openxmlformats.org/officeDocument/2006/relationships" ref="D1053" r:id="rId2103"/>
    <hyperlink xmlns:r="http://schemas.openxmlformats.org/officeDocument/2006/relationships" ref="M1053" r:id="rId2104"/>
    <hyperlink xmlns:r="http://schemas.openxmlformats.org/officeDocument/2006/relationships" ref="D1054" r:id="rId2105"/>
    <hyperlink xmlns:r="http://schemas.openxmlformats.org/officeDocument/2006/relationships" ref="M1054" r:id="rId2106"/>
    <hyperlink xmlns:r="http://schemas.openxmlformats.org/officeDocument/2006/relationships" ref="D1055" r:id="rId2107"/>
    <hyperlink xmlns:r="http://schemas.openxmlformats.org/officeDocument/2006/relationships" ref="M1055" r:id="rId2108"/>
    <hyperlink xmlns:r="http://schemas.openxmlformats.org/officeDocument/2006/relationships" ref="D1056" r:id="rId2109"/>
    <hyperlink xmlns:r="http://schemas.openxmlformats.org/officeDocument/2006/relationships" ref="M1056" r:id="rId2110"/>
    <hyperlink xmlns:r="http://schemas.openxmlformats.org/officeDocument/2006/relationships" ref="D1057" r:id="rId2111"/>
    <hyperlink xmlns:r="http://schemas.openxmlformats.org/officeDocument/2006/relationships" ref="M1057" r:id="rId2112"/>
    <hyperlink xmlns:r="http://schemas.openxmlformats.org/officeDocument/2006/relationships" ref="D1058" r:id="rId2113"/>
    <hyperlink xmlns:r="http://schemas.openxmlformats.org/officeDocument/2006/relationships" ref="M1058" r:id="rId2114"/>
    <hyperlink xmlns:r="http://schemas.openxmlformats.org/officeDocument/2006/relationships" ref="D1059" r:id="rId2115"/>
    <hyperlink xmlns:r="http://schemas.openxmlformats.org/officeDocument/2006/relationships" ref="M1059" r:id="rId2116"/>
    <hyperlink xmlns:r="http://schemas.openxmlformats.org/officeDocument/2006/relationships" ref="D1060" r:id="rId2117"/>
    <hyperlink xmlns:r="http://schemas.openxmlformats.org/officeDocument/2006/relationships" ref="M1060" r:id="rId2118"/>
    <hyperlink xmlns:r="http://schemas.openxmlformats.org/officeDocument/2006/relationships" ref="D1061" r:id="rId2119"/>
    <hyperlink xmlns:r="http://schemas.openxmlformats.org/officeDocument/2006/relationships" ref="M1061" r:id="rId2120"/>
    <hyperlink xmlns:r="http://schemas.openxmlformats.org/officeDocument/2006/relationships" ref="D1062" r:id="rId2121"/>
    <hyperlink xmlns:r="http://schemas.openxmlformats.org/officeDocument/2006/relationships" ref="M1062" r:id="rId2122"/>
    <hyperlink xmlns:r="http://schemas.openxmlformats.org/officeDocument/2006/relationships" ref="D1063" r:id="rId2123"/>
    <hyperlink xmlns:r="http://schemas.openxmlformats.org/officeDocument/2006/relationships" ref="M1063" r:id="rId2124"/>
    <hyperlink xmlns:r="http://schemas.openxmlformats.org/officeDocument/2006/relationships" ref="D1064" r:id="rId2125"/>
    <hyperlink xmlns:r="http://schemas.openxmlformats.org/officeDocument/2006/relationships" ref="M1064" r:id="rId2126"/>
    <hyperlink xmlns:r="http://schemas.openxmlformats.org/officeDocument/2006/relationships" ref="D1065" r:id="rId2127"/>
    <hyperlink xmlns:r="http://schemas.openxmlformats.org/officeDocument/2006/relationships" ref="M1065" r:id="rId2128"/>
    <hyperlink xmlns:r="http://schemas.openxmlformats.org/officeDocument/2006/relationships" ref="D1066" r:id="rId2129"/>
    <hyperlink xmlns:r="http://schemas.openxmlformats.org/officeDocument/2006/relationships" ref="M1066" r:id="rId2130"/>
    <hyperlink xmlns:r="http://schemas.openxmlformats.org/officeDocument/2006/relationships" ref="D1067" r:id="rId2131"/>
    <hyperlink xmlns:r="http://schemas.openxmlformats.org/officeDocument/2006/relationships" ref="M1067" r:id="rId2132"/>
    <hyperlink xmlns:r="http://schemas.openxmlformats.org/officeDocument/2006/relationships" ref="D1068" r:id="rId2133"/>
    <hyperlink xmlns:r="http://schemas.openxmlformats.org/officeDocument/2006/relationships" ref="M1068" r:id="rId2134"/>
    <hyperlink xmlns:r="http://schemas.openxmlformats.org/officeDocument/2006/relationships" ref="D1069" r:id="rId2135"/>
    <hyperlink xmlns:r="http://schemas.openxmlformats.org/officeDocument/2006/relationships" ref="M1069" r:id="rId2136"/>
    <hyperlink xmlns:r="http://schemas.openxmlformats.org/officeDocument/2006/relationships" ref="D1070" r:id="rId2137"/>
    <hyperlink xmlns:r="http://schemas.openxmlformats.org/officeDocument/2006/relationships" ref="M1070" r:id="rId2138"/>
    <hyperlink xmlns:r="http://schemas.openxmlformats.org/officeDocument/2006/relationships" ref="D1071" r:id="rId2139"/>
    <hyperlink xmlns:r="http://schemas.openxmlformats.org/officeDocument/2006/relationships" ref="M1071" r:id="rId2140"/>
    <hyperlink xmlns:r="http://schemas.openxmlformats.org/officeDocument/2006/relationships" ref="D1072" r:id="rId2141"/>
    <hyperlink xmlns:r="http://schemas.openxmlformats.org/officeDocument/2006/relationships" ref="M1072" r:id="rId2142"/>
    <hyperlink xmlns:r="http://schemas.openxmlformats.org/officeDocument/2006/relationships" ref="D1073" r:id="rId2143"/>
    <hyperlink xmlns:r="http://schemas.openxmlformats.org/officeDocument/2006/relationships" ref="M1073" r:id="rId2144"/>
    <hyperlink xmlns:r="http://schemas.openxmlformats.org/officeDocument/2006/relationships" ref="D1074" r:id="rId2145"/>
    <hyperlink xmlns:r="http://schemas.openxmlformats.org/officeDocument/2006/relationships" ref="M1074" r:id="rId2146"/>
    <hyperlink xmlns:r="http://schemas.openxmlformats.org/officeDocument/2006/relationships" ref="D1075" r:id="rId2147"/>
    <hyperlink xmlns:r="http://schemas.openxmlformats.org/officeDocument/2006/relationships" ref="M1075" r:id="rId2148"/>
    <hyperlink xmlns:r="http://schemas.openxmlformats.org/officeDocument/2006/relationships" ref="D1076" r:id="rId2149"/>
    <hyperlink xmlns:r="http://schemas.openxmlformats.org/officeDocument/2006/relationships" ref="M1076" r:id="rId2150"/>
    <hyperlink xmlns:r="http://schemas.openxmlformats.org/officeDocument/2006/relationships" ref="D1077" r:id="rId2151"/>
    <hyperlink xmlns:r="http://schemas.openxmlformats.org/officeDocument/2006/relationships" ref="M1077" r:id="rId2152"/>
    <hyperlink xmlns:r="http://schemas.openxmlformats.org/officeDocument/2006/relationships" ref="D1078" r:id="rId2153"/>
    <hyperlink xmlns:r="http://schemas.openxmlformats.org/officeDocument/2006/relationships" ref="M1078" r:id="rId2154"/>
    <hyperlink xmlns:r="http://schemas.openxmlformats.org/officeDocument/2006/relationships" ref="D1079" r:id="rId2155"/>
    <hyperlink xmlns:r="http://schemas.openxmlformats.org/officeDocument/2006/relationships" ref="M1079" r:id="rId2156"/>
    <hyperlink xmlns:r="http://schemas.openxmlformats.org/officeDocument/2006/relationships" ref="D1080" r:id="rId2157"/>
    <hyperlink xmlns:r="http://schemas.openxmlformats.org/officeDocument/2006/relationships" ref="M1080" r:id="rId2158"/>
    <hyperlink xmlns:r="http://schemas.openxmlformats.org/officeDocument/2006/relationships" ref="D1081" r:id="rId2159"/>
    <hyperlink xmlns:r="http://schemas.openxmlformats.org/officeDocument/2006/relationships" ref="M1081" r:id="rId2160"/>
    <hyperlink xmlns:r="http://schemas.openxmlformats.org/officeDocument/2006/relationships" ref="D1082" r:id="rId2161"/>
    <hyperlink xmlns:r="http://schemas.openxmlformats.org/officeDocument/2006/relationships" ref="M1082" r:id="rId2162"/>
    <hyperlink xmlns:r="http://schemas.openxmlformats.org/officeDocument/2006/relationships" ref="D1083" r:id="rId2163"/>
    <hyperlink xmlns:r="http://schemas.openxmlformats.org/officeDocument/2006/relationships" ref="M1083" r:id="rId2164"/>
    <hyperlink xmlns:r="http://schemas.openxmlformats.org/officeDocument/2006/relationships" ref="D1084" r:id="rId2165"/>
    <hyperlink xmlns:r="http://schemas.openxmlformats.org/officeDocument/2006/relationships" ref="M1084" r:id="rId2166"/>
    <hyperlink xmlns:r="http://schemas.openxmlformats.org/officeDocument/2006/relationships" ref="D1085" r:id="rId2167"/>
    <hyperlink xmlns:r="http://schemas.openxmlformats.org/officeDocument/2006/relationships" ref="M1085" r:id="rId2168"/>
    <hyperlink xmlns:r="http://schemas.openxmlformats.org/officeDocument/2006/relationships" ref="D1086" r:id="rId2169"/>
    <hyperlink xmlns:r="http://schemas.openxmlformats.org/officeDocument/2006/relationships" ref="M1086" r:id="rId2170"/>
    <hyperlink xmlns:r="http://schemas.openxmlformats.org/officeDocument/2006/relationships" ref="D1087" r:id="rId2171"/>
    <hyperlink xmlns:r="http://schemas.openxmlformats.org/officeDocument/2006/relationships" ref="M1087" r:id="rId2172"/>
    <hyperlink xmlns:r="http://schemas.openxmlformats.org/officeDocument/2006/relationships" ref="D1088" r:id="rId2173"/>
    <hyperlink xmlns:r="http://schemas.openxmlformats.org/officeDocument/2006/relationships" ref="M1088" r:id="rId2174"/>
    <hyperlink xmlns:r="http://schemas.openxmlformats.org/officeDocument/2006/relationships" ref="D1089" r:id="rId2175"/>
    <hyperlink xmlns:r="http://schemas.openxmlformats.org/officeDocument/2006/relationships" ref="M1089" r:id="rId2176"/>
    <hyperlink xmlns:r="http://schemas.openxmlformats.org/officeDocument/2006/relationships" ref="D1090" r:id="rId2177"/>
    <hyperlink xmlns:r="http://schemas.openxmlformats.org/officeDocument/2006/relationships" ref="M1090" r:id="rId2178"/>
    <hyperlink xmlns:r="http://schemas.openxmlformats.org/officeDocument/2006/relationships" ref="D1091" r:id="rId2179"/>
    <hyperlink xmlns:r="http://schemas.openxmlformats.org/officeDocument/2006/relationships" ref="M1091" r:id="rId2180"/>
    <hyperlink xmlns:r="http://schemas.openxmlformats.org/officeDocument/2006/relationships" ref="D1092" r:id="rId2181"/>
    <hyperlink xmlns:r="http://schemas.openxmlformats.org/officeDocument/2006/relationships" ref="M1092" r:id="rId2182"/>
    <hyperlink xmlns:r="http://schemas.openxmlformats.org/officeDocument/2006/relationships" ref="D1093" r:id="rId2183"/>
    <hyperlink xmlns:r="http://schemas.openxmlformats.org/officeDocument/2006/relationships" ref="M1093" r:id="rId2184"/>
    <hyperlink xmlns:r="http://schemas.openxmlformats.org/officeDocument/2006/relationships" ref="D1094" r:id="rId2185"/>
    <hyperlink xmlns:r="http://schemas.openxmlformats.org/officeDocument/2006/relationships" ref="M1094" r:id="rId2186"/>
    <hyperlink xmlns:r="http://schemas.openxmlformats.org/officeDocument/2006/relationships" ref="D1095" r:id="rId2187"/>
    <hyperlink xmlns:r="http://schemas.openxmlformats.org/officeDocument/2006/relationships" ref="M1095" r:id="rId2188"/>
    <hyperlink xmlns:r="http://schemas.openxmlformats.org/officeDocument/2006/relationships" ref="D1096" r:id="rId2189"/>
    <hyperlink xmlns:r="http://schemas.openxmlformats.org/officeDocument/2006/relationships" ref="M1096" r:id="rId2190"/>
    <hyperlink xmlns:r="http://schemas.openxmlformats.org/officeDocument/2006/relationships" ref="D1097" r:id="rId2191"/>
    <hyperlink xmlns:r="http://schemas.openxmlformats.org/officeDocument/2006/relationships" ref="M1097" r:id="rId2192"/>
    <hyperlink xmlns:r="http://schemas.openxmlformats.org/officeDocument/2006/relationships" ref="D1098" r:id="rId2193"/>
    <hyperlink xmlns:r="http://schemas.openxmlformats.org/officeDocument/2006/relationships" ref="M1098" r:id="rId2194"/>
    <hyperlink xmlns:r="http://schemas.openxmlformats.org/officeDocument/2006/relationships" ref="D1099" r:id="rId2195"/>
    <hyperlink xmlns:r="http://schemas.openxmlformats.org/officeDocument/2006/relationships" ref="M1099" r:id="rId2196"/>
    <hyperlink xmlns:r="http://schemas.openxmlformats.org/officeDocument/2006/relationships" ref="D1100" r:id="rId2197"/>
    <hyperlink xmlns:r="http://schemas.openxmlformats.org/officeDocument/2006/relationships" ref="M1100" r:id="rId2198"/>
    <hyperlink xmlns:r="http://schemas.openxmlformats.org/officeDocument/2006/relationships" ref="D1101" r:id="rId2199"/>
    <hyperlink xmlns:r="http://schemas.openxmlformats.org/officeDocument/2006/relationships" ref="M1101" r:id="rId2200"/>
    <hyperlink xmlns:r="http://schemas.openxmlformats.org/officeDocument/2006/relationships" ref="D1102" r:id="rId2201"/>
    <hyperlink xmlns:r="http://schemas.openxmlformats.org/officeDocument/2006/relationships" ref="M1102" r:id="rId2202"/>
    <hyperlink xmlns:r="http://schemas.openxmlformats.org/officeDocument/2006/relationships" ref="D1103" r:id="rId2203"/>
    <hyperlink xmlns:r="http://schemas.openxmlformats.org/officeDocument/2006/relationships" ref="M1103" r:id="rId2204"/>
    <hyperlink xmlns:r="http://schemas.openxmlformats.org/officeDocument/2006/relationships" ref="D1104" r:id="rId2205"/>
    <hyperlink xmlns:r="http://schemas.openxmlformats.org/officeDocument/2006/relationships" ref="M1104" r:id="rId2206"/>
    <hyperlink xmlns:r="http://schemas.openxmlformats.org/officeDocument/2006/relationships" ref="D1105" r:id="rId2207"/>
    <hyperlink xmlns:r="http://schemas.openxmlformats.org/officeDocument/2006/relationships" ref="M1105" r:id="rId2208"/>
    <hyperlink xmlns:r="http://schemas.openxmlformats.org/officeDocument/2006/relationships" ref="D1106" r:id="rId2209"/>
    <hyperlink xmlns:r="http://schemas.openxmlformats.org/officeDocument/2006/relationships" ref="M1106" r:id="rId2210"/>
    <hyperlink xmlns:r="http://schemas.openxmlformats.org/officeDocument/2006/relationships" ref="D1107" r:id="rId2211"/>
    <hyperlink xmlns:r="http://schemas.openxmlformats.org/officeDocument/2006/relationships" ref="M1107" r:id="rId2212"/>
    <hyperlink xmlns:r="http://schemas.openxmlformats.org/officeDocument/2006/relationships" ref="D1108" r:id="rId2213"/>
    <hyperlink xmlns:r="http://schemas.openxmlformats.org/officeDocument/2006/relationships" ref="M1108" r:id="rId2214"/>
    <hyperlink xmlns:r="http://schemas.openxmlformats.org/officeDocument/2006/relationships" ref="D1109" r:id="rId2215"/>
    <hyperlink xmlns:r="http://schemas.openxmlformats.org/officeDocument/2006/relationships" ref="M1109" r:id="rId2216"/>
    <hyperlink xmlns:r="http://schemas.openxmlformats.org/officeDocument/2006/relationships" ref="D1110" r:id="rId2217"/>
    <hyperlink xmlns:r="http://schemas.openxmlformats.org/officeDocument/2006/relationships" ref="M1110" r:id="rId2218"/>
    <hyperlink xmlns:r="http://schemas.openxmlformats.org/officeDocument/2006/relationships" ref="D1111" r:id="rId2219"/>
    <hyperlink xmlns:r="http://schemas.openxmlformats.org/officeDocument/2006/relationships" ref="M1111" r:id="rId2220"/>
    <hyperlink xmlns:r="http://schemas.openxmlformats.org/officeDocument/2006/relationships" ref="D1112" r:id="rId2221"/>
    <hyperlink xmlns:r="http://schemas.openxmlformats.org/officeDocument/2006/relationships" ref="M1112" r:id="rId2222"/>
    <hyperlink xmlns:r="http://schemas.openxmlformats.org/officeDocument/2006/relationships" ref="D1113" r:id="rId2223"/>
    <hyperlink xmlns:r="http://schemas.openxmlformats.org/officeDocument/2006/relationships" ref="M1113" r:id="rId2224"/>
    <hyperlink xmlns:r="http://schemas.openxmlformats.org/officeDocument/2006/relationships" ref="D1114" r:id="rId2225"/>
    <hyperlink xmlns:r="http://schemas.openxmlformats.org/officeDocument/2006/relationships" ref="M1114" r:id="rId2226"/>
    <hyperlink xmlns:r="http://schemas.openxmlformats.org/officeDocument/2006/relationships" ref="D1115" r:id="rId2227"/>
    <hyperlink xmlns:r="http://schemas.openxmlformats.org/officeDocument/2006/relationships" ref="M1115" r:id="rId2228"/>
    <hyperlink xmlns:r="http://schemas.openxmlformats.org/officeDocument/2006/relationships" ref="D1116" r:id="rId2229"/>
    <hyperlink xmlns:r="http://schemas.openxmlformats.org/officeDocument/2006/relationships" ref="M1116" r:id="rId2230"/>
    <hyperlink xmlns:r="http://schemas.openxmlformats.org/officeDocument/2006/relationships" ref="D1117" r:id="rId2231"/>
    <hyperlink xmlns:r="http://schemas.openxmlformats.org/officeDocument/2006/relationships" ref="M1117" r:id="rId2232"/>
    <hyperlink xmlns:r="http://schemas.openxmlformats.org/officeDocument/2006/relationships" ref="D1118" r:id="rId2233"/>
    <hyperlink xmlns:r="http://schemas.openxmlformats.org/officeDocument/2006/relationships" ref="M1118" r:id="rId2234"/>
    <hyperlink xmlns:r="http://schemas.openxmlformats.org/officeDocument/2006/relationships" ref="D1119" r:id="rId2235"/>
    <hyperlink xmlns:r="http://schemas.openxmlformats.org/officeDocument/2006/relationships" ref="M1119" r:id="rId2236"/>
    <hyperlink xmlns:r="http://schemas.openxmlformats.org/officeDocument/2006/relationships" ref="D1120" r:id="rId2237"/>
    <hyperlink xmlns:r="http://schemas.openxmlformats.org/officeDocument/2006/relationships" ref="M1120" r:id="rId2238"/>
    <hyperlink xmlns:r="http://schemas.openxmlformats.org/officeDocument/2006/relationships" ref="D1121" r:id="rId2239"/>
    <hyperlink xmlns:r="http://schemas.openxmlformats.org/officeDocument/2006/relationships" ref="M1121" r:id="rId2240"/>
    <hyperlink xmlns:r="http://schemas.openxmlformats.org/officeDocument/2006/relationships" ref="D1122" r:id="rId2241"/>
    <hyperlink xmlns:r="http://schemas.openxmlformats.org/officeDocument/2006/relationships" ref="M1122" r:id="rId2242"/>
    <hyperlink xmlns:r="http://schemas.openxmlformats.org/officeDocument/2006/relationships" ref="D1123" r:id="rId2243"/>
    <hyperlink xmlns:r="http://schemas.openxmlformats.org/officeDocument/2006/relationships" ref="M1123" r:id="rId2244"/>
    <hyperlink xmlns:r="http://schemas.openxmlformats.org/officeDocument/2006/relationships" ref="D1124" r:id="rId2245"/>
    <hyperlink xmlns:r="http://schemas.openxmlformats.org/officeDocument/2006/relationships" ref="M1124" r:id="rId2246"/>
    <hyperlink xmlns:r="http://schemas.openxmlformats.org/officeDocument/2006/relationships" ref="D1125" r:id="rId2247"/>
    <hyperlink xmlns:r="http://schemas.openxmlformats.org/officeDocument/2006/relationships" ref="M1125" r:id="rId2248"/>
    <hyperlink xmlns:r="http://schemas.openxmlformats.org/officeDocument/2006/relationships" ref="D1126" r:id="rId2249"/>
    <hyperlink xmlns:r="http://schemas.openxmlformats.org/officeDocument/2006/relationships" ref="M1126" r:id="rId2250"/>
    <hyperlink xmlns:r="http://schemas.openxmlformats.org/officeDocument/2006/relationships" ref="D1127" r:id="rId2251"/>
    <hyperlink xmlns:r="http://schemas.openxmlformats.org/officeDocument/2006/relationships" ref="M1127" r:id="rId2252"/>
    <hyperlink xmlns:r="http://schemas.openxmlformats.org/officeDocument/2006/relationships" ref="D1128" r:id="rId2253"/>
    <hyperlink xmlns:r="http://schemas.openxmlformats.org/officeDocument/2006/relationships" ref="M1128" r:id="rId2254"/>
    <hyperlink xmlns:r="http://schemas.openxmlformats.org/officeDocument/2006/relationships" ref="D1129" r:id="rId2255"/>
    <hyperlink xmlns:r="http://schemas.openxmlformats.org/officeDocument/2006/relationships" ref="M1129" r:id="rId2256"/>
    <hyperlink xmlns:r="http://schemas.openxmlformats.org/officeDocument/2006/relationships" ref="D1130" r:id="rId2257"/>
    <hyperlink xmlns:r="http://schemas.openxmlformats.org/officeDocument/2006/relationships" ref="M1130" r:id="rId2258"/>
    <hyperlink xmlns:r="http://schemas.openxmlformats.org/officeDocument/2006/relationships" ref="D1131" r:id="rId2259"/>
    <hyperlink xmlns:r="http://schemas.openxmlformats.org/officeDocument/2006/relationships" ref="M1131" r:id="rId2260"/>
    <hyperlink xmlns:r="http://schemas.openxmlformats.org/officeDocument/2006/relationships" ref="D1132" r:id="rId2261"/>
    <hyperlink xmlns:r="http://schemas.openxmlformats.org/officeDocument/2006/relationships" ref="M1132" r:id="rId2262"/>
    <hyperlink xmlns:r="http://schemas.openxmlformats.org/officeDocument/2006/relationships" ref="D1133" r:id="rId2263"/>
    <hyperlink xmlns:r="http://schemas.openxmlformats.org/officeDocument/2006/relationships" ref="M1133" r:id="rId2264"/>
    <hyperlink xmlns:r="http://schemas.openxmlformats.org/officeDocument/2006/relationships" ref="D1134" r:id="rId2265"/>
    <hyperlink xmlns:r="http://schemas.openxmlformats.org/officeDocument/2006/relationships" ref="M1134" r:id="rId2266"/>
    <hyperlink xmlns:r="http://schemas.openxmlformats.org/officeDocument/2006/relationships" ref="D1135" r:id="rId2267"/>
    <hyperlink xmlns:r="http://schemas.openxmlformats.org/officeDocument/2006/relationships" ref="M1135" r:id="rId2268"/>
    <hyperlink xmlns:r="http://schemas.openxmlformats.org/officeDocument/2006/relationships" ref="D1136" r:id="rId2269"/>
    <hyperlink xmlns:r="http://schemas.openxmlformats.org/officeDocument/2006/relationships" ref="M1136" r:id="rId2270"/>
    <hyperlink xmlns:r="http://schemas.openxmlformats.org/officeDocument/2006/relationships" ref="D1137" r:id="rId2271"/>
    <hyperlink xmlns:r="http://schemas.openxmlformats.org/officeDocument/2006/relationships" ref="M1137" r:id="rId2272"/>
    <hyperlink xmlns:r="http://schemas.openxmlformats.org/officeDocument/2006/relationships" ref="D1138" r:id="rId2273"/>
    <hyperlink xmlns:r="http://schemas.openxmlformats.org/officeDocument/2006/relationships" ref="M1138" r:id="rId2274"/>
    <hyperlink xmlns:r="http://schemas.openxmlformats.org/officeDocument/2006/relationships" ref="D1139" r:id="rId2275"/>
    <hyperlink xmlns:r="http://schemas.openxmlformats.org/officeDocument/2006/relationships" ref="M1139" r:id="rId2276"/>
    <hyperlink xmlns:r="http://schemas.openxmlformats.org/officeDocument/2006/relationships" ref="D1140" r:id="rId2277"/>
    <hyperlink xmlns:r="http://schemas.openxmlformats.org/officeDocument/2006/relationships" ref="M1140" r:id="rId2278"/>
    <hyperlink xmlns:r="http://schemas.openxmlformats.org/officeDocument/2006/relationships" ref="D1141" r:id="rId2279"/>
    <hyperlink xmlns:r="http://schemas.openxmlformats.org/officeDocument/2006/relationships" ref="M1141" r:id="rId2280"/>
    <hyperlink xmlns:r="http://schemas.openxmlformats.org/officeDocument/2006/relationships" ref="D1142" r:id="rId2281"/>
    <hyperlink xmlns:r="http://schemas.openxmlformats.org/officeDocument/2006/relationships" ref="M1142" r:id="rId2282"/>
    <hyperlink xmlns:r="http://schemas.openxmlformats.org/officeDocument/2006/relationships" ref="D1143" r:id="rId2283"/>
    <hyperlink xmlns:r="http://schemas.openxmlformats.org/officeDocument/2006/relationships" ref="M1143" r:id="rId2284"/>
    <hyperlink xmlns:r="http://schemas.openxmlformats.org/officeDocument/2006/relationships" ref="D1144" r:id="rId2285"/>
    <hyperlink xmlns:r="http://schemas.openxmlformats.org/officeDocument/2006/relationships" ref="M1144" r:id="rId2286"/>
    <hyperlink xmlns:r="http://schemas.openxmlformats.org/officeDocument/2006/relationships" ref="D1145" r:id="rId2287"/>
    <hyperlink xmlns:r="http://schemas.openxmlformats.org/officeDocument/2006/relationships" ref="M1145" r:id="rId2288"/>
    <hyperlink xmlns:r="http://schemas.openxmlformats.org/officeDocument/2006/relationships" ref="D1146" r:id="rId2289"/>
    <hyperlink xmlns:r="http://schemas.openxmlformats.org/officeDocument/2006/relationships" ref="M1146" r:id="rId2290"/>
    <hyperlink xmlns:r="http://schemas.openxmlformats.org/officeDocument/2006/relationships" ref="D1147" r:id="rId2291"/>
    <hyperlink xmlns:r="http://schemas.openxmlformats.org/officeDocument/2006/relationships" ref="M1147" r:id="rId2292"/>
    <hyperlink xmlns:r="http://schemas.openxmlformats.org/officeDocument/2006/relationships" ref="D1148" r:id="rId2293"/>
    <hyperlink xmlns:r="http://schemas.openxmlformats.org/officeDocument/2006/relationships" ref="M1148" r:id="rId2294"/>
    <hyperlink xmlns:r="http://schemas.openxmlformats.org/officeDocument/2006/relationships" ref="D1149" r:id="rId2295"/>
    <hyperlink xmlns:r="http://schemas.openxmlformats.org/officeDocument/2006/relationships" ref="M1149" r:id="rId2296"/>
    <hyperlink xmlns:r="http://schemas.openxmlformats.org/officeDocument/2006/relationships" ref="D1150" r:id="rId2297"/>
    <hyperlink xmlns:r="http://schemas.openxmlformats.org/officeDocument/2006/relationships" ref="M1150" r:id="rId2298"/>
    <hyperlink xmlns:r="http://schemas.openxmlformats.org/officeDocument/2006/relationships" ref="D1151" r:id="rId2299"/>
    <hyperlink xmlns:r="http://schemas.openxmlformats.org/officeDocument/2006/relationships" ref="M1151" r:id="rId2300"/>
    <hyperlink xmlns:r="http://schemas.openxmlformats.org/officeDocument/2006/relationships" ref="D1152" r:id="rId2301"/>
    <hyperlink xmlns:r="http://schemas.openxmlformats.org/officeDocument/2006/relationships" ref="M1152" r:id="rId2302"/>
    <hyperlink xmlns:r="http://schemas.openxmlformats.org/officeDocument/2006/relationships" ref="D1153" r:id="rId2303"/>
    <hyperlink xmlns:r="http://schemas.openxmlformats.org/officeDocument/2006/relationships" ref="M1153" r:id="rId2304"/>
    <hyperlink xmlns:r="http://schemas.openxmlformats.org/officeDocument/2006/relationships" ref="D1154" r:id="rId2305"/>
    <hyperlink xmlns:r="http://schemas.openxmlformats.org/officeDocument/2006/relationships" ref="M1154" r:id="rId2306"/>
    <hyperlink xmlns:r="http://schemas.openxmlformats.org/officeDocument/2006/relationships" ref="D1155" r:id="rId2307"/>
    <hyperlink xmlns:r="http://schemas.openxmlformats.org/officeDocument/2006/relationships" ref="M1155" r:id="rId2308"/>
    <hyperlink xmlns:r="http://schemas.openxmlformats.org/officeDocument/2006/relationships" ref="D1156" r:id="rId2309"/>
    <hyperlink xmlns:r="http://schemas.openxmlformats.org/officeDocument/2006/relationships" ref="M1156" r:id="rId2310"/>
    <hyperlink xmlns:r="http://schemas.openxmlformats.org/officeDocument/2006/relationships" ref="D1157" r:id="rId2311"/>
    <hyperlink xmlns:r="http://schemas.openxmlformats.org/officeDocument/2006/relationships" ref="M1157" r:id="rId2312"/>
    <hyperlink xmlns:r="http://schemas.openxmlformats.org/officeDocument/2006/relationships" ref="D1158" r:id="rId2313"/>
    <hyperlink xmlns:r="http://schemas.openxmlformats.org/officeDocument/2006/relationships" ref="M1158" r:id="rId2314"/>
    <hyperlink xmlns:r="http://schemas.openxmlformats.org/officeDocument/2006/relationships" ref="D1159" r:id="rId2315"/>
    <hyperlink xmlns:r="http://schemas.openxmlformats.org/officeDocument/2006/relationships" ref="M1159" r:id="rId2316"/>
    <hyperlink xmlns:r="http://schemas.openxmlformats.org/officeDocument/2006/relationships" ref="D1160" r:id="rId2317"/>
    <hyperlink xmlns:r="http://schemas.openxmlformats.org/officeDocument/2006/relationships" ref="M1160" r:id="rId2318"/>
    <hyperlink xmlns:r="http://schemas.openxmlformats.org/officeDocument/2006/relationships" ref="D1161" r:id="rId2319"/>
    <hyperlink xmlns:r="http://schemas.openxmlformats.org/officeDocument/2006/relationships" ref="M1161" r:id="rId2320"/>
    <hyperlink xmlns:r="http://schemas.openxmlformats.org/officeDocument/2006/relationships" ref="D1162" r:id="rId2321"/>
    <hyperlink xmlns:r="http://schemas.openxmlformats.org/officeDocument/2006/relationships" ref="M1162" r:id="rId2322"/>
    <hyperlink xmlns:r="http://schemas.openxmlformats.org/officeDocument/2006/relationships" ref="D1163" r:id="rId2323"/>
    <hyperlink xmlns:r="http://schemas.openxmlformats.org/officeDocument/2006/relationships" ref="M1163" r:id="rId2324"/>
    <hyperlink xmlns:r="http://schemas.openxmlformats.org/officeDocument/2006/relationships" ref="D1164" r:id="rId2325"/>
    <hyperlink xmlns:r="http://schemas.openxmlformats.org/officeDocument/2006/relationships" ref="M1164" r:id="rId2326"/>
    <hyperlink xmlns:r="http://schemas.openxmlformats.org/officeDocument/2006/relationships" ref="D1165" r:id="rId2327"/>
    <hyperlink xmlns:r="http://schemas.openxmlformats.org/officeDocument/2006/relationships" ref="M1165" r:id="rId2328"/>
    <hyperlink xmlns:r="http://schemas.openxmlformats.org/officeDocument/2006/relationships" ref="D1166" r:id="rId2329"/>
    <hyperlink xmlns:r="http://schemas.openxmlformats.org/officeDocument/2006/relationships" ref="M1166" r:id="rId2330"/>
    <hyperlink xmlns:r="http://schemas.openxmlformats.org/officeDocument/2006/relationships" ref="D1167" r:id="rId2331"/>
    <hyperlink xmlns:r="http://schemas.openxmlformats.org/officeDocument/2006/relationships" ref="M1167" r:id="rId2332"/>
    <hyperlink xmlns:r="http://schemas.openxmlformats.org/officeDocument/2006/relationships" ref="D1168" r:id="rId2333"/>
    <hyperlink xmlns:r="http://schemas.openxmlformats.org/officeDocument/2006/relationships" ref="M1168" r:id="rId2334"/>
    <hyperlink xmlns:r="http://schemas.openxmlformats.org/officeDocument/2006/relationships" ref="D1169" r:id="rId2335"/>
    <hyperlink xmlns:r="http://schemas.openxmlformats.org/officeDocument/2006/relationships" ref="M1169" r:id="rId2336"/>
    <hyperlink xmlns:r="http://schemas.openxmlformats.org/officeDocument/2006/relationships" ref="D1170" r:id="rId2337"/>
    <hyperlink xmlns:r="http://schemas.openxmlformats.org/officeDocument/2006/relationships" ref="M1170" r:id="rId2338"/>
    <hyperlink xmlns:r="http://schemas.openxmlformats.org/officeDocument/2006/relationships" ref="D1171" r:id="rId2339"/>
    <hyperlink xmlns:r="http://schemas.openxmlformats.org/officeDocument/2006/relationships" ref="M1171" r:id="rId2340"/>
    <hyperlink xmlns:r="http://schemas.openxmlformats.org/officeDocument/2006/relationships" ref="D1172" r:id="rId2341"/>
    <hyperlink xmlns:r="http://schemas.openxmlformats.org/officeDocument/2006/relationships" ref="M1172" r:id="rId2342"/>
    <hyperlink xmlns:r="http://schemas.openxmlformats.org/officeDocument/2006/relationships" ref="D1173" r:id="rId2343"/>
    <hyperlink xmlns:r="http://schemas.openxmlformats.org/officeDocument/2006/relationships" ref="M1173" r:id="rId2344"/>
    <hyperlink xmlns:r="http://schemas.openxmlformats.org/officeDocument/2006/relationships" ref="D1174" r:id="rId2345"/>
    <hyperlink xmlns:r="http://schemas.openxmlformats.org/officeDocument/2006/relationships" ref="M1174" r:id="rId2346"/>
    <hyperlink xmlns:r="http://schemas.openxmlformats.org/officeDocument/2006/relationships" ref="D1175" r:id="rId2347"/>
    <hyperlink xmlns:r="http://schemas.openxmlformats.org/officeDocument/2006/relationships" ref="M1175" r:id="rId2348"/>
    <hyperlink xmlns:r="http://schemas.openxmlformats.org/officeDocument/2006/relationships" ref="D1176" r:id="rId2349"/>
    <hyperlink xmlns:r="http://schemas.openxmlformats.org/officeDocument/2006/relationships" ref="M1176" r:id="rId2350"/>
    <hyperlink xmlns:r="http://schemas.openxmlformats.org/officeDocument/2006/relationships" ref="D1177" r:id="rId2351"/>
    <hyperlink xmlns:r="http://schemas.openxmlformats.org/officeDocument/2006/relationships" ref="M1177" r:id="rId2352"/>
    <hyperlink xmlns:r="http://schemas.openxmlformats.org/officeDocument/2006/relationships" ref="D1178" r:id="rId2353"/>
    <hyperlink xmlns:r="http://schemas.openxmlformats.org/officeDocument/2006/relationships" ref="M1178" r:id="rId2354"/>
    <hyperlink xmlns:r="http://schemas.openxmlformats.org/officeDocument/2006/relationships" ref="D1179" r:id="rId2355"/>
    <hyperlink xmlns:r="http://schemas.openxmlformats.org/officeDocument/2006/relationships" ref="M1179" r:id="rId2356"/>
    <hyperlink xmlns:r="http://schemas.openxmlformats.org/officeDocument/2006/relationships" ref="D1180" r:id="rId2357"/>
    <hyperlink xmlns:r="http://schemas.openxmlformats.org/officeDocument/2006/relationships" ref="M1180" r:id="rId2358"/>
    <hyperlink xmlns:r="http://schemas.openxmlformats.org/officeDocument/2006/relationships" ref="D1181" r:id="rId2359"/>
    <hyperlink xmlns:r="http://schemas.openxmlformats.org/officeDocument/2006/relationships" ref="M1181" r:id="rId2360"/>
    <hyperlink xmlns:r="http://schemas.openxmlformats.org/officeDocument/2006/relationships" ref="D1182" r:id="rId2361"/>
    <hyperlink xmlns:r="http://schemas.openxmlformats.org/officeDocument/2006/relationships" ref="M1182" r:id="rId2362"/>
    <hyperlink xmlns:r="http://schemas.openxmlformats.org/officeDocument/2006/relationships" ref="D1183" r:id="rId2363"/>
    <hyperlink xmlns:r="http://schemas.openxmlformats.org/officeDocument/2006/relationships" ref="M1183" r:id="rId2364"/>
    <hyperlink xmlns:r="http://schemas.openxmlformats.org/officeDocument/2006/relationships" ref="D1184" r:id="rId2365"/>
    <hyperlink xmlns:r="http://schemas.openxmlformats.org/officeDocument/2006/relationships" ref="M1184" r:id="rId2366"/>
    <hyperlink xmlns:r="http://schemas.openxmlformats.org/officeDocument/2006/relationships" ref="D1185" r:id="rId2367"/>
    <hyperlink xmlns:r="http://schemas.openxmlformats.org/officeDocument/2006/relationships" ref="M1185" r:id="rId2368"/>
    <hyperlink xmlns:r="http://schemas.openxmlformats.org/officeDocument/2006/relationships" ref="D1186" r:id="rId2369"/>
    <hyperlink xmlns:r="http://schemas.openxmlformats.org/officeDocument/2006/relationships" ref="M1186" r:id="rId2370"/>
    <hyperlink xmlns:r="http://schemas.openxmlformats.org/officeDocument/2006/relationships" ref="D1187" r:id="rId2371"/>
    <hyperlink xmlns:r="http://schemas.openxmlformats.org/officeDocument/2006/relationships" ref="M1187" r:id="rId2372"/>
    <hyperlink xmlns:r="http://schemas.openxmlformats.org/officeDocument/2006/relationships" ref="D1188" r:id="rId2373"/>
    <hyperlink xmlns:r="http://schemas.openxmlformats.org/officeDocument/2006/relationships" ref="M1188" r:id="rId2374"/>
    <hyperlink xmlns:r="http://schemas.openxmlformats.org/officeDocument/2006/relationships" ref="D1189" r:id="rId2375"/>
    <hyperlink xmlns:r="http://schemas.openxmlformats.org/officeDocument/2006/relationships" ref="M1189" r:id="rId2376"/>
    <hyperlink xmlns:r="http://schemas.openxmlformats.org/officeDocument/2006/relationships" ref="D1190" r:id="rId2377"/>
    <hyperlink xmlns:r="http://schemas.openxmlformats.org/officeDocument/2006/relationships" ref="M1190" r:id="rId2378"/>
    <hyperlink xmlns:r="http://schemas.openxmlformats.org/officeDocument/2006/relationships" ref="D1191" r:id="rId2379"/>
    <hyperlink xmlns:r="http://schemas.openxmlformats.org/officeDocument/2006/relationships" ref="M1191" r:id="rId2380"/>
    <hyperlink xmlns:r="http://schemas.openxmlformats.org/officeDocument/2006/relationships" ref="D1192" r:id="rId2381"/>
    <hyperlink xmlns:r="http://schemas.openxmlformats.org/officeDocument/2006/relationships" ref="M1192" r:id="rId2382"/>
    <hyperlink xmlns:r="http://schemas.openxmlformats.org/officeDocument/2006/relationships" ref="D1193" r:id="rId2383"/>
    <hyperlink xmlns:r="http://schemas.openxmlformats.org/officeDocument/2006/relationships" ref="M1193" r:id="rId2384"/>
    <hyperlink xmlns:r="http://schemas.openxmlformats.org/officeDocument/2006/relationships" ref="D1194" r:id="rId2385"/>
    <hyperlink xmlns:r="http://schemas.openxmlformats.org/officeDocument/2006/relationships" ref="M1194" r:id="rId2386"/>
    <hyperlink xmlns:r="http://schemas.openxmlformats.org/officeDocument/2006/relationships" ref="D1195" r:id="rId2387"/>
    <hyperlink xmlns:r="http://schemas.openxmlformats.org/officeDocument/2006/relationships" ref="M1195" r:id="rId2388"/>
    <hyperlink xmlns:r="http://schemas.openxmlformats.org/officeDocument/2006/relationships" ref="D1196" r:id="rId2389"/>
    <hyperlink xmlns:r="http://schemas.openxmlformats.org/officeDocument/2006/relationships" ref="M1196" r:id="rId2390"/>
    <hyperlink xmlns:r="http://schemas.openxmlformats.org/officeDocument/2006/relationships" ref="D1197" r:id="rId2391"/>
    <hyperlink xmlns:r="http://schemas.openxmlformats.org/officeDocument/2006/relationships" ref="M1197" r:id="rId2392"/>
    <hyperlink xmlns:r="http://schemas.openxmlformats.org/officeDocument/2006/relationships" ref="D1198" r:id="rId2393"/>
    <hyperlink xmlns:r="http://schemas.openxmlformats.org/officeDocument/2006/relationships" ref="M1198" r:id="rId2394"/>
    <hyperlink xmlns:r="http://schemas.openxmlformats.org/officeDocument/2006/relationships" ref="D1199" r:id="rId2395"/>
    <hyperlink xmlns:r="http://schemas.openxmlformats.org/officeDocument/2006/relationships" ref="M1199" r:id="rId2396"/>
    <hyperlink xmlns:r="http://schemas.openxmlformats.org/officeDocument/2006/relationships" ref="D1200" r:id="rId2397"/>
    <hyperlink xmlns:r="http://schemas.openxmlformats.org/officeDocument/2006/relationships" ref="M1200" r:id="rId2398"/>
    <hyperlink xmlns:r="http://schemas.openxmlformats.org/officeDocument/2006/relationships" ref="D1201" r:id="rId2399"/>
    <hyperlink xmlns:r="http://schemas.openxmlformats.org/officeDocument/2006/relationships" ref="M1201" r:id="rId2400"/>
    <hyperlink xmlns:r="http://schemas.openxmlformats.org/officeDocument/2006/relationships" ref="D1202" r:id="rId2401"/>
    <hyperlink xmlns:r="http://schemas.openxmlformats.org/officeDocument/2006/relationships" ref="M1202" r:id="rId2402"/>
    <hyperlink xmlns:r="http://schemas.openxmlformats.org/officeDocument/2006/relationships" ref="D1203" r:id="rId2403"/>
    <hyperlink xmlns:r="http://schemas.openxmlformats.org/officeDocument/2006/relationships" ref="M1203" r:id="rId2404"/>
    <hyperlink xmlns:r="http://schemas.openxmlformats.org/officeDocument/2006/relationships" ref="D1204" r:id="rId2405"/>
    <hyperlink xmlns:r="http://schemas.openxmlformats.org/officeDocument/2006/relationships" ref="M1204" r:id="rId2406"/>
    <hyperlink xmlns:r="http://schemas.openxmlformats.org/officeDocument/2006/relationships" ref="D1205" r:id="rId2407"/>
    <hyperlink xmlns:r="http://schemas.openxmlformats.org/officeDocument/2006/relationships" ref="M1205" r:id="rId2408"/>
    <hyperlink xmlns:r="http://schemas.openxmlformats.org/officeDocument/2006/relationships" ref="D1206" r:id="rId2409"/>
    <hyperlink xmlns:r="http://schemas.openxmlformats.org/officeDocument/2006/relationships" ref="M1206" r:id="rId2410"/>
    <hyperlink xmlns:r="http://schemas.openxmlformats.org/officeDocument/2006/relationships" ref="D1207" r:id="rId2411"/>
    <hyperlink xmlns:r="http://schemas.openxmlformats.org/officeDocument/2006/relationships" ref="M1207" r:id="rId2412"/>
    <hyperlink xmlns:r="http://schemas.openxmlformats.org/officeDocument/2006/relationships" ref="D1208" r:id="rId2413"/>
    <hyperlink xmlns:r="http://schemas.openxmlformats.org/officeDocument/2006/relationships" ref="M1208" r:id="rId2414"/>
    <hyperlink xmlns:r="http://schemas.openxmlformats.org/officeDocument/2006/relationships" ref="D1209" r:id="rId2415"/>
    <hyperlink xmlns:r="http://schemas.openxmlformats.org/officeDocument/2006/relationships" ref="M1209" r:id="rId2416"/>
    <hyperlink xmlns:r="http://schemas.openxmlformats.org/officeDocument/2006/relationships" ref="D1210" r:id="rId2417"/>
    <hyperlink xmlns:r="http://schemas.openxmlformats.org/officeDocument/2006/relationships" ref="M1210" r:id="rId2418"/>
    <hyperlink xmlns:r="http://schemas.openxmlformats.org/officeDocument/2006/relationships" ref="D1211" r:id="rId2419"/>
    <hyperlink xmlns:r="http://schemas.openxmlformats.org/officeDocument/2006/relationships" ref="M1211" r:id="rId2420"/>
    <hyperlink xmlns:r="http://schemas.openxmlformats.org/officeDocument/2006/relationships" ref="D1212" r:id="rId2421"/>
    <hyperlink xmlns:r="http://schemas.openxmlformats.org/officeDocument/2006/relationships" ref="M1212" r:id="rId2422"/>
    <hyperlink xmlns:r="http://schemas.openxmlformats.org/officeDocument/2006/relationships" ref="D1213" r:id="rId2423"/>
    <hyperlink xmlns:r="http://schemas.openxmlformats.org/officeDocument/2006/relationships" ref="M1213" r:id="rId2424"/>
    <hyperlink xmlns:r="http://schemas.openxmlformats.org/officeDocument/2006/relationships" ref="D1214" r:id="rId2425"/>
    <hyperlink xmlns:r="http://schemas.openxmlformats.org/officeDocument/2006/relationships" ref="M1214" r:id="rId2426"/>
    <hyperlink xmlns:r="http://schemas.openxmlformats.org/officeDocument/2006/relationships" ref="D1215" r:id="rId2427"/>
    <hyperlink xmlns:r="http://schemas.openxmlformats.org/officeDocument/2006/relationships" ref="M1215" r:id="rId2428"/>
    <hyperlink xmlns:r="http://schemas.openxmlformats.org/officeDocument/2006/relationships" ref="D1216" r:id="rId2429"/>
    <hyperlink xmlns:r="http://schemas.openxmlformats.org/officeDocument/2006/relationships" ref="M1216" r:id="rId2430"/>
    <hyperlink xmlns:r="http://schemas.openxmlformats.org/officeDocument/2006/relationships" ref="D1217" r:id="rId2431"/>
    <hyperlink xmlns:r="http://schemas.openxmlformats.org/officeDocument/2006/relationships" ref="M1217" r:id="rId2432"/>
    <hyperlink xmlns:r="http://schemas.openxmlformats.org/officeDocument/2006/relationships" ref="D1218" r:id="rId2433"/>
    <hyperlink xmlns:r="http://schemas.openxmlformats.org/officeDocument/2006/relationships" ref="M1218" r:id="rId2434"/>
    <hyperlink xmlns:r="http://schemas.openxmlformats.org/officeDocument/2006/relationships" ref="D1219" r:id="rId2435"/>
    <hyperlink xmlns:r="http://schemas.openxmlformats.org/officeDocument/2006/relationships" ref="M1219" r:id="rId2436"/>
    <hyperlink xmlns:r="http://schemas.openxmlformats.org/officeDocument/2006/relationships" ref="D1220" r:id="rId2437"/>
    <hyperlink xmlns:r="http://schemas.openxmlformats.org/officeDocument/2006/relationships" ref="M1220" r:id="rId2438"/>
    <hyperlink xmlns:r="http://schemas.openxmlformats.org/officeDocument/2006/relationships" ref="D1221" r:id="rId2439"/>
    <hyperlink xmlns:r="http://schemas.openxmlformats.org/officeDocument/2006/relationships" ref="M1221" r:id="rId2440"/>
    <hyperlink xmlns:r="http://schemas.openxmlformats.org/officeDocument/2006/relationships" ref="D1222" r:id="rId2441"/>
    <hyperlink xmlns:r="http://schemas.openxmlformats.org/officeDocument/2006/relationships" ref="M1222" r:id="rId2442"/>
    <hyperlink xmlns:r="http://schemas.openxmlformats.org/officeDocument/2006/relationships" ref="D1223" r:id="rId2443"/>
    <hyperlink xmlns:r="http://schemas.openxmlformats.org/officeDocument/2006/relationships" ref="M1223" r:id="rId2444"/>
    <hyperlink xmlns:r="http://schemas.openxmlformats.org/officeDocument/2006/relationships" ref="D1224" r:id="rId2445"/>
    <hyperlink xmlns:r="http://schemas.openxmlformats.org/officeDocument/2006/relationships" ref="M1224" r:id="rId2446"/>
    <hyperlink xmlns:r="http://schemas.openxmlformats.org/officeDocument/2006/relationships" ref="D1225" r:id="rId2447"/>
    <hyperlink xmlns:r="http://schemas.openxmlformats.org/officeDocument/2006/relationships" ref="M1225" r:id="rId2448"/>
    <hyperlink xmlns:r="http://schemas.openxmlformats.org/officeDocument/2006/relationships" ref="D1226" r:id="rId2449"/>
    <hyperlink xmlns:r="http://schemas.openxmlformats.org/officeDocument/2006/relationships" ref="M1226" r:id="rId2450"/>
    <hyperlink xmlns:r="http://schemas.openxmlformats.org/officeDocument/2006/relationships" ref="D1227" r:id="rId2451"/>
    <hyperlink xmlns:r="http://schemas.openxmlformats.org/officeDocument/2006/relationships" ref="M1227" r:id="rId2452"/>
    <hyperlink xmlns:r="http://schemas.openxmlformats.org/officeDocument/2006/relationships" ref="D1228" r:id="rId2453"/>
    <hyperlink xmlns:r="http://schemas.openxmlformats.org/officeDocument/2006/relationships" ref="M1228" r:id="rId2454"/>
    <hyperlink xmlns:r="http://schemas.openxmlformats.org/officeDocument/2006/relationships" ref="D1229" r:id="rId2455"/>
    <hyperlink xmlns:r="http://schemas.openxmlformats.org/officeDocument/2006/relationships" ref="M1229" r:id="rId2456"/>
    <hyperlink xmlns:r="http://schemas.openxmlformats.org/officeDocument/2006/relationships" ref="D1230" r:id="rId2457"/>
    <hyperlink xmlns:r="http://schemas.openxmlformats.org/officeDocument/2006/relationships" ref="M1230" r:id="rId2458"/>
    <hyperlink xmlns:r="http://schemas.openxmlformats.org/officeDocument/2006/relationships" ref="D1231" r:id="rId2459"/>
    <hyperlink xmlns:r="http://schemas.openxmlformats.org/officeDocument/2006/relationships" ref="M1231" r:id="rId2460"/>
    <hyperlink xmlns:r="http://schemas.openxmlformats.org/officeDocument/2006/relationships" ref="D1232" r:id="rId2461"/>
    <hyperlink xmlns:r="http://schemas.openxmlformats.org/officeDocument/2006/relationships" ref="M1232" r:id="rId2462"/>
    <hyperlink xmlns:r="http://schemas.openxmlformats.org/officeDocument/2006/relationships" ref="D1233" r:id="rId2463"/>
    <hyperlink xmlns:r="http://schemas.openxmlformats.org/officeDocument/2006/relationships" ref="M1233" r:id="rId2464"/>
    <hyperlink xmlns:r="http://schemas.openxmlformats.org/officeDocument/2006/relationships" ref="D1234" r:id="rId2465"/>
    <hyperlink xmlns:r="http://schemas.openxmlformats.org/officeDocument/2006/relationships" ref="M1234" r:id="rId2466"/>
    <hyperlink xmlns:r="http://schemas.openxmlformats.org/officeDocument/2006/relationships" ref="D1235" r:id="rId2467"/>
    <hyperlink xmlns:r="http://schemas.openxmlformats.org/officeDocument/2006/relationships" ref="M1235" r:id="rId2468"/>
    <hyperlink xmlns:r="http://schemas.openxmlformats.org/officeDocument/2006/relationships" ref="D1236" r:id="rId2469"/>
    <hyperlink xmlns:r="http://schemas.openxmlformats.org/officeDocument/2006/relationships" ref="M1236" r:id="rId2470"/>
    <hyperlink xmlns:r="http://schemas.openxmlformats.org/officeDocument/2006/relationships" ref="D1237" r:id="rId2471"/>
    <hyperlink xmlns:r="http://schemas.openxmlformats.org/officeDocument/2006/relationships" ref="M1237" r:id="rId2472"/>
    <hyperlink xmlns:r="http://schemas.openxmlformats.org/officeDocument/2006/relationships" ref="D1238" r:id="rId2473"/>
    <hyperlink xmlns:r="http://schemas.openxmlformats.org/officeDocument/2006/relationships" ref="M1238" r:id="rId2474"/>
    <hyperlink xmlns:r="http://schemas.openxmlformats.org/officeDocument/2006/relationships" ref="D1239" r:id="rId2475"/>
    <hyperlink xmlns:r="http://schemas.openxmlformats.org/officeDocument/2006/relationships" ref="M1239" r:id="rId2476"/>
    <hyperlink xmlns:r="http://schemas.openxmlformats.org/officeDocument/2006/relationships" ref="D1240" r:id="rId2477"/>
    <hyperlink xmlns:r="http://schemas.openxmlformats.org/officeDocument/2006/relationships" ref="M1240" r:id="rId2478"/>
    <hyperlink xmlns:r="http://schemas.openxmlformats.org/officeDocument/2006/relationships" ref="D1241" r:id="rId2479"/>
    <hyperlink xmlns:r="http://schemas.openxmlformats.org/officeDocument/2006/relationships" ref="M1241" r:id="rId2480"/>
    <hyperlink xmlns:r="http://schemas.openxmlformats.org/officeDocument/2006/relationships" ref="D1242" r:id="rId2481"/>
    <hyperlink xmlns:r="http://schemas.openxmlformats.org/officeDocument/2006/relationships" ref="M1242" r:id="rId2482"/>
    <hyperlink xmlns:r="http://schemas.openxmlformats.org/officeDocument/2006/relationships" ref="D1243" r:id="rId2483"/>
    <hyperlink xmlns:r="http://schemas.openxmlformats.org/officeDocument/2006/relationships" ref="M1243" r:id="rId2484"/>
    <hyperlink xmlns:r="http://schemas.openxmlformats.org/officeDocument/2006/relationships" ref="D1244" r:id="rId2485"/>
    <hyperlink xmlns:r="http://schemas.openxmlformats.org/officeDocument/2006/relationships" ref="M1244" r:id="rId2486"/>
    <hyperlink xmlns:r="http://schemas.openxmlformats.org/officeDocument/2006/relationships" ref="D1245" r:id="rId2487"/>
    <hyperlink xmlns:r="http://schemas.openxmlformats.org/officeDocument/2006/relationships" ref="M1245" r:id="rId2488"/>
    <hyperlink xmlns:r="http://schemas.openxmlformats.org/officeDocument/2006/relationships" ref="D1246" r:id="rId2489"/>
    <hyperlink xmlns:r="http://schemas.openxmlformats.org/officeDocument/2006/relationships" ref="M1246" r:id="rId2490"/>
    <hyperlink xmlns:r="http://schemas.openxmlformats.org/officeDocument/2006/relationships" ref="D1247" r:id="rId2491"/>
    <hyperlink xmlns:r="http://schemas.openxmlformats.org/officeDocument/2006/relationships" ref="M1247" r:id="rId2492"/>
    <hyperlink xmlns:r="http://schemas.openxmlformats.org/officeDocument/2006/relationships" ref="D1248" r:id="rId2493"/>
    <hyperlink xmlns:r="http://schemas.openxmlformats.org/officeDocument/2006/relationships" ref="M1248" r:id="rId2494"/>
    <hyperlink xmlns:r="http://schemas.openxmlformats.org/officeDocument/2006/relationships" ref="D1249" r:id="rId2495"/>
    <hyperlink xmlns:r="http://schemas.openxmlformats.org/officeDocument/2006/relationships" ref="M1249" r:id="rId2496"/>
    <hyperlink xmlns:r="http://schemas.openxmlformats.org/officeDocument/2006/relationships" ref="D1250" r:id="rId2497"/>
    <hyperlink xmlns:r="http://schemas.openxmlformats.org/officeDocument/2006/relationships" ref="M1250" r:id="rId2498"/>
    <hyperlink xmlns:r="http://schemas.openxmlformats.org/officeDocument/2006/relationships" ref="D1251" r:id="rId2499"/>
    <hyperlink xmlns:r="http://schemas.openxmlformats.org/officeDocument/2006/relationships" ref="M1251" r:id="rId2500"/>
    <hyperlink xmlns:r="http://schemas.openxmlformats.org/officeDocument/2006/relationships" ref="D1252" r:id="rId2501"/>
    <hyperlink xmlns:r="http://schemas.openxmlformats.org/officeDocument/2006/relationships" ref="M1252" r:id="rId2502"/>
    <hyperlink xmlns:r="http://schemas.openxmlformats.org/officeDocument/2006/relationships" ref="D1253" r:id="rId2503"/>
    <hyperlink xmlns:r="http://schemas.openxmlformats.org/officeDocument/2006/relationships" ref="M1253" r:id="rId2504"/>
    <hyperlink xmlns:r="http://schemas.openxmlformats.org/officeDocument/2006/relationships" ref="D1254" r:id="rId2505"/>
    <hyperlink xmlns:r="http://schemas.openxmlformats.org/officeDocument/2006/relationships" ref="M1254" r:id="rId2506"/>
    <hyperlink xmlns:r="http://schemas.openxmlformats.org/officeDocument/2006/relationships" ref="D1255" r:id="rId2507"/>
    <hyperlink xmlns:r="http://schemas.openxmlformats.org/officeDocument/2006/relationships" ref="M1255" r:id="rId2508"/>
    <hyperlink xmlns:r="http://schemas.openxmlformats.org/officeDocument/2006/relationships" ref="D1256" r:id="rId2509"/>
    <hyperlink xmlns:r="http://schemas.openxmlformats.org/officeDocument/2006/relationships" ref="M1256" r:id="rId2510"/>
    <hyperlink xmlns:r="http://schemas.openxmlformats.org/officeDocument/2006/relationships" ref="D1257" r:id="rId2511"/>
    <hyperlink xmlns:r="http://schemas.openxmlformats.org/officeDocument/2006/relationships" ref="M1257" r:id="rId2512"/>
    <hyperlink xmlns:r="http://schemas.openxmlformats.org/officeDocument/2006/relationships" ref="D1258" r:id="rId2513"/>
    <hyperlink xmlns:r="http://schemas.openxmlformats.org/officeDocument/2006/relationships" ref="M1258" r:id="rId2514"/>
    <hyperlink xmlns:r="http://schemas.openxmlformats.org/officeDocument/2006/relationships" ref="D1259" r:id="rId2515"/>
    <hyperlink xmlns:r="http://schemas.openxmlformats.org/officeDocument/2006/relationships" ref="M1259" r:id="rId2516"/>
    <hyperlink xmlns:r="http://schemas.openxmlformats.org/officeDocument/2006/relationships" ref="D1260" r:id="rId2517"/>
    <hyperlink xmlns:r="http://schemas.openxmlformats.org/officeDocument/2006/relationships" ref="M1260" r:id="rId2518"/>
    <hyperlink xmlns:r="http://schemas.openxmlformats.org/officeDocument/2006/relationships" ref="D1261" r:id="rId2519"/>
    <hyperlink xmlns:r="http://schemas.openxmlformats.org/officeDocument/2006/relationships" ref="M1261" r:id="rId2520"/>
    <hyperlink xmlns:r="http://schemas.openxmlformats.org/officeDocument/2006/relationships" ref="D1262" r:id="rId2521"/>
    <hyperlink xmlns:r="http://schemas.openxmlformats.org/officeDocument/2006/relationships" ref="M1262" r:id="rId2522"/>
    <hyperlink xmlns:r="http://schemas.openxmlformats.org/officeDocument/2006/relationships" ref="D1263" r:id="rId2523"/>
    <hyperlink xmlns:r="http://schemas.openxmlformats.org/officeDocument/2006/relationships" ref="M1263" r:id="rId2524"/>
    <hyperlink xmlns:r="http://schemas.openxmlformats.org/officeDocument/2006/relationships" ref="D1264" r:id="rId2525"/>
    <hyperlink xmlns:r="http://schemas.openxmlformats.org/officeDocument/2006/relationships" ref="M1264" r:id="rId2526"/>
    <hyperlink xmlns:r="http://schemas.openxmlformats.org/officeDocument/2006/relationships" ref="D1265" r:id="rId2527"/>
    <hyperlink xmlns:r="http://schemas.openxmlformats.org/officeDocument/2006/relationships" ref="M1265" r:id="rId2528"/>
    <hyperlink xmlns:r="http://schemas.openxmlformats.org/officeDocument/2006/relationships" ref="D1266" r:id="rId2529"/>
    <hyperlink xmlns:r="http://schemas.openxmlformats.org/officeDocument/2006/relationships" ref="M1266" r:id="rId2530"/>
    <hyperlink xmlns:r="http://schemas.openxmlformats.org/officeDocument/2006/relationships" ref="D1267" r:id="rId2531"/>
    <hyperlink xmlns:r="http://schemas.openxmlformats.org/officeDocument/2006/relationships" ref="M1267" r:id="rId2532"/>
    <hyperlink xmlns:r="http://schemas.openxmlformats.org/officeDocument/2006/relationships" ref="D1268" r:id="rId2533"/>
    <hyperlink xmlns:r="http://schemas.openxmlformats.org/officeDocument/2006/relationships" ref="M1268" r:id="rId2534"/>
    <hyperlink xmlns:r="http://schemas.openxmlformats.org/officeDocument/2006/relationships" ref="D1269" r:id="rId2535"/>
    <hyperlink xmlns:r="http://schemas.openxmlformats.org/officeDocument/2006/relationships" ref="M1269" r:id="rId2536"/>
    <hyperlink xmlns:r="http://schemas.openxmlformats.org/officeDocument/2006/relationships" ref="D1270" r:id="rId2537"/>
    <hyperlink xmlns:r="http://schemas.openxmlformats.org/officeDocument/2006/relationships" ref="M1270" r:id="rId2538"/>
    <hyperlink xmlns:r="http://schemas.openxmlformats.org/officeDocument/2006/relationships" ref="D1271" r:id="rId2539"/>
    <hyperlink xmlns:r="http://schemas.openxmlformats.org/officeDocument/2006/relationships" ref="M1271" r:id="rId2540"/>
    <hyperlink xmlns:r="http://schemas.openxmlformats.org/officeDocument/2006/relationships" ref="D1272" r:id="rId2541"/>
    <hyperlink xmlns:r="http://schemas.openxmlformats.org/officeDocument/2006/relationships" ref="M1272" r:id="rId2542"/>
    <hyperlink xmlns:r="http://schemas.openxmlformats.org/officeDocument/2006/relationships" ref="D1273" r:id="rId2543"/>
    <hyperlink xmlns:r="http://schemas.openxmlformats.org/officeDocument/2006/relationships" ref="M1273" r:id="rId2544"/>
    <hyperlink xmlns:r="http://schemas.openxmlformats.org/officeDocument/2006/relationships" ref="D1274" r:id="rId2545"/>
    <hyperlink xmlns:r="http://schemas.openxmlformats.org/officeDocument/2006/relationships" ref="M1274" r:id="rId2546"/>
    <hyperlink xmlns:r="http://schemas.openxmlformats.org/officeDocument/2006/relationships" ref="D1275" r:id="rId2547"/>
    <hyperlink xmlns:r="http://schemas.openxmlformats.org/officeDocument/2006/relationships" ref="M1275" r:id="rId2548"/>
    <hyperlink xmlns:r="http://schemas.openxmlformats.org/officeDocument/2006/relationships" ref="D1276" r:id="rId2549"/>
    <hyperlink xmlns:r="http://schemas.openxmlformats.org/officeDocument/2006/relationships" ref="M1276" r:id="rId2550"/>
    <hyperlink xmlns:r="http://schemas.openxmlformats.org/officeDocument/2006/relationships" ref="D1277" r:id="rId2551"/>
    <hyperlink xmlns:r="http://schemas.openxmlformats.org/officeDocument/2006/relationships" ref="M1277" r:id="rId2552"/>
    <hyperlink xmlns:r="http://schemas.openxmlformats.org/officeDocument/2006/relationships" ref="D1278" r:id="rId2553"/>
    <hyperlink xmlns:r="http://schemas.openxmlformats.org/officeDocument/2006/relationships" ref="M1278" r:id="rId2554"/>
    <hyperlink xmlns:r="http://schemas.openxmlformats.org/officeDocument/2006/relationships" ref="D1279" r:id="rId2555"/>
    <hyperlink xmlns:r="http://schemas.openxmlformats.org/officeDocument/2006/relationships" ref="M1279" r:id="rId2556"/>
    <hyperlink xmlns:r="http://schemas.openxmlformats.org/officeDocument/2006/relationships" ref="D1280" r:id="rId2557"/>
    <hyperlink xmlns:r="http://schemas.openxmlformats.org/officeDocument/2006/relationships" ref="M1280" r:id="rId2558"/>
    <hyperlink xmlns:r="http://schemas.openxmlformats.org/officeDocument/2006/relationships" ref="D1281" r:id="rId2559"/>
    <hyperlink xmlns:r="http://schemas.openxmlformats.org/officeDocument/2006/relationships" ref="M1281" r:id="rId2560"/>
    <hyperlink xmlns:r="http://schemas.openxmlformats.org/officeDocument/2006/relationships" ref="D1282" r:id="rId2561"/>
    <hyperlink xmlns:r="http://schemas.openxmlformats.org/officeDocument/2006/relationships" ref="M1282" r:id="rId2562"/>
    <hyperlink xmlns:r="http://schemas.openxmlformats.org/officeDocument/2006/relationships" ref="D1283" r:id="rId2563"/>
    <hyperlink xmlns:r="http://schemas.openxmlformats.org/officeDocument/2006/relationships" ref="M1283" r:id="rId2564"/>
    <hyperlink xmlns:r="http://schemas.openxmlformats.org/officeDocument/2006/relationships" ref="D1284" r:id="rId2565"/>
    <hyperlink xmlns:r="http://schemas.openxmlformats.org/officeDocument/2006/relationships" ref="M1284" r:id="rId2566"/>
    <hyperlink xmlns:r="http://schemas.openxmlformats.org/officeDocument/2006/relationships" ref="D1285" r:id="rId2567"/>
    <hyperlink xmlns:r="http://schemas.openxmlformats.org/officeDocument/2006/relationships" ref="M1285" r:id="rId2568"/>
    <hyperlink xmlns:r="http://schemas.openxmlformats.org/officeDocument/2006/relationships" ref="D1286" r:id="rId2569"/>
    <hyperlink xmlns:r="http://schemas.openxmlformats.org/officeDocument/2006/relationships" ref="M1286" r:id="rId2570"/>
    <hyperlink xmlns:r="http://schemas.openxmlformats.org/officeDocument/2006/relationships" ref="D1287" r:id="rId2571"/>
    <hyperlink xmlns:r="http://schemas.openxmlformats.org/officeDocument/2006/relationships" ref="M1287" r:id="rId2572"/>
    <hyperlink xmlns:r="http://schemas.openxmlformats.org/officeDocument/2006/relationships" ref="D1288" r:id="rId2573"/>
    <hyperlink xmlns:r="http://schemas.openxmlformats.org/officeDocument/2006/relationships" ref="M1288" r:id="rId2574"/>
    <hyperlink xmlns:r="http://schemas.openxmlformats.org/officeDocument/2006/relationships" ref="D1289" r:id="rId2575"/>
    <hyperlink xmlns:r="http://schemas.openxmlformats.org/officeDocument/2006/relationships" ref="M1289" r:id="rId2576"/>
    <hyperlink xmlns:r="http://schemas.openxmlformats.org/officeDocument/2006/relationships" ref="D1290" r:id="rId2577"/>
    <hyperlink xmlns:r="http://schemas.openxmlformats.org/officeDocument/2006/relationships" ref="M1290" r:id="rId2578"/>
    <hyperlink xmlns:r="http://schemas.openxmlformats.org/officeDocument/2006/relationships" ref="D1291" r:id="rId2579"/>
    <hyperlink xmlns:r="http://schemas.openxmlformats.org/officeDocument/2006/relationships" ref="M1291" r:id="rId2580"/>
    <hyperlink xmlns:r="http://schemas.openxmlformats.org/officeDocument/2006/relationships" ref="D1292" r:id="rId2581"/>
    <hyperlink xmlns:r="http://schemas.openxmlformats.org/officeDocument/2006/relationships" ref="M1292" r:id="rId2582"/>
    <hyperlink xmlns:r="http://schemas.openxmlformats.org/officeDocument/2006/relationships" ref="D1293" r:id="rId2583"/>
    <hyperlink xmlns:r="http://schemas.openxmlformats.org/officeDocument/2006/relationships" ref="M1293" r:id="rId2584"/>
    <hyperlink xmlns:r="http://schemas.openxmlformats.org/officeDocument/2006/relationships" ref="D1294" r:id="rId2585"/>
    <hyperlink xmlns:r="http://schemas.openxmlformats.org/officeDocument/2006/relationships" ref="M1294" r:id="rId2586"/>
    <hyperlink xmlns:r="http://schemas.openxmlformats.org/officeDocument/2006/relationships" ref="D1295" r:id="rId2587"/>
    <hyperlink xmlns:r="http://schemas.openxmlformats.org/officeDocument/2006/relationships" ref="M1295" r:id="rId2588"/>
    <hyperlink xmlns:r="http://schemas.openxmlformats.org/officeDocument/2006/relationships" ref="D1296" r:id="rId2589"/>
    <hyperlink xmlns:r="http://schemas.openxmlformats.org/officeDocument/2006/relationships" ref="M1296" r:id="rId2590"/>
    <hyperlink xmlns:r="http://schemas.openxmlformats.org/officeDocument/2006/relationships" ref="D1297" r:id="rId2591"/>
    <hyperlink xmlns:r="http://schemas.openxmlformats.org/officeDocument/2006/relationships" ref="M1297" r:id="rId2592"/>
    <hyperlink xmlns:r="http://schemas.openxmlformats.org/officeDocument/2006/relationships" ref="D1298" r:id="rId2593"/>
    <hyperlink xmlns:r="http://schemas.openxmlformats.org/officeDocument/2006/relationships" ref="M1298" r:id="rId2594"/>
    <hyperlink xmlns:r="http://schemas.openxmlformats.org/officeDocument/2006/relationships" ref="D1299" r:id="rId2595"/>
    <hyperlink xmlns:r="http://schemas.openxmlformats.org/officeDocument/2006/relationships" ref="M1299" r:id="rId2596"/>
    <hyperlink xmlns:r="http://schemas.openxmlformats.org/officeDocument/2006/relationships" ref="D1300" r:id="rId2597"/>
    <hyperlink xmlns:r="http://schemas.openxmlformats.org/officeDocument/2006/relationships" ref="M1300" r:id="rId2598"/>
    <hyperlink xmlns:r="http://schemas.openxmlformats.org/officeDocument/2006/relationships" ref="D1301" r:id="rId2599"/>
    <hyperlink xmlns:r="http://schemas.openxmlformats.org/officeDocument/2006/relationships" ref="M1301" r:id="rId2600"/>
    <hyperlink xmlns:r="http://schemas.openxmlformats.org/officeDocument/2006/relationships" ref="D1302" r:id="rId2601"/>
    <hyperlink xmlns:r="http://schemas.openxmlformats.org/officeDocument/2006/relationships" ref="M1302" r:id="rId2602"/>
    <hyperlink xmlns:r="http://schemas.openxmlformats.org/officeDocument/2006/relationships" ref="D1303" r:id="rId2603"/>
    <hyperlink xmlns:r="http://schemas.openxmlformats.org/officeDocument/2006/relationships" ref="M1303" r:id="rId2604"/>
    <hyperlink xmlns:r="http://schemas.openxmlformats.org/officeDocument/2006/relationships" ref="D1304" r:id="rId2605"/>
    <hyperlink xmlns:r="http://schemas.openxmlformats.org/officeDocument/2006/relationships" ref="M1304" r:id="rId2606"/>
    <hyperlink xmlns:r="http://schemas.openxmlformats.org/officeDocument/2006/relationships" ref="D1305" r:id="rId2607"/>
    <hyperlink xmlns:r="http://schemas.openxmlformats.org/officeDocument/2006/relationships" ref="M1305" r:id="rId2608"/>
    <hyperlink xmlns:r="http://schemas.openxmlformats.org/officeDocument/2006/relationships" ref="D1306" r:id="rId2609"/>
    <hyperlink xmlns:r="http://schemas.openxmlformats.org/officeDocument/2006/relationships" ref="M1306" r:id="rId2610"/>
    <hyperlink xmlns:r="http://schemas.openxmlformats.org/officeDocument/2006/relationships" ref="D1307" r:id="rId2611"/>
    <hyperlink xmlns:r="http://schemas.openxmlformats.org/officeDocument/2006/relationships" ref="M1307" r:id="rId2612"/>
    <hyperlink xmlns:r="http://schemas.openxmlformats.org/officeDocument/2006/relationships" ref="D1308" r:id="rId2613"/>
    <hyperlink xmlns:r="http://schemas.openxmlformats.org/officeDocument/2006/relationships" ref="M1308" r:id="rId2614"/>
    <hyperlink xmlns:r="http://schemas.openxmlformats.org/officeDocument/2006/relationships" ref="D1309" r:id="rId2615"/>
    <hyperlink xmlns:r="http://schemas.openxmlformats.org/officeDocument/2006/relationships" ref="M1309" r:id="rId2616"/>
    <hyperlink xmlns:r="http://schemas.openxmlformats.org/officeDocument/2006/relationships" ref="D1310" r:id="rId2617"/>
    <hyperlink xmlns:r="http://schemas.openxmlformats.org/officeDocument/2006/relationships" ref="M1310" r:id="rId2618"/>
    <hyperlink xmlns:r="http://schemas.openxmlformats.org/officeDocument/2006/relationships" ref="D1311" r:id="rId2619"/>
    <hyperlink xmlns:r="http://schemas.openxmlformats.org/officeDocument/2006/relationships" ref="M1311" r:id="rId2620"/>
    <hyperlink xmlns:r="http://schemas.openxmlformats.org/officeDocument/2006/relationships" ref="D1312" r:id="rId2621"/>
    <hyperlink xmlns:r="http://schemas.openxmlformats.org/officeDocument/2006/relationships" ref="M1312" r:id="rId2622"/>
    <hyperlink xmlns:r="http://schemas.openxmlformats.org/officeDocument/2006/relationships" ref="D1313" r:id="rId2623"/>
    <hyperlink xmlns:r="http://schemas.openxmlformats.org/officeDocument/2006/relationships" ref="M1313" r:id="rId2624"/>
    <hyperlink xmlns:r="http://schemas.openxmlformats.org/officeDocument/2006/relationships" ref="D1314" r:id="rId2625"/>
    <hyperlink xmlns:r="http://schemas.openxmlformats.org/officeDocument/2006/relationships" ref="M1314" r:id="rId2626"/>
    <hyperlink xmlns:r="http://schemas.openxmlformats.org/officeDocument/2006/relationships" ref="D1315" r:id="rId2627"/>
    <hyperlink xmlns:r="http://schemas.openxmlformats.org/officeDocument/2006/relationships" ref="M1315" r:id="rId2628"/>
    <hyperlink xmlns:r="http://schemas.openxmlformats.org/officeDocument/2006/relationships" ref="D1316" r:id="rId2629"/>
    <hyperlink xmlns:r="http://schemas.openxmlformats.org/officeDocument/2006/relationships" ref="M1316" r:id="rId2630"/>
    <hyperlink xmlns:r="http://schemas.openxmlformats.org/officeDocument/2006/relationships" ref="D1317" r:id="rId2631"/>
    <hyperlink xmlns:r="http://schemas.openxmlformats.org/officeDocument/2006/relationships" ref="M1317" r:id="rId2632"/>
    <hyperlink xmlns:r="http://schemas.openxmlformats.org/officeDocument/2006/relationships" ref="D1318" r:id="rId2633"/>
    <hyperlink xmlns:r="http://schemas.openxmlformats.org/officeDocument/2006/relationships" ref="M1318" r:id="rId2634"/>
    <hyperlink xmlns:r="http://schemas.openxmlformats.org/officeDocument/2006/relationships" ref="D1319" r:id="rId2635"/>
    <hyperlink xmlns:r="http://schemas.openxmlformats.org/officeDocument/2006/relationships" ref="M1319" r:id="rId2636"/>
    <hyperlink xmlns:r="http://schemas.openxmlformats.org/officeDocument/2006/relationships" ref="D1320" r:id="rId2637"/>
    <hyperlink xmlns:r="http://schemas.openxmlformats.org/officeDocument/2006/relationships" ref="M1320" r:id="rId2638"/>
    <hyperlink xmlns:r="http://schemas.openxmlformats.org/officeDocument/2006/relationships" ref="D1321" r:id="rId2639"/>
    <hyperlink xmlns:r="http://schemas.openxmlformats.org/officeDocument/2006/relationships" ref="M1321" r:id="rId2640"/>
    <hyperlink xmlns:r="http://schemas.openxmlformats.org/officeDocument/2006/relationships" ref="D1322" r:id="rId2641"/>
    <hyperlink xmlns:r="http://schemas.openxmlformats.org/officeDocument/2006/relationships" ref="M1322" r:id="rId2642"/>
    <hyperlink xmlns:r="http://schemas.openxmlformats.org/officeDocument/2006/relationships" ref="D1323" r:id="rId2643"/>
    <hyperlink xmlns:r="http://schemas.openxmlformats.org/officeDocument/2006/relationships" ref="M1323" r:id="rId2644"/>
    <hyperlink xmlns:r="http://schemas.openxmlformats.org/officeDocument/2006/relationships" ref="D1324" r:id="rId2645"/>
    <hyperlink xmlns:r="http://schemas.openxmlformats.org/officeDocument/2006/relationships" ref="M1324" r:id="rId2646"/>
    <hyperlink xmlns:r="http://schemas.openxmlformats.org/officeDocument/2006/relationships" ref="D1325" r:id="rId2647"/>
    <hyperlink xmlns:r="http://schemas.openxmlformats.org/officeDocument/2006/relationships" ref="M1325" r:id="rId2648"/>
    <hyperlink xmlns:r="http://schemas.openxmlformats.org/officeDocument/2006/relationships" ref="D1326" r:id="rId2649"/>
    <hyperlink xmlns:r="http://schemas.openxmlformats.org/officeDocument/2006/relationships" ref="M1326" r:id="rId2650"/>
    <hyperlink xmlns:r="http://schemas.openxmlformats.org/officeDocument/2006/relationships" ref="D1327" r:id="rId2651"/>
    <hyperlink xmlns:r="http://schemas.openxmlformats.org/officeDocument/2006/relationships" ref="M1327" r:id="rId2652"/>
    <hyperlink xmlns:r="http://schemas.openxmlformats.org/officeDocument/2006/relationships" ref="D1328" r:id="rId2653"/>
    <hyperlink xmlns:r="http://schemas.openxmlformats.org/officeDocument/2006/relationships" ref="M1328" r:id="rId2654"/>
    <hyperlink xmlns:r="http://schemas.openxmlformats.org/officeDocument/2006/relationships" ref="D1329" r:id="rId2655"/>
    <hyperlink xmlns:r="http://schemas.openxmlformats.org/officeDocument/2006/relationships" ref="M1329" r:id="rId2656"/>
    <hyperlink xmlns:r="http://schemas.openxmlformats.org/officeDocument/2006/relationships" ref="D1330" r:id="rId2657"/>
    <hyperlink xmlns:r="http://schemas.openxmlformats.org/officeDocument/2006/relationships" ref="M1330" r:id="rId2658"/>
    <hyperlink xmlns:r="http://schemas.openxmlformats.org/officeDocument/2006/relationships" ref="D1331" r:id="rId2659"/>
    <hyperlink xmlns:r="http://schemas.openxmlformats.org/officeDocument/2006/relationships" ref="M1331" r:id="rId2660"/>
    <hyperlink xmlns:r="http://schemas.openxmlformats.org/officeDocument/2006/relationships" ref="D1332" r:id="rId2661"/>
    <hyperlink xmlns:r="http://schemas.openxmlformats.org/officeDocument/2006/relationships" ref="M1332" r:id="rId2662"/>
    <hyperlink xmlns:r="http://schemas.openxmlformats.org/officeDocument/2006/relationships" ref="D1333" r:id="rId2663"/>
    <hyperlink xmlns:r="http://schemas.openxmlformats.org/officeDocument/2006/relationships" ref="M1333" r:id="rId2664"/>
    <hyperlink xmlns:r="http://schemas.openxmlformats.org/officeDocument/2006/relationships" ref="D1334" r:id="rId2665"/>
    <hyperlink xmlns:r="http://schemas.openxmlformats.org/officeDocument/2006/relationships" ref="M1334" r:id="rId2666"/>
    <hyperlink xmlns:r="http://schemas.openxmlformats.org/officeDocument/2006/relationships" ref="D1335" r:id="rId2667"/>
    <hyperlink xmlns:r="http://schemas.openxmlformats.org/officeDocument/2006/relationships" ref="M1335" r:id="rId2668"/>
    <hyperlink xmlns:r="http://schemas.openxmlformats.org/officeDocument/2006/relationships" ref="D1336" r:id="rId2669"/>
    <hyperlink xmlns:r="http://schemas.openxmlformats.org/officeDocument/2006/relationships" ref="M1336" r:id="rId2670"/>
    <hyperlink xmlns:r="http://schemas.openxmlformats.org/officeDocument/2006/relationships" ref="D1337" r:id="rId2671"/>
    <hyperlink xmlns:r="http://schemas.openxmlformats.org/officeDocument/2006/relationships" ref="M1337" r:id="rId2672"/>
    <hyperlink xmlns:r="http://schemas.openxmlformats.org/officeDocument/2006/relationships" ref="D1338" r:id="rId2673"/>
    <hyperlink xmlns:r="http://schemas.openxmlformats.org/officeDocument/2006/relationships" ref="M1338" r:id="rId2674"/>
    <hyperlink xmlns:r="http://schemas.openxmlformats.org/officeDocument/2006/relationships" ref="D1339" r:id="rId2675"/>
    <hyperlink xmlns:r="http://schemas.openxmlformats.org/officeDocument/2006/relationships" ref="M1339" r:id="rId2676"/>
    <hyperlink xmlns:r="http://schemas.openxmlformats.org/officeDocument/2006/relationships" ref="D1340" r:id="rId2677"/>
    <hyperlink xmlns:r="http://schemas.openxmlformats.org/officeDocument/2006/relationships" ref="M1340" r:id="rId2678"/>
    <hyperlink xmlns:r="http://schemas.openxmlformats.org/officeDocument/2006/relationships" ref="D1341" r:id="rId2679"/>
    <hyperlink xmlns:r="http://schemas.openxmlformats.org/officeDocument/2006/relationships" ref="M1341" r:id="rId2680"/>
    <hyperlink xmlns:r="http://schemas.openxmlformats.org/officeDocument/2006/relationships" ref="D1342" r:id="rId2681"/>
    <hyperlink xmlns:r="http://schemas.openxmlformats.org/officeDocument/2006/relationships" ref="M1342" r:id="rId2682"/>
    <hyperlink xmlns:r="http://schemas.openxmlformats.org/officeDocument/2006/relationships" ref="D1343" r:id="rId2683"/>
    <hyperlink xmlns:r="http://schemas.openxmlformats.org/officeDocument/2006/relationships" ref="M1343" r:id="rId2684"/>
    <hyperlink xmlns:r="http://schemas.openxmlformats.org/officeDocument/2006/relationships" ref="D1344" r:id="rId2685"/>
    <hyperlink xmlns:r="http://schemas.openxmlformats.org/officeDocument/2006/relationships" ref="M1344" r:id="rId2686"/>
    <hyperlink xmlns:r="http://schemas.openxmlformats.org/officeDocument/2006/relationships" ref="D1345" r:id="rId2687"/>
    <hyperlink xmlns:r="http://schemas.openxmlformats.org/officeDocument/2006/relationships" ref="M1345" r:id="rId2688"/>
    <hyperlink xmlns:r="http://schemas.openxmlformats.org/officeDocument/2006/relationships" ref="D1346" r:id="rId2689"/>
    <hyperlink xmlns:r="http://schemas.openxmlformats.org/officeDocument/2006/relationships" ref="M1346" r:id="rId2690"/>
    <hyperlink xmlns:r="http://schemas.openxmlformats.org/officeDocument/2006/relationships" ref="D1347" r:id="rId2691"/>
    <hyperlink xmlns:r="http://schemas.openxmlformats.org/officeDocument/2006/relationships" ref="M1347" r:id="rId2692"/>
    <hyperlink xmlns:r="http://schemas.openxmlformats.org/officeDocument/2006/relationships" ref="D1348" r:id="rId2693"/>
    <hyperlink xmlns:r="http://schemas.openxmlformats.org/officeDocument/2006/relationships" ref="M1348" r:id="rId2694"/>
    <hyperlink xmlns:r="http://schemas.openxmlformats.org/officeDocument/2006/relationships" ref="D1349" r:id="rId2695"/>
    <hyperlink xmlns:r="http://schemas.openxmlformats.org/officeDocument/2006/relationships" ref="M1349" r:id="rId2696"/>
    <hyperlink xmlns:r="http://schemas.openxmlformats.org/officeDocument/2006/relationships" ref="D1350" r:id="rId2697"/>
    <hyperlink xmlns:r="http://schemas.openxmlformats.org/officeDocument/2006/relationships" ref="M1350" r:id="rId2698"/>
    <hyperlink xmlns:r="http://schemas.openxmlformats.org/officeDocument/2006/relationships" ref="D1351" r:id="rId2699"/>
    <hyperlink xmlns:r="http://schemas.openxmlformats.org/officeDocument/2006/relationships" ref="M1351" r:id="rId2700"/>
    <hyperlink xmlns:r="http://schemas.openxmlformats.org/officeDocument/2006/relationships" ref="D1352" r:id="rId2701"/>
    <hyperlink xmlns:r="http://schemas.openxmlformats.org/officeDocument/2006/relationships" ref="M1352" r:id="rId2702"/>
    <hyperlink xmlns:r="http://schemas.openxmlformats.org/officeDocument/2006/relationships" ref="D1353" r:id="rId2703"/>
    <hyperlink xmlns:r="http://schemas.openxmlformats.org/officeDocument/2006/relationships" ref="M1353" r:id="rId2704"/>
    <hyperlink xmlns:r="http://schemas.openxmlformats.org/officeDocument/2006/relationships" ref="D1354" r:id="rId2705"/>
    <hyperlink xmlns:r="http://schemas.openxmlformats.org/officeDocument/2006/relationships" ref="M1354" r:id="rId2706"/>
    <hyperlink xmlns:r="http://schemas.openxmlformats.org/officeDocument/2006/relationships" ref="D1355" r:id="rId2707"/>
    <hyperlink xmlns:r="http://schemas.openxmlformats.org/officeDocument/2006/relationships" ref="M1355" r:id="rId2708"/>
    <hyperlink xmlns:r="http://schemas.openxmlformats.org/officeDocument/2006/relationships" ref="D1356" r:id="rId2709"/>
    <hyperlink xmlns:r="http://schemas.openxmlformats.org/officeDocument/2006/relationships" ref="M1356" r:id="rId2710"/>
    <hyperlink xmlns:r="http://schemas.openxmlformats.org/officeDocument/2006/relationships" ref="D1357" r:id="rId2711"/>
    <hyperlink xmlns:r="http://schemas.openxmlformats.org/officeDocument/2006/relationships" ref="M1357" r:id="rId2712"/>
    <hyperlink xmlns:r="http://schemas.openxmlformats.org/officeDocument/2006/relationships" ref="D1358" r:id="rId2713"/>
    <hyperlink xmlns:r="http://schemas.openxmlformats.org/officeDocument/2006/relationships" ref="M1358" r:id="rId2714"/>
    <hyperlink xmlns:r="http://schemas.openxmlformats.org/officeDocument/2006/relationships" ref="D1359" r:id="rId2715"/>
    <hyperlink xmlns:r="http://schemas.openxmlformats.org/officeDocument/2006/relationships" ref="M1359" r:id="rId2716"/>
    <hyperlink xmlns:r="http://schemas.openxmlformats.org/officeDocument/2006/relationships" ref="D1360" r:id="rId2717"/>
    <hyperlink xmlns:r="http://schemas.openxmlformats.org/officeDocument/2006/relationships" ref="M1360" r:id="rId2718"/>
    <hyperlink xmlns:r="http://schemas.openxmlformats.org/officeDocument/2006/relationships" ref="D1361" r:id="rId2719"/>
    <hyperlink xmlns:r="http://schemas.openxmlformats.org/officeDocument/2006/relationships" ref="M1361" r:id="rId2720"/>
    <hyperlink xmlns:r="http://schemas.openxmlformats.org/officeDocument/2006/relationships" ref="D1362" r:id="rId2721"/>
    <hyperlink xmlns:r="http://schemas.openxmlformats.org/officeDocument/2006/relationships" ref="M1362" r:id="rId2722"/>
    <hyperlink xmlns:r="http://schemas.openxmlformats.org/officeDocument/2006/relationships" ref="D1363" r:id="rId2723"/>
    <hyperlink xmlns:r="http://schemas.openxmlformats.org/officeDocument/2006/relationships" ref="M1363" r:id="rId2724"/>
    <hyperlink xmlns:r="http://schemas.openxmlformats.org/officeDocument/2006/relationships" ref="D1364" r:id="rId2725"/>
    <hyperlink xmlns:r="http://schemas.openxmlformats.org/officeDocument/2006/relationships" ref="M1364" r:id="rId2726"/>
    <hyperlink xmlns:r="http://schemas.openxmlformats.org/officeDocument/2006/relationships" ref="D1365" r:id="rId2727"/>
    <hyperlink xmlns:r="http://schemas.openxmlformats.org/officeDocument/2006/relationships" ref="M1365" r:id="rId2728"/>
    <hyperlink xmlns:r="http://schemas.openxmlformats.org/officeDocument/2006/relationships" ref="D1366" r:id="rId2729"/>
    <hyperlink xmlns:r="http://schemas.openxmlformats.org/officeDocument/2006/relationships" ref="M1366" r:id="rId2730"/>
    <hyperlink xmlns:r="http://schemas.openxmlformats.org/officeDocument/2006/relationships" ref="D1367" r:id="rId2731"/>
    <hyperlink xmlns:r="http://schemas.openxmlformats.org/officeDocument/2006/relationships" ref="M1367" r:id="rId2732"/>
    <hyperlink xmlns:r="http://schemas.openxmlformats.org/officeDocument/2006/relationships" ref="D1368" r:id="rId2733"/>
    <hyperlink xmlns:r="http://schemas.openxmlformats.org/officeDocument/2006/relationships" ref="M1368" r:id="rId2734"/>
    <hyperlink xmlns:r="http://schemas.openxmlformats.org/officeDocument/2006/relationships" ref="D1369" r:id="rId2735"/>
    <hyperlink xmlns:r="http://schemas.openxmlformats.org/officeDocument/2006/relationships" ref="M1369" r:id="rId2736"/>
    <hyperlink xmlns:r="http://schemas.openxmlformats.org/officeDocument/2006/relationships" ref="D1370" r:id="rId2737"/>
    <hyperlink xmlns:r="http://schemas.openxmlformats.org/officeDocument/2006/relationships" ref="M1370" r:id="rId2738"/>
    <hyperlink xmlns:r="http://schemas.openxmlformats.org/officeDocument/2006/relationships" ref="D1371" r:id="rId2739"/>
    <hyperlink xmlns:r="http://schemas.openxmlformats.org/officeDocument/2006/relationships" ref="M1371" r:id="rId2740"/>
    <hyperlink xmlns:r="http://schemas.openxmlformats.org/officeDocument/2006/relationships" ref="D1372" r:id="rId2741"/>
    <hyperlink xmlns:r="http://schemas.openxmlformats.org/officeDocument/2006/relationships" ref="M1372" r:id="rId2742"/>
    <hyperlink xmlns:r="http://schemas.openxmlformats.org/officeDocument/2006/relationships" ref="D1373" r:id="rId2743"/>
    <hyperlink xmlns:r="http://schemas.openxmlformats.org/officeDocument/2006/relationships" ref="M1373" r:id="rId2744"/>
    <hyperlink xmlns:r="http://schemas.openxmlformats.org/officeDocument/2006/relationships" ref="D1374" r:id="rId2745"/>
    <hyperlink xmlns:r="http://schemas.openxmlformats.org/officeDocument/2006/relationships" ref="M1374" r:id="rId2746"/>
    <hyperlink xmlns:r="http://schemas.openxmlformats.org/officeDocument/2006/relationships" ref="D1375" r:id="rId2747"/>
    <hyperlink xmlns:r="http://schemas.openxmlformats.org/officeDocument/2006/relationships" ref="M1375" r:id="rId2748"/>
    <hyperlink xmlns:r="http://schemas.openxmlformats.org/officeDocument/2006/relationships" ref="D1376" r:id="rId2749"/>
    <hyperlink xmlns:r="http://schemas.openxmlformats.org/officeDocument/2006/relationships" ref="M1376" r:id="rId2750"/>
    <hyperlink xmlns:r="http://schemas.openxmlformats.org/officeDocument/2006/relationships" ref="D1377" r:id="rId2751"/>
    <hyperlink xmlns:r="http://schemas.openxmlformats.org/officeDocument/2006/relationships" ref="M1377" r:id="rId2752"/>
    <hyperlink xmlns:r="http://schemas.openxmlformats.org/officeDocument/2006/relationships" ref="D1378" r:id="rId2753"/>
    <hyperlink xmlns:r="http://schemas.openxmlformats.org/officeDocument/2006/relationships" ref="M1378" r:id="rId2754"/>
    <hyperlink xmlns:r="http://schemas.openxmlformats.org/officeDocument/2006/relationships" ref="D1379" r:id="rId2755"/>
    <hyperlink xmlns:r="http://schemas.openxmlformats.org/officeDocument/2006/relationships" ref="M1379" r:id="rId2756"/>
    <hyperlink xmlns:r="http://schemas.openxmlformats.org/officeDocument/2006/relationships" ref="D1380" r:id="rId2757"/>
    <hyperlink xmlns:r="http://schemas.openxmlformats.org/officeDocument/2006/relationships" ref="M1380" r:id="rId2758"/>
    <hyperlink xmlns:r="http://schemas.openxmlformats.org/officeDocument/2006/relationships" ref="D1381" r:id="rId2759"/>
    <hyperlink xmlns:r="http://schemas.openxmlformats.org/officeDocument/2006/relationships" ref="M1381" r:id="rId2760"/>
    <hyperlink xmlns:r="http://schemas.openxmlformats.org/officeDocument/2006/relationships" ref="D1382" r:id="rId2761"/>
    <hyperlink xmlns:r="http://schemas.openxmlformats.org/officeDocument/2006/relationships" ref="M1382" r:id="rId2762"/>
    <hyperlink xmlns:r="http://schemas.openxmlformats.org/officeDocument/2006/relationships" ref="D1383" r:id="rId2763"/>
    <hyperlink xmlns:r="http://schemas.openxmlformats.org/officeDocument/2006/relationships" ref="M1383" r:id="rId2764"/>
    <hyperlink xmlns:r="http://schemas.openxmlformats.org/officeDocument/2006/relationships" ref="D1384" r:id="rId2765"/>
    <hyperlink xmlns:r="http://schemas.openxmlformats.org/officeDocument/2006/relationships" ref="M1384" r:id="rId2766"/>
    <hyperlink xmlns:r="http://schemas.openxmlformats.org/officeDocument/2006/relationships" ref="D1385" r:id="rId2767"/>
    <hyperlink xmlns:r="http://schemas.openxmlformats.org/officeDocument/2006/relationships" ref="M1385" r:id="rId2768"/>
    <hyperlink xmlns:r="http://schemas.openxmlformats.org/officeDocument/2006/relationships" ref="D1386" r:id="rId2769"/>
    <hyperlink xmlns:r="http://schemas.openxmlformats.org/officeDocument/2006/relationships" ref="M1386" r:id="rId2770"/>
    <hyperlink xmlns:r="http://schemas.openxmlformats.org/officeDocument/2006/relationships" ref="D1387" r:id="rId2771"/>
    <hyperlink xmlns:r="http://schemas.openxmlformats.org/officeDocument/2006/relationships" ref="M1387" r:id="rId2772"/>
    <hyperlink xmlns:r="http://schemas.openxmlformats.org/officeDocument/2006/relationships" ref="D1388" r:id="rId2773"/>
    <hyperlink xmlns:r="http://schemas.openxmlformats.org/officeDocument/2006/relationships" ref="M1388" r:id="rId2774"/>
    <hyperlink xmlns:r="http://schemas.openxmlformats.org/officeDocument/2006/relationships" ref="D1389" r:id="rId2775"/>
    <hyperlink xmlns:r="http://schemas.openxmlformats.org/officeDocument/2006/relationships" ref="M1389" r:id="rId2776"/>
    <hyperlink xmlns:r="http://schemas.openxmlformats.org/officeDocument/2006/relationships" ref="D1390" r:id="rId2777"/>
    <hyperlink xmlns:r="http://schemas.openxmlformats.org/officeDocument/2006/relationships" ref="M1390" r:id="rId2778"/>
    <hyperlink xmlns:r="http://schemas.openxmlformats.org/officeDocument/2006/relationships" ref="D1391" r:id="rId2779"/>
    <hyperlink xmlns:r="http://schemas.openxmlformats.org/officeDocument/2006/relationships" ref="M1391" r:id="rId2780"/>
    <hyperlink xmlns:r="http://schemas.openxmlformats.org/officeDocument/2006/relationships" ref="D1392" r:id="rId2781"/>
    <hyperlink xmlns:r="http://schemas.openxmlformats.org/officeDocument/2006/relationships" ref="M1392" r:id="rId2782"/>
    <hyperlink xmlns:r="http://schemas.openxmlformats.org/officeDocument/2006/relationships" ref="D1393" r:id="rId2783"/>
    <hyperlink xmlns:r="http://schemas.openxmlformats.org/officeDocument/2006/relationships" ref="M1393" r:id="rId2784"/>
    <hyperlink xmlns:r="http://schemas.openxmlformats.org/officeDocument/2006/relationships" ref="D1394" r:id="rId2785"/>
    <hyperlink xmlns:r="http://schemas.openxmlformats.org/officeDocument/2006/relationships" ref="M1394" r:id="rId2786"/>
    <hyperlink xmlns:r="http://schemas.openxmlformats.org/officeDocument/2006/relationships" ref="D1395" r:id="rId2787"/>
    <hyperlink xmlns:r="http://schemas.openxmlformats.org/officeDocument/2006/relationships" ref="M1395" r:id="rId2788"/>
    <hyperlink xmlns:r="http://schemas.openxmlformats.org/officeDocument/2006/relationships" ref="D1396" r:id="rId2789"/>
    <hyperlink xmlns:r="http://schemas.openxmlformats.org/officeDocument/2006/relationships" ref="M1396" r:id="rId2790"/>
    <hyperlink xmlns:r="http://schemas.openxmlformats.org/officeDocument/2006/relationships" ref="D1397" r:id="rId2791"/>
    <hyperlink xmlns:r="http://schemas.openxmlformats.org/officeDocument/2006/relationships" ref="M1397" r:id="rId2792"/>
    <hyperlink xmlns:r="http://schemas.openxmlformats.org/officeDocument/2006/relationships" ref="D1398" r:id="rId2793"/>
    <hyperlink xmlns:r="http://schemas.openxmlformats.org/officeDocument/2006/relationships" ref="M1398" r:id="rId2794"/>
    <hyperlink xmlns:r="http://schemas.openxmlformats.org/officeDocument/2006/relationships" ref="D1399" r:id="rId2795"/>
    <hyperlink xmlns:r="http://schemas.openxmlformats.org/officeDocument/2006/relationships" ref="M1399" r:id="rId2796"/>
    <hyperlink xmlns:r="http://schemas.openxmlformats.org/officeDocument/2006/relationships" ref="D1400" r:id="rId2797"/>
    <hyperlink xmlns:r="http://schemas.openxmlformats.org/officeDocument/2006/relationships" ref="M1400" r:id="rId2798"/>
    <hyperlink xmlns:r="http://schemas.openxmlformats.org/officeDocument/2006/relationships" ref="D1401" r:id="rId2799"/>
    <hyperlink xmlns:r="http://schemas.openxmlformats.org/officeDocument/2006/relationships" ref="M1401" r:id="rId2800"/>
    <hyperlink xmlns:r="http://schemas.openxmlformats.org/officeDocument/2006/relationships" ref="D1402" r:id="rId2801"/>
    <hyperlink xmlns:r="http://schemas.openxmlformats.org/officeDocument/2006/relationships" ref="M1402" r:id="rId2802"/>
    <hyperlink xmlns:r="http://schemas.openxmlformats.org/officeDocument/2006/relationships" ref="D1403" r:id="rId2803"/>
    <hyperlink xmlns:r="http://schemas.openxmlformats.org/officeDocument/2006/relationships" ref="M1403" r:id="rId2804"/>
    <hyperlink xmlns:r="http://schemas.openxmlformats.org/officeDocument/2006/relationships" ref="D1404" r:id="rId2805"/>
    <hyperlink xmlns:r="http://schemas.openxmlformats.org/officeDocument/2006/relationships" ref="M1404" r:id="rId2806"/>
    <hyperlink xmlns:r="http://schemas.openxmlformats.org/officeDocument/2006/relationships" ref="D1405" r:id="rId2807"/>
    <hyperlink xmlns:r="http://schemas.openxmlformats.org/officeDocument/2006/relationships" ref="M1405" r:id="rId2808"/>
    <hyperlink xmlns:r="http://schemas.openxmlformats.org/officeDocument/2006/relationships" ref="D1406" r:id="rId2809"/>
    <hyperlink xmlns:r="http://schemas.openxmlformats.org/officeDocument/2006/relationships" ref="M1406" r:id="rId2810"/>
    <hyperlink xmlns:r="http://schemas.openxmlformats.org/officeDocument/2006/relationships" ref="D1407" r:id="rId2811"/>
    <hyperlink xmlns:r="http://schemas.openxmlformats.org/officeDocument/2006/relationships" ref="M1407" r:id="rId2812"/>
    <hyperlink xmlns:r="http://schemas.openxmlformats.org/officeDocument/2006/relationships" ref="D1408" r:id="rId2813"/>
    <hyperlink xmlns:r="http://schemas.openxmlformats.org/officeDocument/2006/relationships" ref="M1408" r:id="rId2814"/>
    <hyperlink xmlns:r="http://schemas.openxmlformats.org/officeDocument/2006/relationships" ref="D1409" r:id="rId2815"/>
    <hyperlink xmlns:r="http://schemas.openxmlformats.org/officeDocument/2006/relationships" ref="M1409" r:id="rId2816"/>
    <hyperlink xmlns:r="http://schemas.openxmlformats.org/officeDocument/2006/relationships" ref="D1410" r:id="rId2817"/>
    <hyperlink xmlns:r="http://schemas.openxmlformats.org/officeDocument/2006/relationships" ref="M1410" r:id="rId2818"/>
    <hyperlink xmlns:r="http://schemas.openxmlformats.org/officeDocument/2006/relationships" ref="D1411" r:id="rId2819"/>
    <hyperlink xmlns:r="http://schemas.openxmlformats.org/officeDocument/2006/relationships" ref="M1411" r:id="rId2820"/>
    <hyperlink xmlns:r="http://schemas.openxmlformats.org/officeDocument/2006/relationships" ref="D1412" r:id="rId2821"/>
    <hyperlink xmlns:r="http://schemas.openxmlformats.org/officeDocument/2006/relationships" ref="M1412" r:id="rId2822"/>
    <hyperlink xmlns:r="http://schemas.openxmlformats.org/officeDocument/2006/relationships" ref="D1413" r:id="rId2823"/>
    <hyperlink xmlns:r="http://schemas.openxmlformats.org/officeDocument/2006/relationships" ref="M1413" r:id="rId2824"/>
    <hyperlink xmlns:r="http://schemas.openxmlformats.org/officeDocument/2006/relationships" ref="D1414" r:id="rId2825"/>
    <hyperlink xmlns:r="http://schemas.openxmlformats.org/officeDocument/2006/relationships" ref="M1414" r:id="rId2826"/>
    <hyperlink xmlns:r="http://schemas.openxmlformats.org/officeDocument/2006/relationships" ref="D1415" r:id="rId2827"/>
    <hyperlink xmlns:r="http://schemas.openxmlformats.org/officeDocument/2006/relationships" ref="M1415" r:id="rId2828"/>
    <hyperlink xmlns:r="http://schemas.openxmlformats.org/officeDocument/2006/relationships" ref="D1416" r:id="rId2829"/>
    <hyperlink xmlns:r="http://schemas.openxmlformats.org/officeDocument/2006/relationships" ref="M1416" r:id="rId2830"/>
    <hyperlink xmlns:r="http://schemas.openxmlformats.org/officeDocument/2006/relationships" ref="D1417" r:id="rId2831"/>
    <hyperlink xmlns:r="http://schemas.openxmlformats.org/officeDocument/2006/relationships" ref="M1417" r:id="rId2832"/>
    <hyperlink xmlns:r="http://schemas.openxmlformats.org/officeDocument/2006/relationships" ref="D1418" r:id="rId2833"/>
    <hyperlink xmlns:r="http://schemas.openxmlformats.org/officeDocument/2006/relationships" ref="M1418" r:id="rId2834"/>
    <hyperlink xmlns:r="http://schemas.openxmlformats.org/officeDocument/2006/relationships" ref="D1419" r:id="rId2835"/>
    <hyperlink xmlns:r="http://schemas.openxmlformats.org/officeDocument/2006/relationships" ref="M1419" r:id="rId2836"/>
    <hyperlink xmlns:r="http://schemas.openxmlformats.org/officeDocument/2006/relationships" ref="D1420" r:id="rId2837"/>
    <hyperlink xmlns:r="http://schemas.openxmlformats.org/officeDocument/2006/relationships" ref="M1420" r:id="rId2838"/>
    <hyperlink xmlns:r="http://schemas.openxmlformats.org/officeDocument/2006/relationships" ref="D1421" r:id="rId2839"/>
    <hyperlink xmlns:r="http://schemas.openxmlformats.org/officeDocument/2006/relationships" ref="M1421" r:id="rId2840"/>
    <hyperlink xmlns:r="http://schemas.openxmlformats.org/officeDocument/2006/relationships" ref="D1422" r:id="rId2841"/>
    <hyperlink xmlns:r="http://schemas.openxmlformats.org/officeDocument/2006/relationships" ref="M1422" r:id="rId2842"/>
    <hyperlink xmlns:r="http://schemas.openxmlformats.org/officeDocument/2006/relationships" ref="D1423" r:id="rId2843"/>
    <hyperlink xmlns:r="http://schemas.openxmlformats.org/officeDocument/2006/relationships" ref="M1423" r:id="rId2844"/>
    <hyperlink xmlns:r="http://schemas.openxmlformats.org/officeDocument/2006/relationships" ref="D1424" r:id="rId2845"/>
    <hyperlink xmlns:r="http://schemas.openxmlformats.org/officeDocument/2006/relationships" ref="M1424" r:id="rId2846"/>
    <hyperlink xmlns:r="http://schemas.openxmlformats.org/officeDocument/2006/relationships" ref="D1425" r:id="rId2847"/>
    <hyperlink xmlns:r="http://schemas.openxmlformats.org/officeDocument/2006/relationships" ref="M1425" r:id="rId2848"/>
    <hyperlink xmlns:r="http://schemas.openxmlformats.org/officeDocument/2006/relationships" ref="D1426" r:id="rId2849"/>
    <hyperlink xmlns:r="http://schemas.openxmlformats.org/officeDocument/2006/relationships" ref="M1426" r:id="rId2850"/>
    <hyperlink xmlns:r="http://schemas.openxmlformats.org/officeDocument/2006/relationships" ref="D1427" r:id="rId2851"/>
    <hyperlink xmlns:r="http://schemas.openxmlformats.org/officeDocument/2006/relationships" ref="M1427" r:id="rId2852"/>
    <hyperlink xmlns:r="http://schemas.openxmlformats.org/officeDocument/2006/relationships" ref="D1428" r:id="rId2853"/>
    <hyperlink xmlns:r="http://schemas.openxmlformats.org/officeDocument/2006/relationships" ref="M1428" r:id="rId2854"/>
    <hyperlink xmlns:r="http://schemas.openxmlformats.org/officeDocument/2006/relationships" ref="D1429" r:id="rId2855"/>
    <hyperlink xmlns:r="http://schemas.openxmlformats.org/officeDocument/2006/relationships" ref="M1429" r:id="rId2856"/>
    <hyperlink xmlns:r="http://schemas.openxmlformats.org/officeDocument/2006/relationships" ref="D1430" r:id="rId2857"/>
    <hyperlink xmlns:r="http://schemas.openxmlformats.org/officeDocument/2006/relationships" ref="M1430" r:id="rId2858"/>
    <hyperlink xmlns:r="http://schemas.openxmlformats.org/officeDocument/2006/relationships" ref="D1431" r:id="rId2859"/>
    <hyperlink xmlns:r="http://schemas.openxmlformats.org/officeDocument/2006/relationships" ref="M1431" r:id="rId2860"/>
    <hyperlink xmlns:r="http://schemas.openxmlformats.org/officeDocument/2006/relationships" ref="D1432" r:id="rId2861"/>
    <hyperlink xmlns:r="http://schemas.openxmlformats.org/officeDocument/2006/relationships" ref="M1432" r:id="rId2862"/>
    <hyperlink xmlns:r="http://schemas.openxmlformats.org/officeDocument/2006/relationships" ref="D1433" r:id="rId2863"/>
    <hyperlink xmlns:r="http://schemas.openxmlformats.org/officeDocument/2006/relationships" ref="M1433" r:id="rId2864"/>
    <hyperlink xmlns:r="http://schemas.openxmlformats.org/officeDocument/2006/relationships" ref="D1434" r:id="rId2865"/>
    <hyperlink xmlns:r="http://schemas.openxmlformats.org/officeDocument/2006/relationships" ref="M1434" r:id="rId2866"/>
    <hyperlink xmlns:r="http://schemas.openxmlformats.org/officeDocument/2006/relationships" ref="D1435" r:id="rId2867"/>
    <hyperlink xmlns:r="http://schemas.openxmlformats.org/officeDocument/2006/relationships" ref="M1435" r:id="rId2868"/>
    <hyperlink xmlns:r="http://schemas.openxmlformats.org/officeDocument/2006/relationships" ref="D1436" r:id="rId2869"/>
    <hyperlink xmlns:r="http://schemas.openxmlformats.org/officeDocument/2006/relationships" ref="M1436" r:id="rId2870"/>
    <hyperlink xmlns:r="http://schemas.openxmlformats.org/officeDocument/2006/relationships" ref="D1437" r:id="rId2871"/>
    <hyperlink xmlns:r="http://schemas.openxmlformats.org/officeDocument/2006/relationships" ref="M1437" r:id="rId2872"/>
    <hyperlink xmlns:r="http://schemas.openxmlformats.org/officeDocument/2006/relationships" ref="D1438" r:id="rId2873"/>
    <hyperlink xmlns:r="http://schemas.openxmlformats.org/officeDocument/2006/relationships" ref="M1438" r:id="rId2874"/>
    <hyperlink xmlns:r="http://schemas.openxmlformats.org/officeDocument/2006/relationships" ref="D1439" r:id="rId2875"/>
    <hyperlink xmlns:r="http://schemas.openxmlformats.org/officeDocument/2006/relationships" ref="M1439" r:id="rId2876"/>
    <hyperlink xmlns:r="http://schemas.openxmlformats.org/officeDocument/2006/relationships" ref="D1440" r:id="rId2877"/>
    <hyperlink xmlns:r="http://schemas.openxmlformats.org/officeDocument/2006/relationships" ref="M1440" r:id="rId2878"/>
    <hyperlink xmlns:r="http://schemas.openxmlformats.org/officeDocument/2006/relationships" ref="D1441" r:id="rId2879"/>
    <hyperlink xmlns:r="http://schemas.openxmlformats.org/officeDocument/2006/relationships" ref="M1441" r:id="rId2880"/>
    <hyperlink xmlns:r="http://schemas.openxmlformats.org/officeDocument/2006/relationships" ref="D1442" r:id="rId2881"/>
    <hyperlink xmlns:r="http://schemas.openxmlformats.org/officeDocument/2006/relationships" ref="M1442" r:id="rId2882"/>
    <hyperlink xmlns:r="http://schemas.openxmlformats.org/officeDocument/2006/relationships" ref="D1443" r:id="rId2883"/>
    <hyperlink xmlns:r="http://schemas.openxmlformats.org/officeDocument/2006/relationships" ref="M1443" r:id="rId2884"/>
    <hyperlink xmlns:r="http://schemas.openxmlformats.org/officeDocument/2006/relationships" ref="D1444" r:id="rId2885"/>
    <hyperlink xmlns:r="http://schemas.openxmlformats.org/officeDocument/2006/relationships" ref="M1444" r:id="rId2886"/>
    <hyperlink xmlns:r="http://schemas.openxmlformats.org/officeDocument/2006/relationships" ref="D1445" r:id="rId2887"/>
    <hyperlink xmlns:r="http://schemas.openxmlformats.org/officeDocument/2006/relationships" ref="M1445" r:id="rId2888"/>
    <hyperlink xmlns:r="http://schemas.openxmlformats.org/officeDocument/2006/relationships" ref="D1446" r:id="rId2889"/>
    <hyperlink xmlns:r="http://schemas.openxmlformats.org/officeDocument/2006/relationships" ref="M1446" r:id="rId2890"/>
    <hyperlink xmlns:r="http://schemas.openxmlformats.org/officeDocument/2006/relationships" ref="D1447" r:id="rId2891"/>
    <hyperlink xmlns:r="http://schemas.openxmlformats.org/officeDocument/2006/relationships" ref="M1447" r:id="rId2892"/>
    <hyperlink xmlns:r="http://schemas.openxmlformats.org/officeDocument/2006/relationships" ref="D1448" r:id="rId2893"/>
    <hyperlink xmlns:r="http://schemas.openxmlformats.org/officeDocument/2006/relationships" ref="M1448" r:id="rId2894"/>
    <hyperlink xmlns:r="http://schemas.openxmlformats.org/officeDocument/2006/relationships" ref="D1449" r:id="rId2895"/>
    <hyperlink xmlns:r="http://schemas.openxmlformats.org/officeDocument/2006/relationships" ref="M1449" r:id="rId2896"/>
    <hyperlink xmlns:r="http://schemas.openxmlformats.org/officeDocument/2006/relationships" ref="D1450" r:id="rId2897"/>
    <hyperlink xmlns:r="http://schemas.openxmlformats.org/officeDocument/2006/relationships" ref="M1450" r:id="rId2898"/>
    <hyperlink xmlns:r="http://schemas.openxmlformats.org/officeDocument/2006/relationships" ref="D1451" r:id="rId2899"/>
    <hyperlink xmlns:r="http://schemas.openxmlformats.org/officeDocument/2006/relationships" ref="M1451" r:id="rId2900"/>
    <hyperlink xmlns:r="http://schemas.openxmlformats.org/officeDocument/2006/relationships" ref="D1452" r:id="rId2901"/>
    <hyperlink xmlns:r="http://schemas.openxmlformats.org/officeDocument/2006/relationships" ref="M1452" r:id="rId2902"/>
    <hyperlink xmlns:r="http://schemas.openxmlformats.org/officeDocument/2006/relationships" ref="D1453" r:id="rId2903"/>
    <hyperlink xmlns:r="http://schemas.openxmlformats.org/officeDocument/2006/relationships" ref="M1453" r:id="rId2904"/>
    <hyperlink xmlns:r="http://schemas.openxmlformats.org/officeDocument/2006/relationships" ref="D1454" r:id="rId2905"/>
    <hyperlink xmlns:r="http://schemas.openxmlformats.org/officeDocument/2006/relationships" ref="M1454" r:id="rId2906"/>
    <hyperlink xmlns:r="http://schemas.openxmlformats.org/officeDocument/2006/relationships" ref="D1455" r:id="rId2907"/>
    <hyperlink xmlns:r="http://schemas.openxmlformats.org/officeDocument/2006/relationships" ref="M1455" r:id="rId2908"/>
    <hyperlink xmlns:r="http://schemas.openxmlformats.org/officeDocument/2006/relationships" ref="D1456" r:id="rId2909"/>
    <hyperlink xmlns:r="http://schemas.openxmlformats.org/officeDocument/2006/relationships" ref="M1456" r:id="rId2910"/>
    <hyperlink xmlns:r="http://schemas.openxmlformats.org/officeDocument/2006/relationships" ref="D1457" r:id="rId2911"/>
    <hyperlink xmlns:r="http://schemas.openxmlformats.org/officeDocument/2006/relationships" ref="M1457" r:id="rId2912"/>
    <hyperlink xmlns:r="http://schemas.openxmlformats.org/officeDocument/2006/relationships" ref="D1458" r:id="rId2913"/>
    <hyperlink xmlns:r="http://schemas.openxmlformats.org/officeDocument/2006/relationships" ref="M1458" r:id="rId2914"/>
    <hyperlink xmlns:r="http://schemas.openxmlformats.org/officeDocument/2006/relationships" ref="D1459" r:id="rId2915"/>
    <hyperlink xmlns:r="http://schemas.openxmlformats.org/officeDocument/2006/relationships" ref="M1459" r:id="rId2916"/>
    <hyperlink xmlns:r="http://schemas.openxmlformats.org/officeDocument/2006/relationships" ref="D1460" r:id="rId2917"/>
    <hyperlink xmlns:r="http://schemas.openxmlformats.org/officeDocument/2006/relationships" ref="M1460" r:id="rId2918"/>
    <hyperlink xmlns:r="http://schemas.openxmlformats.org/officeDocument/2006/relationships" ref="D1461" r:id="rId2919"/>
    <hyperlink xmlns:r="http://schemas.openxmlformats.org/officeDocument/2006/relationships" ref="M1461" r:id="rId2920"/>
    <hyperlink xmlns:r="http://schemas.openxmlformats.org/officeDocument/2006/relationships" ref="D1462" r:id="rId2921"/>
    <hyperlink xmlns:r="http://schemas.openxmlformats.org/officeDocument/2006/relationships" ref="M1462" r:id="rId2922"/>
    <hyperlink xmlns:r="http://schemas.openxmlformats.org/officeDocument/2006/relationships" ref="D1463" r:id="rId2923"/>
    <hyperlink xmlns:r="http://schemas.openxmlformats.org/officeDocument/2006/relationships" ref="M1463" r:id="rId2924"/>
    <hyperlink xmlns:r="http://schemas.openxmlformats.org/officeDocument/2006/relationships" ref="D1464" r:id="rId2925"/>
    <hyperlink xmlns:r="http://schemas.openxmlformats.org/officeDocument/2006/relationships" ref="M1464" r:id="rId2926"/>
    <hyperlink xmlns:r="http://schemas.openxmlformats.org/officeDocument/2006/relationships" ref="D1465" r:id="rId2927"/>
    <hyperlink xmlns:r="http://schemas.openxmlformats.org/officeDocument/2006/relationships" ref="M1465" r:id="rId2928"/>
    <hyperlink xmlns:r="http://schemas.openxmlformats.org/officeDocument/2006/relationships" ref="D1466" r:id="rId2929"/>
    <hyperlink xmlns:r="http://schemas.openxmlformats.org/officeDocument/2006/relationships" ref="M1466" r:id="rId2930"/>
    <hyperlink xmlns:r="http://schemas.openxmlformats.org/officeDocument/2006/relationships" ref="D1467" r:id="rId2931"/>
    <hyperlink xmlns:r="http://schemas.openxmlformats.org/officeDocument/2006/relationships" ref="M1467" r:id="rId2932"/>
    <hyperlink xmlns:r="http://schemas.openxmlformats.org/officeDocument/2006/relationships" ref="D1468" r:id="rId2933"/>
    <hyperlink xmlns:r="http://schemas.openxmlformats.org/officeDocument/2006/relationships" ref="M1468" r:id="rId2934"/>
    <hyperlink xmlns:r="http://schemas.openxmlformats.org/officeDocument/2006/relationships" ref="D1469" r:id="rId2935"/>
    <hyperlink xmlns:r="http://schemas.openxmlformats.org/officeDocument/2006/relationships" ref="M1469" r:id="rId2936"/>
    <hyperlink xmlns:r="http://schemas.openxmlformats.org/officeDocument/2006/relationships" ref="D1470" r:id="rId2937"/>
    <hyperlink xmlns:r="http://schemas.openxmlformats.org/officeDocument/2006/relationships" ref="M1470" r:id="rId2938"/>
    <hyperlink xmlns:r="http://schemas.openxmlformats.org/officeDocument/2006/relationships" ref="D1471" r:id="rId2939"/>
    <hyperlink xmlns:r="http://schemas.openxmlformats.org/officeDocument/2006/relationships" ref="M1471" r:id="rId2940"/>
    <hyperlink xmlns:r="http://schemas.openxmlformats.org/officeDocument/2006/relationships" ref="D1472" r:id="rId2941"/>
    <hyperlink xmlns:r="http://schemas.openxmlformats.org/officeDocument/2006/relationships" ref="M1472" r:id="rId2942"/>
    <hyperlink xmlns:r="http://schemas.openxmlformats.org/officeDocument/2006/relationships" ref="D1473" r:id="rId2943"/>
    <hyperlink xmlns:r="http://schemas.openxmlformats.org/officeDocument/2006/relationships" ref="M1473" r:id="rId2944"/>
    <hyperlink xmlns:r="http://schemas.openxmlformats.org/officeDocument/2006/relationships" ref="D1474" r:id="rId2945"/>
    <hyperlink xmlns:r="http://schemas.openxmlformats.org/officeDocument/2006/relationships" ref="M1474" r:id="rId2946"/>
    <hyperlink xmlns:r="http://schemas.openxmlformats.org/officeDocument/2006/relationships" ref="D1475" r:id="rId2947"/>
    <hyperlink xmlns:r="http://schemas.openxmlformats.org/officeDocument/2006/relationships" ref="M1475" r:id="rId2948"/>
    <hyperlink xmlns:r="http://schemas.openxmlformats.org/officeDocument/2006/relationships" ref="D1476" r:id="rId2949"/>
    <hyperlink xmlns:r="http://schemas.openxmlformats.org/officeDocument/2006/relationships" ref="M1476" r:id="rId2950"/>
    <hyperlink xmlns:r="http://schemas.openxmlformats.org/officeDocument/2006/relationships" ref="D1477" r:id="rId2951"/>
    <hyperlink xmlns:r="http://schemas.openxmlformats.org/officeDocument/2006/relationships" ref="M1477" r:id="rId2952"/>
    <hyperlink xmlns:r="http://schemas.openxmlformats.org/officeDocument/2006/relationships" ref="D1478" r:id="rId2953"/>
    <hyperlink xmlns:r="http://schemas.openxmlformats.org/officeDocument/2006/relationships" ref="M1478" r:id="rId2954"/>
    <hyperlink xmlns:r="http://schemas.openxmlformats.org/officeDocument/2006/relationships" ref="D1479" r:id="rId2955"/>
    <hyperlink xmlns:r="http://schemas.openxmlformats.org/officeDocument/2006/relationships" ref="M1479" r:id="rId2956"/>
    <hyperlink xmlns:r="http://schemas.openxmlformats.org/officeDocument/2006/relationships" ref="D1480" r:id="rId2957"/>
    <hyperlink xmlns:r="http://schemas.openxmlformats.org/officeDocument/2006/relationships" ref="M1480" r:id="rId2958"/>
    <hyperlink xmlns:r="http://schemas.openxmlformats.org/officeDocument/2006/relationships" ref="D1481" r:id="rId2959"/>
    <hyperlink xmlns:r="http://schemas.openxmlformats.org/officeDocument/2006/relationships" ref="M1481" r:id="rId2960"/>
    <hyperlink xmlns:r="http://schemas.openxmlformats.org/officeDocument/2006/relationships" ref="D1482" r:id="rId2961"/>
    <hyperlink xmlns:r="http://schemas.openxmlformats.org/officeDocument/2006/relationships" ref="M1482" r:id="rId2962"/>
    <hyperlink xmlns:r="http://schemas.openxmlformats.org/officeDocument/2006/relationships" ref="D1483" r:id="rId2963"/>
    <hyperlink xmlns:r="http://schemas.openxmlformats.org/officeDocument/2006/relationships" ref="M1483" r:id="rId2964"/>
    <hyperlink xmlns:r="http://schemas.openxmlformats.org/officeDocument/2006/relationships" ref="D1484" r:id="rId2965"/>
    <hyperlink xmlns:r="http://schemas.openxmlformats.org/officeDocument/2006/relationships" ref="M1484" r:id="rId2966"/>
    <hyperlink xmlns:r="http://schemas.openxmlformats.org/officeDocument/2006/relationships" ref="D1485" r:id="rId2967"/>
    <hyperlink xmlns:r="http://schemas.openxmlformats.org/officeDocument/2006/relationships" ref="M1485" r:id="rId2968"/>
    <hyperlink xmlns:r="http://schemas.openxmlformats.org/officeDocument/2006/relationships" ref="D1486" r:id="rId2969"/>
    <hyperlink xmlns:r="http://schemas.openxmlformats.org/officeDocument/2006/relationships" ref="M1486" r:id="rId2970"/>
    <hyperlink xmlns:r="http://schemas.openxmlformats.org/officeDocument/2006/relationships" ref="D1487" r:id="rId2971"/>
    <hyperlink xmlns:r="http://schemas.openxmlformats.org/officeDocument/2006/relationships" ref="M1487" r:id="rId2972"/>
    <hyperlink xmlns:r="http://schemas.openxmlformats.org/officeDocument/2006/relationships" ref="D1488" r:id="rId2973"/>
    <hyperlink xmlns:r="http://schemas.openxmlformats.org/officeDocument/2006/relationships" ref="M1488" r:id="rId2974"/>
    <hyperlink xmlns:r="http://schemas.openxmlformats.org/officeDocument/2006/relationships" ref="D1489" r:id="rId2975"/>
    <hyperlink xmlns:r="http://schemas.openxmlformats.org/officeDocument/2006/relationships" ref="M1489" r:id="rId2976"/>
    <hyperlink xmlns:r="http://schemas.openxmlformats.org/officeDocument/2006/relationships" ref="D1490" r:id="rId2977"/>
    <hyperlink xmlns:r="http://schemas.openxmlformats.org/officeDocument/2006/relationships" ref="M1490" r:id="rId2978"/>
    <hyperlink xmlns:r="http://schemas.openxmlformats.org/officeDocument/2006/relationships" ref="D1491" r:id="rId2979"/>
    <hyperlink xmlns:r="http://schemas.openxmlformats.org/officeDocument/2006/relationships" ref="M1491" r:id="rId2980"/>
    <hyperlink xmlns:r="http://schemas.openxmlformats.org/officeDocument/2006/relationships" ref="D1492" r:id="rId2981"/>
    <hyperlink xmlns:r="http://schemas.openxmlformats.org/officeDocument/2006/relationships" ref="M1492" r:id="rId2982"/>
    <hyperlink xmlns:r="http://schemas.openxmlformats.org/officeDocument/2006/relationships" ref="D1493" r:id="rId2983"/>
    <hyperlink xmlns:r="http://schemas.openxmlformats.org/officeDocument/2006/relationships" ref="M1493" r:id="rId2984"/>
    <hyperlink xmlns:r="http://schemas.openxmlformats.org/officeDocument/2006/relationships" ref="D1494" r:id="rId2985"/>
    <hyperlink xmlns:r="http://schemas.openxmlformats.org/officeDocument/2006/relationships" ref="M1494" r:id="rId2986"/>
    <hyperlink xmlns:r="http://schemas.openxmlformats.org/officeDocument/2006/relationships" ref="D1495" r:id="rId2987"/>
    <hyperlink xmlns:r="http://schemas.openxmlformats.org/officeDocument/2006/relationships" ref="M1495" r:id="rId2988"/>
    <hyperlink xmlns:r="http://schemas.openxmlformats.org/officeDocument/2006/relationships" ref="D1496" r:id="rId2989"/>
    <hyperlink xmlns:r="http://schemas.openxmlformats.org/officeDocument/2006/relationships" ref="M1496" r:id="rId2990"/>
    <hyperlink xmlns:r="http://schemas.openxmlformats.org/officeDocument/2006/relationships" ref="D1497" r:id="rId2991"/>
    <hyperlink xmlns:r="http://schemas.openxmlformats.org/officeDocument/2006/relationships" ref="M1497" r:id="rId2992"/>
    <hyperlink xmlns:r="http://schemas.openxmlformats.org/officeDocument/2006/relationships" ref="D1498" r:id="rId2993"/>
    <hyperlink xmlns:r="http://schemas.openxmlformats.org/officeDocument/2006/relationships" ref="M1498" r:id="rId2994"/>
    <hyperlink xmlns:r="http://schemas.openxmlformats.org/officeDocument/2006/relationships" ref="D1499" r:id="rId2995"/>
    <hyperlink xmlns:r="http://schemas.openxmlformats.org/officeDocument/2006/relationships" ref="M1499" r:id="rId2996"/>
    <hyperlink xmlns:r="http://schemas.openxmlformats.org/officeDocument/2006/relationships" ref="D1500" r:id="rId2997"/>
    <hyperlink xmlns:r="http://schemas.openxmlformats.org/officeDocument/2006/relationships" ref="M1500" r:id="rId2998"/>
    <hyperlink xmlns:r="http://schemas.openxmlformats.org/officeDocument/2006/relationships" ref="D1501" r:id="rId2999"/>
    <hyperlink xmlns:r="http://schemas.openxmlformats.org/officeDocument/2006/relationships" ref="M1501" r:id="rId3000"/>
    <hyperlink xmlns:r="http://schemas.openxmlformats.org/officeDocument/2006/relationships" ref="D1502" r:id="rId3001"/>
    <hyperlink xmlns:r="http://schemas.openxmlformats.org/officeDocument/2006/relationships" ref="M1502" r:id="rId3002"/>
    <hyperlink xmlns:r="http://schemas.openxmlformats.org/officeDocument/2006/relationships" ref="D1503" r:id="rId3003"/>
    <hyperlink xmlns:r="http://schemas.openxmlformats.org/officeDocument/2006/relationships" ref="M1503" r:id="rId3004"/>
    <hyperlink xmlns:r="http://schemas.openxmlformats.org/officeDocument/2006/relationships" ref="D1504" r:id="rId3005"/>
    <hyperlink xmlns:r="http://schemas.openxmlformats.org/officeDocument/2006/relationships" ref="M1504" r:id="rId3006"/>
    <hyperlink xmlns:r="http://schemas.openxmlformats.org/officeDocument/2006/relationships" ref="D1505" r:id="rId3007"/>
    <hyperlink xmlns:r="http://schemas.openxmlformats.org/officeDocument/2006/relationships" ref="M1505" r:id="rId3008"/>
    <hyperlink xmlns:r="http://schemas.openxmlformats.org/officeDocument/2006/relationships" ref="D1506" r:id="rId3009"/>
    <hyperlink xmlns:r="http://schemas.openxmlformats.org/officeDocument/2006/relationships" ref="M1506" r:id="rId3010"/>
    <hyperlink xmlns:r="http://schemas.openxmlformats.org/officeDocument/2006/relationships" ref="D1507" r:id="rId3011"/>
    <hyperlink xmlns:r="http://schemas.openxmlformats.org/officeDocument/2006/relationships" ref="M1507" r:id="rId3012"/>
    <hyperlink xmlns:r="http://schemas.openxmlformats.org/officeDocument/2006/relationships" ref="D1508" r:id="rId3013"/>
    <hyperlink xmlns:r="http://schemas.openxmlformats.org/officeDocument/2006/relationships" ref="M1508" r:id="rId3014"/>
    <hyperlink xmlns:r="http://schemas.openxmlformats.org/officeDocument/2006/relationships" ref="D1509" r:id="rId3015"/>
    <hyperlink xmlns:r="http://schemas.openxmlformats.org/officeDocument/2006/relationships" ref="M1509" r:id="rId3016"/>
    <hyperlink xmlns:r="http://schemas.openxmlformats.org/officeDocument/2006/relationships" ref="D1510" r:id="rId3017"/>
    <hyperlink xmlns:r="http://schemas.openxmlformats.org/officeDocument/2006/relationships" ref="M1510" r:id="rId3018"/>
    <hyperlink xmlns:r="http://schemas.openxmlformats.org/officeDocument/2006/relationships" ref="D1511" r:id="rId3019"/>
    <hyperlink xmlns:r="http://schemas.openxmlformats.org/officeDocument/2006/relationships" ref="M1511" r:id="rId3020"/>
    <hyperlink xmlns:r="http://schemas.openxmlformats.org/officeDocument/2006/relationships" ref="D1512" r:id="rId3021"/>
    <hyperlink xmlns:r="http://schemas.openxmlformats.org/officeDocument/2006/relationships" ref="M1512" r:id="rId3022"/>
    <hyperlink xmlns:r="http://schemas.openxmlformats.org/officeDocument/2006/relationships" ref="D1513" r:id="rId3023"/>
    <hyperlink xmlns:r="http://schemas.openxmlformats.org/officeDocument/2006/relationships" ref="M1513" r:id="rId3024"/>
    <hyperlink xmlns:r="http://schemas.openxmlformats.org/officeDocument/2006/relationships" ref="D1514" r:id="rId3025"/>
    <hyperlink xmlns:r="http://schemas.openxmlformats.org/officeDocument/2006/relationships" ref="M1514" r:id="rId3026"/>
    <hyperlink xmlns:r="http://schemas.openxmlformats.org/officeDocument/2006/relationships" ref="D1515" r:id="rId3027"/>
    <hyperlink xmlns:r="http://schemas.openxmlformats.org/officeDocument/2006/relationships" ref="M1515" r:id="rId3028"/>
    <hyperlink xmlns:r="http://schemas.openxmlformats.org/officeDocument/2006/relationships" ref="D1516" r:id="rId3029"/>
    <hyperlink xmlns:r="http://schemas.openxmlformats.org/officeDocument/2006/relationships" ref="M1516" r:id="rId3030"/>
    <hyperlink xmlns:r="http://schemas.openxmlformats.org/officeDocument/2006/relationships" ref="D1517" r:id="rId3031"/>
    <hyperlink xmlns:r="http://schemas.openxmlformats.org/officeDocument/2006/relationships" ref="M1517" r:id="rId3032"/>
    <hyperlink xmlns:r="http://schemas.openxmlformats.org/officeDocument/2006/relationships" ref="D1518" r:id="rId3033"/>
    <hyperlink xmlns:r="http://schemas.openxmlformats.org/officeDocument/2006/relationships" ref="M1518" r:id="rId3034"/>
    <hyperlink xmlns:r="http://schemas.openxmlformats.org/officeDocument/2006/relationships" ref="D1519" r:id="rId3035"/>
    <hyperlink xmlns:r="http://schemas.openxmlformats.org/officeDocument/2006/relationships" ref="M1519" r:id="rId3036"/>
    <hyperlink xmlns:r="http://schemas.openxmlformats.org/officeDocument/2006/relationships" ref="D1520" r:id="rId3037"/>
    <hyperlink xmlns:r="http://schemas.openxmlformats.org/officeDocument/2006/relationships" ref="M1520" r:id="rId3038"/>
    <hyperlink xmlns:r="http://schemas.openxmlformats.org/officeDocument/2006/relationships" ref="D1521" r:id="rId3039"/>
    <hyperlink xmlns:r="http://schemas.openxmlformats.org/officeDocument/2006/relationships" ref="M1521" r:id="rId3040"/>
    <hyperlink xmlns:r="http://schemas.openxmlformats.org/officeDocument/2006/relationships" ref="D1522" r:id="rId3041"/>
    <hyperlink xmlns:r="http://schemas.openxmlformats.org/officeDocument/2006/relationships" ref="M1522" r:id="rId3042"/>
    <hyperlink xmlns:r="http://schemas.openxmlformats.org/officeDocument/2006/relationships" ref="D1523" r:id="rId3043"/>
    <hyperlink xmlns:r="http://schemas.openxmlformats.org/officeDocument/2006/relationships" ref="M1523" r:id="rId3044"/>
    <hyperlink xmlns:r="http://schemas.openxmlformats.org/officeDocument/2006/relationships" ref="D1524" r:id="rId3045"/>
    <hyperlink xmlns:r="http://schemas.openxmlformats.org/officeDocument/2006/relationships" ref="M1524" r:id="rId3046"/>
    <hyperlink xmlns:r="http://schemas.openxmlformats.org/officeDocument/2006/relationships" ref="D1525" r:id="rId3047"/>
    <hyperlink xmlns:r="http://schemas.openxmlformats.org/officeDocument/2006/relationships" ref="M1525" r:id="rId3048"/>
    <hyperlink xmlns:r="http://schemas.openxmlformats.org/officeDocument/2006/relationships" ref="D1526" r:id="rId3049"/>
    <hyperlink xmlns:r="http://schemas.openxmlformats.org/officeDocument/2006/relationships" ref="M1526" r:id="rId3050"/>
    <hyperlink xmlns:r="http://schemas.openxmlformats.org/officeDocument/2006/relationships" ref="D1527" r:id="rId3051"/>
    <hyperlink xmlns:r="http://schemas.openxmlformats.org/officeDocument/2006/relationships" ref="M1527" r:id="rId3052"/>
    <hyperlink xmlns:r="http://schemas.openxmlformats.org/officeDocument/2006/relationships" ref="D1528" r:id="rId3053"/>
    <hyperlink xmlns:r="http://schemas.openxmlformats.org/officeDocument/2006/relationships" ref="M1528" r:id="rId3054"/>
    <hyperlink xmlns:r="http://schemas.openxmlformats.org/officeDocument/2006/relationships" ref="D1529" r:id="rId3055"/>
    <hyperlink xmlns:r="http://schemas.openxmlformats.org/officeDocument/2006/relationships" ref="M1529" r:id="rId3056"/>
    <hyperlink xmlns:r="http://schemas.openxmlformats.org/officeDocument/2006/relationships" ref="D1530" r:id="rId3057"/>
    <hyperlink xmlns:r="http://schemas.openxmlformats.org/officeDocument/2006/relationships" ref="M1530" r:id="rId3058"/>
    <hyperlink xmlns:r="http://schemas.openxmlformats.org/officeDocument/2006/relationships" ref="D1531" r:id="rId3059"/>
    <hyperlink xmlns:r="http://schemas.openxmlformats.org/officeDocument/2006/relationships" ref="M1531" r:id="rId3060"/>
    <hyperlink xmlns:r="http://schemas.openxmlformats.org/officeDocument/2006/relationships" ref="D1532" r:id="rId3061"/>
    <hyperlink xmlns:r="http://schemas.openxmlformats.org/officeDocument/2006/relationships" ref="M1532" r:id="rId3062"/>
    <hyperlink xmlns:r="http://schemas.openxmlformats.org/officeDocument/2006/relationships" ref="D1533" r:id="rId3063"/>
    <hyperlink xmlns:r="http://schemas.openxmlformats.org/officeDocument/2006/relationships" ref="M1533" r:id="rId3064"/>
    <hyperlink xmlns:r="http://schemas.openxmlformats.org/officeDocument/2006/relationships" ref="D1534" r:id="rId3065"/>
    <hyperlink xmlns:r="http://schemas.openxmlformats.org/officeDocument/2006/relationships" ref="M1534" r:id="rId3066"/>
    <hyperlink xmlns:r="http://schemas.openxmlformats.org/officeDocument/2006/relationships" ref="D1535" r:id="rId3067"/>
    <hyperlink xmlns:r="http://schemas.openxmlformats.org/officeDocument/2006/relationships" ref="M1535" r:id="rId3068"/>
    <hyperlink xmlns:r="http://schemas.openxmlformats.org/officeDocument/2006/relationships" ref="D1536" r:id="rId3069"/>
    <hyperlink xmlns:r="http://schemas.openxmlformats.org/officeDocument/2006/relationships" ref="M1536" r:id="rId3070"/>
    <hyperlink xmlns:r="http://schemas.openxmlformats.org/officeDocument/2006/relationships" ref="D1537" r:id="rId3071"/>
    <hyperlink xmlns:r="http://schemas.openxmlformats.org/officeDocument/2006/relationships" ref="M1537" r:id="rId3072"/>
    <hyperlink xmlns:r="http://schemas.openxmlformats.org/officeDocument/2006/relationships" ref="D1538" r:id="rId3073"/>
    <hyperlink xmlns:r="http://schemas.openxmlformats.org/officeDocument/2006/relationships" ref="M1538" r:id="rId3074"/>
    <hyperlink xmlns:r="http://schemas.openxmlformats.org/officeDocument/2006/relationships" ref="D1539" r:id="rId3075"/>
    <hyperlink xmlns:r="http://schemas.openxmlformats.org/officeDocument/2006/relationships" ref="M1539" r:id="rId3076"/>
    <hyperlink xmlns:r="http://schemas.openxmlformats.org/officeDocument/2006/relationships" ref="D1540" r:id="rId3077"/>
    <hyperlink xmlns:r="http://schemas.openxmlformats.org/officeDocument/2006/relationships" ref="M1540" r:id="rId3078"/>
    <hyperlink xmlns:r="http://schemas.openxmlformats.org/officeDocument/2006/relationships" ref="D1541" r:id="rId3079"/>
    <hyperlink xmlns:r="http://schemas.openxmlformats.org/officeDocument/2006/relationships" ref="M1541" r:id="rId3080"/>
    <hyperlink xmlns:r="http://schemas.openxmlformats.org/officeDocument/2006/relationships" ref="D1542" r:id="rId3081"/>
    <hyperlink xmlns:r="http://schemas.openxmlformats.org/officeDocument/2006/relationships" ref="M1542" r:id="rId3082"/>
    <hyperlink xmlns:r="http://schemas.openxmlformats.org/officeDocument/2006/relationships" ref="D1543" r:id="rId3083"/>
    <hyperlink xmlns:r="http://schemas.openxmlformats.org/officeDocument/2006/relationships" ref="M1543" r:id="rId3084"/>
    <hyperlink xmlns:r="http://schemas.openxmlformats.org/officeDocument/2006/relationships" ref="D1544" r:id="rId3085"/>
    <hyperlink xmlns:r="http://schemas.openxmlformats.org/officeDocument/2006/relationships" ref="M1544" r:id="rId3086"/>
    <hyperlink xmlns:r="http://schemas.openxmlformats.org/officeDocument/2006/relationships" ref="D1545" r:id="rId3087"/>
    <hyperlink xmlns:r="http://schemas.openxmlformats.org/officeDocument/2006/relationships" ref="M1545" r:id="rId3088"/>
    <hyperlink xmlns:r="http://schemas.openxmlformats.org/officeDocument/2006/relationships" ref="D1546" r:id="rId3089"/>
    <hyperlink xmlns:r="http://schemas.openxmlformats.org/officeDocument/2006/relationships" ref="M1546" r:id="rId3090"/>
    <hyperlink xmlns:r="http://schemas.openxmlformats.org/officeDocument/2006/relationships" ref="D1547" r:id="rId3091"/>
    <hyperlink xmlns:r="http://schemas.openxmlformats.org/officeDocument/2006/relationships" ref="M1547" r:id="rId3092"/>
    <hyperlink xmlns:r="http://schemas.openxmlformats.org/officeDocument/2006/relationships" ref="D1548" r:id="rId3093"/>
    <hyperlink xmlns:r="http://schemas.openxmlformats.org/officeDocument/2006/relationships" ref="M1548" r:id="rId3094"/>
    <hyperlink xmlns:r="http://schemas.openxmlformats.org/officeDocument/2006/relationships" ref="D1549" r:id="rId3095"/>
    <hyperlink xmlns:r="http://schemas.openxmlformats.org/officeDocument/2006/relationships" ref="M1549" r:id="rId3096"/>
    <hyperlink xmlns:r="http://schemas.openxmlformats.org/officeDocument/2006/relationships" ref="D1550" r:id="rId3097"/>
    <hyperlink xmlns:r="http://schemas.openxmlformats.org/officeDocument/2006/relationships" ref="M1550" r:id="rId3098"/>
    <hyperlink xmlns:r="http://schemas.openxmlformats.org/officeDocument/2006/relationships" ref="D1551" r:id="rId3099"/>
    <hyperlink xmlns:r="http://schemas.openxmlformats.org/officeDocument/2006/relationships" ref="M1551" r:id="rId3100"/>
    <hyperlink xmlns:r="http://schemas.openxmlformats.org/officeDocument/2006/relationships" ref="D1552" r:id="rId3101"/>
    <hyperlink xmlns:r="http://schemas.openxmlformats.org/officeDocument/2006/relationships" ref="M1552" r:id="rId3102"/>
    <hyperlink xmlns:r="http://schemas.openxmlformats.org/officeDocument/2006/relationships" ref="D1553" r:id="rId3103"/>
    <hyperlink xmlns:r="http://schemas.openxmlformats.org/officeDocument/2006/relationships" ref="M1553" r:id="rId3104"/>
    <hyperlink xmlns:r="http://schemas.openxmlformats.org/officeDocument/2006/relationships" ref="D1554" r:id="rId3105"/>
    <hyperlink xmlns:r="http://schemas.openxmlformats.org/officeDocument/2006/relationships" ref="M1554" r:id="rId3106"/>
    <hyperlink xmlns:r="http://schemas.openxmlformats.org/officeDocument/2006/relationships" ref="D1555" r:id="rId3107"/>
    <hyperlink xmlns:r="http://schemas.openxmlformats.org/officeDocument/2006/relationships" ref="M1555" r:id="rId3108"/>
    <hyperlink xmlns:r="http://schemas.openxmlformats.org/officeDocument/2006/relationships" ref="D1556" r:id="rId3109"/>
    <hyperlink xmlns:r="http://schemas.openxmlformats.org/officeDocument/2006/relationships" ref="M1556" r:id="rId3110"/>
    <hyperlink xmlns:r="http://schemas.openxmlformats.org/officeDocument/2006/relationships" ref="D1557" r:id="rId3111"/>
    <hyperlink xmlns:r="http://schemas.openxmlformats.org/officeDocument/2006/relationships" ref="M1557" r:id="rId3112"/>
    <hyperlink xmlns:r="http://schemas.openxmlformats.org/officeDocument/2006/relationships" ref="D1558" r:id="rId3113"/>
    <hyperlink xmlns:r="http://schemas.openxmlformats.org/officeDocument/2006/relationships" ref="M1558" r:id="rId3114"/>
    <hyperlink xmlns:r="http://schemas.openxmlformats.org/officeDocument/2006/relationships" ref="D1559" r:id="rId3115"/>
    <hyperlink xmlns:r="http://schemas.openxmlformats.org/officeDocument/2006/relationships" ref="M1559" r:id="rId3116"/>
    <hyperlink xmlns:r="http://schemas.openxmlformats.org/officeDocument/2006/relationships" ref="D1560" r:id="rId3117"/>
    <hyperlink xmlns:r="http://schemas.openxmlformats.org/officeDocument/2006/relationships" ref="M1560" r:id="rId3118"/>
    <hyperlink xmlns:r="http://schemas.openxmlformats.org/officeDocument/2006/relationships" ref="D1561" r:id="rId3119"/>
    <hyperlink xmlns:r="http://schemas.openxmlformats.org/officeDocument/2006/relationships" ref="M1561" r:id="rId3120"/>
    <hyperlink xmlns:r="http://schemas.openxmlformats.org/officeDocument/2006/relationships" ref="D1562" r:id="rId3121"/>
    <hyperlink xmlns:r="http://schemas.openxmlformats.org/officeDocument/2006/relationships" ref="M1562" r:id="rId3122"/>
    <hyperlink xmlns:r="http://schemas.openxmlformats.org/officeDocument/2006/relationships" ref="D1563" r:id="rId3123"/>
    <hyperlink xmlns:r="http://schemas.openxmlformats.org/officeDocument/2006/relationships" ref="M1563" r:id="rId3124"/>
    <hyperlink xmlns:r="http://schemas.openxmlformats.org/officeDocument/2006/relationships" ref="D1564" r:id="rId3125"/>
    <hyperlink xmlns:r="http://schemas.openxmlformats.org/officeDocument/2006/relationships" ref="M1564" r:id="rId3126"/>
    <hyperlink xmlns:r="http://schemas.openxmlformats.org/officeDocument/2006/relationships" ref="D1565" r:id="rId3127"/>
    <hyperlink xmlns:r="http://schemas.openxmlformats.org/officeDocument/2006/relationships" ref="M1565" r:id="rId3128"/>
    <hyperlink xmlns:r="http://schemas.openxmlformats.org/officeDocument/2006/relationships" ref="D1566" r:id="rId3129"/>
    <hyperlink xmlns:r="http://schemas.openxmlformats.org/officeDocument/2006/relationships" ref="M1566" r:id="rId3130"/>
    <hyperlink xmlns:r="http://schemas.openxmlformats.org/officeDocument/2006/relationships" ref="D1567" r:id="rId3131"/>
    <hyperlink xmlns:r="http://schemas.openxmlformats.org/officeDocument/2006/relationships" ref="M1567" r:id="rId3132"/>
    <hyperlink xmlns:r="http://schemas.openxmlformats.org/officeDocument/2006/relationships" ref="D1568" r:id="rId3133"/>
    <hyperlink xmlns:r="http://schemas.openxmlformats.org/officeDocument/2006/relationships" ref="M1568" r:id="rId3134"/>
    <hyperlink xmlns:r="http://schemas.openxmlformats.org/officeDocument/2006/relationships" ref="D1569" r:id="rId3135"/>
    <hyperlink xmlns:r="http://schemas.openxmlformats.org/officeDocument/2006/relationships" ref="M1569" r:id="rId3136"/>
    <hyperlink xmlns:r="http://schemas.openxmlformats.org/officeDocument/2006/relationships" ref="D1570" r:id="rId3137"/>
    <hyperlink xmlns:r="http://schemas.openxmlformats.org/officeDocument/2006/relationships" ref="M1570" r:id="rId3138"/>
    <hyperlink xmlns:r="http://schemas.openxmlformats.org/officeDocument/2006/relationships" ref="D1571" r:id="rId3139"/>
    <hyperlink xmlns:r="http://schemas.openxmlformats.org/officeDocument/2006/relationships" ref="M1571" r:id="rId3140"/>
    <hyperlink xmlns:r="http://schemas.openxmlformats.org/officeDocument/2006/relationships" ref="D1572" r:id="rId3141"/>
    <hyperlink xmlns:r="http://schemas.openxmlformats.org/officeDocument/2006/relationships" ref="M1572" r:id="rId3142"/>
    <hyperlink xmlns:r="http://schemas.openxmlformats.org/officeDocument/2006/relationships" ref="D1573" r:id="rId3143"/>
    <hyperlink xmlns:r="http://schemas.openxmlformats.org/officeDocument/2006/relationships" ref="M1573" r:id="rId3144"/>
    <hyperlink xmlns:r="http://schemas.openxmlformats.org/officeDocument/2006/relationships" ref="D1574" r:id="rId3145"/>
    <hyperlink xmlns:r="http://schemas.openxmlformats.org/officeDocument/2006/relationships" ref="M1574" r:id="rId3146"/>
    <hyperlink xmlns:r="http://schemas.openxmlformats.org/officeDocument/2006/relationships" ref="D1575" r:id="rId3147"/>
    <hyperlink xmlns:r="http://schemas.openxmlformats.org/officeDocument/2006/relationships" ref="M1575" r:id="rId3148"/>
    <hyperlink xmlns:r="http://schemas.openxmlformats.org/officeDocument/2006/relationships" ref="D1576" r:id="rId3149"/>
    <hyperlink xmlns:r="http://schemas.openxmlformats.org/officeDocument/2006/relationships" ref="M1576" r:id="rId3150"/>
    <hyperlink xmlns:r="http://schemas.openxmlformats.org/officeDocument/2006/relationships" ref="D1577" r:id="rId3151"/>
    <hyperlink xmlns:r="http://schemas.openxmlformats.org/officeDocument/2006/relationships" ref="M1577" r:id="rId3152"/>
    <hyperlink xmlns:r="http://schemas.openxmlformats.org/officeDocument/2006/relationships" ref="D1578" r:id="rId3153"/>
    <hyperlink xmlns:r="http://schemas.openxmlformats.org/officeDocument/2006/relationships" ref="M1578" r:id="rId3154"/>
    <hyperlink xmlns:r="http://schemas.openxmlformats.org/officeDocument/2006/relationships" ref="D1579" r:id="rId3155"/>
    <hyperlink xmlns:r="http://schemas.openxmlformats.org/officeDocument/2006/relationships" ref="M1579" r:id="rId3156"/>
    <hyperlink xmlns:r="http://schemas.openxmlformats.org/officeDocument/2006/relationships" ref="D1580" r:id="rId3157"/>
    <hyperlink xmlns:r="http://schemas.openxmlformats.org/officeDocument/2006/relationships" ref="M1580" r:id="rId3158"/>
    <hyperlink xmlns:r="http://schemas.openxmlformats.org/officeDocument/2006/relationships" ref="D1581" r:id="rId3159"/>
    <hyperlink xmlns:r="http://schemas.openxmlformats.org/officeDocument/2006/relationships" ref="M1581" r:id="rId3160"/>
    <hyperlink xmlns:r="http://schemas.openxmlformats.org/officeDocument/2006/relationships" ref="D1582" r:id="rId3161"/>
    <hyperlink xmlns:r="http://schemas.openxmlformats.org/officeDocument/2006/relationships" ref="M1582" r:id="rId3162"/>
    <hyperlink xmlns:r="http://schemas.openxmlformats.org/officeDocument/2006/relationships" ref="D1583" r:id="rId3163"/>
    <hyperlink xmlns:r="http://schemas.openxmlformats.org/officeDocument/2006/relationships" ref="M1583" r:id="rId3164"/>
    <hyperlink xmlns:r="http://schemas.openxmlformats.org/officeDocument/2006/relationships" ref="D1584" r:id="rId3165"/>
    <hyperlink xmlns:r="http://schemas.openxmlformats.org/officeDocument/2006/relationships" ref="M1584" r:id="rId3166"/>
    <hyperlink xmlns:r="http://schemas.openxmlformats.org/officeDocument/2006/relationships" ref="D1585" r:id="rId3167"/>
    <hyperlink xmlns:r="http://schemas.openxmlformats.org/officeDocument/2006/relationships" ref="M1585" r:id="rId3168"/>
    <hyperlink xmlns:r="http://schemas.openxmlformats.org/officeDocument/2006/relationships" ref="D1586" r:id="rId3169"/>
    <hyperlink xmlns:r="http://schemas.openxmlformats.org/officeDocument/2006/relationships" ref="M1586" r:id="rId3170"/>
    <hyperlink xmlns:r="http://schemas.openxmlformats.org/officeDocument/2006/relationships" ref="D1587" r:id="rId3171"/>
    <hyperlink xmlns:r="http://schemas.openxmlformats.org/officeDocument/2006/relationships" ref="M1587" r:id="rId3172"/>
    <hyperlink xmlns:r="http://schemas.openxmlformats.org/officeDocument/2006/relationships" ref="D1588" r:id="rId3173"/>
    <hyperlink xmlns:r="http://schemas.openxmlformats.org/officeDocument/2006/relationships" ref="M1588" r:id="rId3174"/>
    <hyperlink xmlns:r="http://schemas.openxmlformats.org/officeDocument/2006/relationships" ref="D1589" r:id="rId3175"/>
    <hyperlink xmlns:r="http://schemas.openxmlformats.org/officeDocument/2006/relationships" ref="M1589" r:id="rId3176"/>
    <hyperlink xmlns:r="http://schemas.openxmlformats.org/officeDocument/2006/relationships" ref="D1590" r:id="rId3177"/>
    <hyperlink xmlns:r="http://schemas.openxmlformats.org/officeDocument/2006/relationships" ref="M1590" r:id="rId3178"/>
    <hyperlink xmlns:r="http://schemas.openxmlformats.org/officeDocument/2006/relationships" ref="D1591" r:id="rId3179"/>
    <hyperlink xmlns:r="http://schemas.openxmlformats.org/officeDocument/2006/relationships" ref="M1591" r:id="rId3180"/>
    <hyperlink xmlns:r="http://schemas.openxmlformats.org/officeDocument/2006/relationships" ref="D1592" r:id="rId3181"/>
    <hyperlink xmlns:r="http://schemas.openxmlformats.org/officeDocument/2006/relationships" ref="M1592" r:id="rId3182"/>
    <hyperlink xmlns:r="http://schemas.openxmlformats.org/officeDocument/2006/relationships" ref="D1593" r:id="rId3183"/>
    <hyperlink xmlns:r="http://schemas.openxmlformats.org/officeDocument/2006/relationships" ref="M1593" r:id="rId3184"/>
    <hyperlink xmlns:r="http://schemas.openxmlformats.org/officeDocument/2006/relationships" ref="D1594" r:id="rId3185"/>
    <hyperlink xmlns:r="http://schemas.openxmlformats.org/officeDocument/2006/relationships" ref="M1594" r:id="rId3186"/>
    <hyperlink xmlns:r="http://schemas.openxmlformats.org/officeDocument/2006/relationships" ref="D1595" r:id="rId3187"/>
    <hyperlink xmlns:r="http://schemas.openxmlformats.org/officeDocument/2006/relationships" ref="M1595" r:id="rId3188"/>
    <hyperlink xmlns:r="http://schemas.openxmlformats.org/officeDocument/2006/relationships" ref="D1596" r:id="rId3189"/>
    <hyperlink xmlns:r="http://schemas.openxmlformats.org/officeDocument/2006/relationships" ref="M1596" r:id="rId3190"/>
    <hyperlink xmlns:r="http://schemas.openxmlformats.org/officeDocument/2006/relationships" ref="D1597" r:id="rId3191"/>
    <hyperlink xmlns:r="http://schemas.openxmlformats.org/officeDocument/2006/relationships" ref="M1597" r:id="rId3192"/>
    <hyperlink xmlns:r="http://schemas.openxmlformats.org/officeDocument/2006/relationships" ref="D1598" r:id="rId3193"/>
    <hyperlink xmlns:r="http://schemas.openxmlformats.org/officeDocument/2006/relationships" ref="M1598" r:id="rId3194"/>
    <hyperlink xmlns:r="http://schemas.openxmlformats.org/officeDocument/2006/relationships" ref="D1599" r:id="rId3195"/>
    <hyperlink xmlns:r="http://schemas.openxmlformats.org/officeDocument/2006/relationships" ref="M1599" r:id="rId3196"/>
    <hyperlink xmlns:r="http://schemas.openxmlformats.org/officeDocument/2006/relationships" ref="D1600" r:id="rId3197"/>
    <hyperlink xmlns:r="http://schemas.openxmlformats.org/officeDocument/2006/relationships" ref="M1600" r:id="rId3198"/>
    <hyperlink xmlns:r="http://schemas.openxmlformats.org/officeDocument/2006/relationships" ref="D1601" r:id="rId3199"/>
    <hyperlink xmlns:r="http://schemas.openxmlformats.org/officeDocument/2006/relationships" ref="M1601" r:id="rId3200"/>
    <hyperlink xmlns:r="http://schemas.openxmlformats.org/officeDocument/2006/relationships" ref="D1602" r:id="rId3201"/>
    <hyperlink xmlns:r="http://schemas.openxmlformats.org/officeDocument/2006/relationships" ref="M1602" r:id="rId3202"/>
    <hyperlink xmlns:r="http://schemas.openxmlformats.org/officeDocument/2006/relationships" ref="D1603" r:id="rId3203"/>
    <hyperlink xmlns:r="http://schemas.openxmlformats.org/officeDocument/2006/relationships" ref="M1603" r:id="rId3204"/>
    <hyperlink xmlns:r="http://schemas.openxmlformats.org/officeDocument/2006/relationships" ref="D1604" r:id="rId3205"/>
    <hyperlink xmlns:r="http://schemas.openxmlformats.org/officeDocument/2006/relationships" ref="M1604" r:id="rId3206"/>
    <hyperlink xmlns:r="http://schemas.openxmlformats.org/officeDocument/2006/relationships" ref="D1605" r:id="rId3207"/>
    <hyperlink xmlns:r="http://schemas.openxmlformats.org/officeDocument/2006/relationships" ref="M1605" r:id="rId3208"/>
    <hyperlink xmlns:r="http://schemas.openxmlformats.org/officeDocument/2006/relationships" ref="D1606" r:id="rId3209"/>
    <hyperlink xmlns:r="http://schemas.openxmlformats.org/officeDocument/2006/relationships" ref="M1606" r:id="rId3210"/>
    <hyperlink xmlns:r="http://schemas.openxmlformats.org/officeDocument/2006/relationships" ref="D1607" r:id="rId3211"/>
    <hyperlink xmlns:r="http://schemas.openxmlformats.org/officeDocument/2006/relationships" ref="M1607" r:id="rId3212"/>
    <hyperlink xmlns:r="http://schemas.openxmlformats.org/officeDocument/2006/relationships" ref="D1608" r:id="rId3213"/>
    <hyperlink xmlns:r="http://schemas.openxmlformats.org/officeDocument/2006/relationships" ref="M1608" r:id="rId3214"/>
    <hyperlink xmlns:r="http://schemas.openxmlformats.org/officeDocument/2006/relationships" ref="D1609" r:id="rId3215"/>
    <hyperlink xmlns:r="http://schemas.openxmlformats.org/officeDocument/2006/relationships" ref="M1609" r:id="rId3216"/>
    <hyperlink xmlns:r="http://schemas.openxmlformats.org/officeDocument/2006/relationships" ref="D1610" r:id="rId3217"/>
    <hyperlink xmlns:r="http://schemas.openxmlformats.org/officeDocument/2006/relationships" ref="M1610" r:id="rId3218"/>
    <hyperlink xmlns:r="http://schemas.openxmlformats.org/officeDocument/2006/relationships" ref="D1611" r:id="rId3219"/>
    <hyperlink xmlns:r="http://schemas.openxmlformats.org/officeDocument/2006/relationships" ref="M1611" r:id="rId3220"/>
    <hyperlink xmlns:r="http://schemas.openxmlformats.org/officeDocument/2006/relationships" ref="D1612" r:id="rId3221"/>
    <hyperlink xmlns:r="http://schemas.openxmlformats.org/officeDocument/2006/relationships" ref="M1612" r:id="rId3222"/>
    <hyperlink xmlns:r="http://schemas.openxmlformats.org/officeDocument/2006/relationships" ref="D1613" r:id="rId3223"/>
    <hyperlink xmlns:r="http://schemas.openxmlformats.org/officeDocument/2006/relationships" ref="M1613" r:id="rId3224"/>
    <hyperlink xmlns:r="http://schemas.openxmlformats.org/officeDocument/2006/relationships" ref="D1614" r:id="rId3225"/>
    <hyperlink xmlns:r="http://schemas.openxmlformats.org/officeDocument/2006/relationships" ref="M1614" r:id="rId3226"/>
    <hyperlink xmlns:r="http://schemas.openxmlformats.org/officeDocument/2006/relationships" ref="D1615" r:id="rId3227"/>
    <hyperlink xmlns:r="http://schemas.openxmlformats.org/officeDocument/2006/relationships" ref="M1615" r:id="rId3228"/>
    <hyperlink xmlns:r="http://schemas.openxmlformats.org/officeDocument/2006/relationships" ref="D1616" r:id="rId3229"/>
    <hyperlink xmlns:r="http://schemas.openxmlformats.org/officeDocument/2006/relationships" ref="M1616" r:id="rId3230"/>
    <hyperlink xmlns:r="http://schemas.openxmlformats.org/officeDocument/2006/relationships" ref="D1617" r:id="rId3231"/>
    <hyperlink xmlns:r="http://schemas.openxmlformats.org/officeDocument/2006/relationships" ref="M1617" r:id="rId3232"/>
    <hyperlink xmlns:r="http://schemas.openxmlformats.org/officeDocument/2006/relationships" ref="D1618" r:id="rId3233"/>
    <hyperlink xmlns:r="http://schemas.openxmlformats.org/officeDocument/2006/relationships" ref="M1618" r:id="rId3234"/>
    <hyperlink xmlns:r="http://schemas.openxmlformats.org/officeDocument/2006/relationships" ref="D1619" r:id="rId3235"/>
    <hyperlink xmlns:r="http://schemas.openxmlformats.org/officeDocument/2006/relationships" ref="M1619" r:id="rId3236"/>
    <hyperlink xmlns:r="http://schemas.openxmlformats.org/officeDocument/2006/relationships" ref="D1620" r:id="rId3237"/>
    <hyperlink xmlns:r="http://schemas.openxmlformats.org/officeDocument/2006/relationships" ref="M1620" r:id="rId3238"/>
    <hyperlink xmlns:r="http://schemas.openxmlformats.org/officeDocument/2006/relationships" ref="D1621" r:id="rId3239"/>
    <hyperlink xmlns:r="http://schemas.openxmlformats.org/officeDocument/2006/relationships" ref="M1621" r:id="rId3240"/>
  </hyperlinks>
  <pageMargins left="0.75" right="0.75" top="1" bottom="1" header="0.5" footer="0.5"/>
  <tableParts count="1">
    <tablePart xmlns:r="http://schemas.openxmlformats.org/officeDocument/2006/relationships" r:id="rId324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4" customWidth="1" min="2" max="2"/>
    <col width="8" customWidth="1" min="3" max="3"/>
    <col width="9" customWidth="1" min="4" max="4"/>
    <col width="8" customWidth="1" min="5" max="5"/>
    <col width="12" customWidth="1" min="6" max="6"/>
    <col width="11" customWidth="1" min="7" max="7"/>
    <col width="13" customWidth="1" min="8" max="8"/>
    <col width="14" customWidth="1" min="9" max="9"/>
    <col width="14" customWidth="1" min="10" max="10"/>
  </cols>
  <sheetData>
    <row r="1" ht="32" customHeight="1">
      <c r="A1" s="8" t="inlineStr">
        <is>
          <t>Topic group</t>
        </is>
      </c>
      <c r="B1" s="8" t="inlineStr">
        <is>
          <t>Pattern</t>
        </is>
      </c>
      <c r="C1" s="8" t="inlineStr">
        <is>
          <t>Easy</t>
        </is>
      </c>
      <c r="D1" s="8" t="inlineStr">
        <is>
          <t>Medium</t>
        </is>
      </c>
      <c r="E1" s="8" t="inlineStr">
        <is>
          <t>Hard</t>
        </is>
      </c>
      <c r="F1" s="8" t="inlineStr">
        <is>
          <t>Total (your list)</t>
        </is>
      </c>
      <c r="G1" s="8" t="inlineStr">
        <is>
          <t>Other problems</t>
        </is>
      </c>
      <c r="H1" s="8" t="inlineStr">
        <is>
          <t>First-try AC rate (list)</t>
        </is>
      </c>
      <c r="I1" s="8" t="inlineStr">
        <is>
          <t>Avg submissions per problem (list)</t>
        </is>
      </c>
      <c r="J1" s="8" t="inlineStr">
        <is>
          <t>Failed attempts before AC (list)</t>
        </is>
      </c>
    </row>
    <row r="2">
      <c r="A2" s="4" t="inlineStr">
        <is>
          <t>Arrays &amp; Strings</t>
        </is>
      </c>
      <c r="B2" s="4" t="inlineStr">
        <is>
          <t>Arrays, Hashing &amp; Sorting</t>
        </is>
      </c>
      <c r="C2" s="4">
        <f>COUNTIFS('Solved Problems'!$E$2:$E$278,$B2,'Solved Problems'!$D$2:$D$278,"Easy")</f>
        <v/>
      </c>
      <c r="D2" s="4">
        <f>COUNTIFS('Solved Problems'!$E$2:$E$278,$B2,'Solved Problems'!$D$2:$D$278,"Medium")</f>
        <v/>
      </c>
      <c r="E2" s="4">
        <f>COUNTIFS('Solved Problems'!$E$2:$E$278,$B2,'Solved Problems'!$D$2:$D$278,"Hard")</f>
        <v/>
      </c>
      <c r="F2" s="4">
        <f>SUM(C2:E2)</f>
        <v/>
      </c>
      <c r="G2" s="4">
        <f>COUNTIFS('Other Problems'!$E$2:$E$119,$B2)</f>
        <v/>
      </c>
      <c r="H2" s="5">
        <f>IF(F2=0,"",COUNTIFS('Solved Problems'!$E$2:$E$278,$B2,'Solved Problems'!$P$2:$P$278,"Yes")/F2)</f>
        <v/>
      </c>
      <c r="I2" s="15">
        <f>IF(F2=0,"",SUMIFS('Solved Problems'!$M$2:$M$278,'Solved Problems'!$E$2:$E$278,$B2)/F2)</f>
        <v/>
      </c>
      <c r="J2" s="4">
        <f>SUMIFS('Solved Problems'!$O$2:$O$278,'Solved Problems'!$E$2:$E$278,$B2)</f>
        <v/>
      </c>
    </row>
    <row r="3">
      <c r="A3" s="4" t="inlineStr">
        <is>
          <t>Arrays &amp; Strings</t>
        </is>
      </c>
      <c r="B3" s="4" t="inlineStr">
        <is>
          <t>Two Pointers</t>
        </is>
      </c>
      <c r="C3" s="4">
        <f>COUNTIFS('Solved Problems'!$E$2:$E$278,$B3,'Solved Problems'!$D$2:$D$278,"Easy")</f>
        <v/>
      </c>
      <c r="D3" s="4">
        <f>COUNTIFS('Solved Problems'!$E$2:$E$278,$B3,'Solved Problems'!$D$2:$D$278,"Medium")</f>
        <v/>
      </c>
      <c r="E3" s="4">
        <f>COUNTIFS('Solved Problems'!$E$2:$E$278,$B3,'Solved Problems'!$D$2:$D$278,"Hard")</f>
        <v/>
      </c>
      <c r="F3" s="4">
        <f>SUM(C3:E3)</f>
        <v/>
      </c>
      <c r="G3" s="4">
        <f>COUNTIFS('Other Problems'!$E$2:$E$119,$B3)</f>
        <v/>
      </c>
      <c r="H3" s="5">
        <f>IF(F3=0,"",COUNTIFS('Solved Problems'!$E$2:$E$278,$B3,'Solved Problems'!$P$2:$P$278,"Yes")/F3)</f>
        <v/>
      </c>
      <c r="I3" s="15">
        <f>IF(F3=0,"",SUMIFS('Solved Problems'!$M$2:$M$278,'Solved Problems'!$E$2:$E$278,$B3)/F3)</f>
        <v/>
      </c>
      <c r="J3" s="4">
        <f>SUMIFS('Solved Problems'!$O$2:$O$278,'Solved Problems'!$E$2:$E$278,$B3)</f>
        <v/>
      </c>
    </row>
    <row r="4">
      <c r="A4" s="4" t="inlineStr">
        <is>
          <t>Arrays &amp; Strings</t>
        </is>
      </c>
      <c r="B4" s="4" t="inlineStr">
        <is>
          <t>Sliding Window</t>
        </is>
      </c>
      <c r="C4" s="4">
        <f>COUNTIFS('Solved Problems'!$E$2:$E$278,$B4,'Solved Problems'!$D$2:$D$278,"Easy")</f>
        <v/>
      </c>
      <c r="D4" s="4">
        <f>COUNTIFS('Solved Problems'!$E$2:$E$278,$B4,'Solved Problems'!$D$2:$D$278,"Medium")</f>
        <v/>
      </c>
      <c r="E4" s="4">
        <f>COUNTIFS('Solved Problems'!$E$2:$E$278,$B4,'Solved Problems'!$D$2:$D$278,"Hard")</f>
        <v/>
      </c>
      <c r="F4" s="4">
        <f>SUM(C4:E4)</f>
        <v/>
      </c>
      <c r="G4" s="4">
        <f>COUNTIFS('Other Problems'!$E$2:$E$119,$B4)</f>
        <v/>
      </c>
      <c r="H4" s="5">
        <f>IF(F4=0,"",COUNTIFS('Solved Problems'!$E$2:$E$278,$B4,'Solved Problems'!$P$2:$P$278,"Yes")/F4)</f>
        <v/>
      </c>
      <c r="I4" s="15">
        <f>IF(F4=0,"",SUMIFS('Solved Problems'!$M$2:$M$278,'Solved Problems'!$E$2:$E$278,$B4)/F4)</f>
        <v/>
      </c>
      <c r="J4" s="4">
        <f>SUMIFS('Solved Problems'!$O$2:$O$278,'Solved Problems'!$E$2:$E$278,$B4)</f>
        <v/>
      </c>
    </row>
    <row r="5">
      <c r="A5" s="4" t="inlineStr">
        <is>
          <t>Arrays &amp; Strings</t>
        </is>
      </c>
      <c r="B5" s="4" t="inlineStr">
        <is>
          <t>Prefix Sum &amp; Difference Array</t>
        </is>
      </c>
      <c r="C5" s="4">
        <f>COUNTIFS('Solved Problems'!$E$2:$E$278,$B5,'Solved Problems'!$D$2:$D$278,"Easy")</f>
        <v/>
      </c>
      <c r="D5" s="4">
        <f>COUNTIFS('Solved Problems'!$E$2:$E$278,$B5,'Solved Problems'!$D$2:$D$278,"Medium")</f>
        <v/>
      </c>
      <c r="E5" s="4">
        <f>COUNTIFS('Solved Problems'!$E$2:$E$278,$B5,'Solved Problems'!$D$2:$D$278,"Hard")</f>
        <v/>
      </c>
      <c r="F5" s="4">
        <f>SUM(C5:E5)</f>
        <v/>
      </c>
      <c r="G5" s="4">
        <f>COUNTIFS('Other Problems'!$E$2:$E$119,$B5)</f>
        <v/>
      </c>
      <c r="H5" s="5">
        <f>IF(F5=0,"",COUNTIFS('Solved Problems'!$E$2:$E$278,$B5,'Solved Problems'!$P$2:$P$278,"Yes")/F5)</f>
        <v/>
      </c>
      <c r="I5" s="15">
        <f>IF(F5=0,"",SUMIFS('Solved Problems'!$M$2:$M$278,'Solved Problems'!$E$2:$E$278,$B5)/F5)</f>
        <v/>
      </c>
      <c r="J5" s="4">
        <f>SUMIFS('Solved Problems'!$O$2:$O$278,'Solved Problems'!$E$2:$E$278,$B5)</f>
        <v/>
      </c>
    </row>
    <row r="6">
      <c r="A6" s="4" t="inlineStr">
        <is>
          <t>Arrays &amp; Strings</t>
        </is>
      </c>
      <c r="B6" s="4" t="inlineStr">
        <is>
          <t>Math &amp; Bit Manipulation</t>
        </is>
      </c>
      <c r="C6" s="4">
        <f>COUNTIFS('Solved Problems'!$E$2:$E$278,$B6,'Solved Problems'!$D$2:$D$278,"Easy")</f>
        <v/>
      </c>
      <c r="D6" s="4">
        <f>COUNTIFS('Solved Problems'!$E$2:$E$278,$B6,'Solved Problems'!$D$2:$D$278,"Medium")</f>
        <v/>
      </c>
      <c r="E6" s="4">
        <f>COUNTIFS('Solved Problems'!$E$2:$E$278,$B6,'Solved Problems'!$D$2:$D$278,"Hard")</f>
        <v/>
      </c>
      <c r="F6" s="4">
        <f>SUM(C6:E6)</f>
        <v/>
      </c>
      <c r="G6" s="4">
        <f>COUNTIFS('Other Problems'!$E$2:$E$119,$B6)</f>
        <v/>
      </c>
      <c r="H6" s="5">
        <f>IF(F6=0,"",COUNTIFS('Solved Problems'!$E$2:$E$278,$B6,'Solved Problems'!$P$2:$P$278,"Yes")/F6)</f>
        <v/>
      </c>
      <c r="I6" s="15">
        <f>IF(F6=0,"",SUMIFS('Solved Problems'!$M$2:$M$278,'Solved Problems'!$E$2:$E$278,$B6)/F6)</f>
        <v/>
      </c>
      <c r="J6" s="4">
        <f>SUMIFS('Solved Problems'!$O$2:$O$278,'Solved Problems'!$E$2:$E$278,$B6)</f>
        <v/>
      </c>
    </row>
    <row r="7">
      <c r="A7" s="4" t="inlineStr">
        <is>
          <t>Arrays &amp; Strings</t>
        </is>
      </c>
      <c r="B7" s="4" t="inlineStr">
        <is>
          <t>Strings &amp; Simulation</t>
        </is>
      </c>
      <c r="C7" s="4">
        <f>COUNTIFS('Solved Problems'!$E$2:$E$278,$B7,'Solved Problems'!$D$2:$D$278,"Easy")</f>
        <v/>
      </c>
      <c r="D7" s="4">
        <f>COUNTIFS('Solved Problems'!$E$2:$E$278,$B7,'Solved Problems'!$D$2:$D$278,"Medium")</f>
        <v/>
      </c>
      <c r="E7" s="4">
        <f>COUNTIFS('Solved Problems'!$E$2:$E$278,$B7,'Solved Problems'!$D$2:$D$278,"Hard")</f>
        <v/>
      </c>
      <c r="F7" s="4">
        <f>SUM(C7:E7)</f>
        <v/>
      </c>
      <c r="G7" s="4">
        <f>COUNTIFS('Other Problems'!$E$2:$E$119,$B7)</f>
        <v/>
      </c>
      <c r="H7" s="5">
        <f>IF(F7=0,"",COUNTIFS('Solved Problems'!$E$2:$E$278,$B7,'Solved Problems'!$P$2:$P$278,"Yes")/F7)</f>
        <v/>
      </c>
      <c r="I7" s="15">
        <f>IF(F7=0,"",SUMIFS('Solved Problems'!$M$2:$M$278,'Solved Problems'!$E$2:$E$278,$B7)/F7)</f>
        <v/>
      </c>
      <c r="J7" s="4">
        <f>SUMIFS('Solved Problems'!$O$2:$O$278,'Solved Problems'!$E$2:$E$278,$B7)</f>
        <v/>
      </c>
    </row>
    <row r="8">
      <c r="A8" s="4" t="inlineStr">
        <is>
          <t>Searching</t>
        </is>
      </c>
      <c r="B8" s="4" t="inlineStr">
        <is>
          <t>Binary Search</t>
        </is>
      </c>
      <c r="C8" s="4">
        <f>COUNTIFS('Solved Problems'!$E$2:$E$278,$B8,'Solved Problems'!$D$2:$D$278,"Easy")</f>
        <v/>
      </c>
      <c r="D8" s="4">
        <f>COUNTIFS('Solved Problems'!$E$2:$E$278,$B8,'Solved Problems'!$D$2:$D$278,"Medium")</f>
        <v/>
      </c>
      <c r="E8" s="4">
        <f>COUNTIFS('Solved Problems'!$E$2:$E$278,$B8,'Solved Problems'!$D$2:$D$278,"Hard")</f>
        <v/>
      </c>
      <c r="F8" s="4">
        <f>SUM(C8:E8)</f>
        <v/>
      </c>
      <c r="G8" s="4">
        <f>COUNTIFS('Other Problems'!$E$2:$E$119,$B8)</f>
        <v/>
      </c>
      <c r="H8" s="5">
        <f>IF(F8=0,"",COUNTIFS('Solved Problems'!$E$2:$E$278,$B8,'Solved Problems'!$P$2:$P$278,"Yes")/F8)</f>
        <v/>
      </c>
      <c r="I8" s="15">
        <f>IF(F8=0,"",SUMIFS('Solved Problems'!$M$2:$M$278,'Solved Problems'!$E$2:$E$278,$B8)/F8)</f>
        <v/>
      </c>
      <c r="J8" s="4">
        <f>SUMIFS('Solved Problems'!$O$2:$O$278,'Solved Problems'!$E$2:$E$278,$B8)</f>
        <v/>
      </c>
    </row>
    <row r="9">
      <c r="A9" s="4" t="inlineStr">
        <is>
          <t>Searching</t>
        </is>
      </c>
      <c r="B9" s="4" t="inlineStr">
        <is>
          <t>Binary Search on Answer</t>
        </is>
      </c>
      <c r="C9" s="4">
        <f>COUNTIFS('Solved Problems'!$E$2:$E$278,$B9,'Solved Problems'!$D$2:$D$278,"Easy")</f>
        <v/>
      </c>
      <c r="D9" s="4">
        <f>COUNTIFS('Solved Problems'!$E$2:$E$278,$B9,'Solved Problems'!$D$2:$D$278,"Medium")</f>
        <v/>
      </c>
      <c r="E9" s="4">
        <f>COUNTIFS('Solved Problems'!$E$2:$E$278,$B9,'Solved Problems'!$D$2:$D$278,"Hard")</f>
        <v/>
      </c>
      <c r="F9" s="4">
        <f>SUM(C9:E9)</f>
        <v/>
      </c>
      <c r="G9" s="4">
        <f>COUNTIFS('Other Problems'!$E$2:$E$119,$B9)</f>
        <v/>
      </c>
      <c r="H9" s="5">
        <f>IF(F9=0,"",COUNTIFS('Solved Problems'!$E$2:$E$278,$B9,'Solved Problems'!$P$2:$P$278,"Yes")/F9)</f>
        <v/>
      </c>
      <c r="I9" s="15">
        <f>IF(F9=0,"",SUMIFS('Solved Problems'!$M$2:$M$278,'Solved Problems'!$E$2:$E$278,$B9)/F9)</f>
        <v/>
      </c>
      <c r="J9" s="4">
        <f>SUMIFS('Solved Problems'!$O$2:$O$278,'Solved Problems'!$E$2:$E$278,$B9)</f>
        <v/>
      </c>
    </row>
    <row r="10">
      <c r="A10" s="4" t="inlineStr">
        <is>
          <t>Stacks &amp; Queues</t>
        </is>
      </c>
      <c r="B10" s="4" t="inlineStr">
        <is>
          <t>Stack</t>
        </is>
      </c>
      <c r="C10" s="4">
        <f>COUNTIFS('Solved Problems'!$E$2:$E$278,$B10,'Solved Problems'!$D$2:$D$278,"Easy")</f>
        <v/>
      </c>
      <c r="D10" s="4">
        <f>COUNTIFS('Solved Problems'!$E$2:$E$278,$B10,'Solved Problems'!$D$2:$D$278,"Medium")</f>
        <v/>
      </c>
      <c r="E10" s="4">
        <f>COUNTIFS('Solved Problems'!$E$2:$E$278,$B10,'Solved Problems'!$D$2:$D$278,"Hard")</f>
        <v/>
      </c>
      <c r="F10" s="4">
        <f>SUM(C10:E10)</f>
        <v/>
      </c>
      <c r="G10" s="4">
        <f>COUNTIFS('Other Problems'!$E$2:$E$119,$B10)</f>
        <v/>
      </c>
      <c r="H10" s="5">
        <f>IF(F10=0,"",COUNTIFS('Solved Problems'!$E$2:$E$278,$B10,'Solved Problems'!$P$2:$P$278,"Yes")/F10)</f>
        <v/>
      </c>
      <c r="I10" s="15">
        <f>IF(F10=0,"",SUMIFS('Solved Problems'!$M$2:$M$278,'Solved Problems'!$E$2:$E$278,$B10)/F10)</f>
        <v/>
      </c>
      <c r="J10" s="4">
        <f>SUMIFS('Solved Problems'!$O$2:$O$278,'Solved Problems'!$E$2:$E$278,$B10)</f>
        <v/>
      </c>
    </row>
    <row r="11">
      <c r="A11" s="4" t="inlineStr">
        <is>
          <t>Stacks &amp; Queues</t>
        </is>
      </c>
      <c r="B11" s="4" t="inlineStr">
        <is>
          <t>Monotonic Stack / Deque</t>
        </is>
      </c>
      <c r="C11" s="4">
        <f>COUNTIFS('Solved Problems'!$E$2:$E$278,$B11,'Solved Problems'!$D$2:$D$278,"Easy")</f>
        <v/>
      </c>
      <c r="D11" s="4">
        <f>COUNTIFS('Solved Problems'!$E$2:$E$278,$B11,'Solved Problems'!$D$2:$D$278,"Medium")</f>
        <v/>
      </c>
      <c r="E11" s="4">
        <f>COUNTIFS('Solved Problems'!$E$2:$E$278,$B11,'Solved Problems'!$D$2:$D$278,"Hard")</f>
        <v/>
      </c>
      <c r="F11" s="4">
        <f>SUM(C11:E11)</f>
        <v/>
      </c>
      <c r="G11" s="4">
        <f>COUNTIFS('Other Problems'!$E$2:$E$119,$B11)</f>
        <v/>
      </c>
      <c r="H11" s="5">
        <f>IF(F11=0,"",COUNTIFS('Solved Problems'!$E$2:$E$278,$B11,'Solved Problems'!$P$2:$P$278,"Yes")/F11)</f>
        <v/>
      </c>
      <c r="I11" s="15">
        <f>IF(F11=0,"",SUMIFS('Solved Problems'!$M$2:$M$278,'Solved Problems'!$E$2:$E$278,$B11)/F11)</f>
        <v/>
      </c>
      <c r="J11" s="4">
        <f>SUMIFS('Solved Problems'!$O$2:$O$278,'Solved Problems'!$E$2:$E$278,$B11)</f>
        <v/>
      </c>
    </row>
    <row r="12">
      <c r="A12" s="4" t="inlineStr">
        <is>
          <t>Linked List</t>
        </is>
      </c>
      <c r="B12" s="4" t="inlineStr">
        <is>
          <t>Linked List</t>
        </is>
      </c>
      <c r="C12" s="4">
        <f>COUNTIFS('Solved Problems'!$E$2:$E$278,$B12,'Solved Problems'!$D$2:$D$278,"Easy")</f>
        <v/>
      </c>
      <c r="D12" s="4">
        <f>COUNTIFS('Solved Problems'!$E$2:$E$278,$B12,'Solved Problems'!$D$2:$D$278,"Medium")</f>
        <v/>
      </c>
      <c r="E12" s="4">
        <f>COUNTIFS('Solved Problems'!$E$2:$E$278,$B12,'Solved Problems'!$D$2:$D$278,"Hard")</f>
        <v/>
      </c>
      <c r="F12" s="4">
        <f>SUM(C12:E12)</f>
        <v/>
      </c>
      <c r="G12" s="4">
        <f>COUNTIFS('Other Problems'!$E$2:$E$119,$B12)</f>
        <v/>
      </c>
      <c r="H12" s="5">
        <f>IF(F12=0,"",COUNTIFS('Solved Problems'!$E$2:$E$278,$B12,'Solved Problems'!$P$2:$P$278,"Yes")/F12)</f>
        <v/>
      </c>
      <c r="I12" s="15">
        <f>IF(F12=0,"",SUMIFS('Solved Problems'!$M$2:$M$278,'Solved Problems'!$E$2:$E$278,$B12)/F12)</f>
        <v/>
      </c>
      <c r="J12" s="4">
        <f>SUMIFS('Solved Problems'!$O$2:$O$278,'Solved Problems'!$E$2:$E$278,$B12)</f>
        <v/>
      </c>
    </row>
    <row r="13">
      <c r="A13" s="4" t="inlineStr">
        <is>
          <t>Trees</t>
        </is>
      </c>
      <c r="B13" s="4" t="inlineStr">
        <is>
          <t>Binary Tree (DFS &amp; Recursion)</t>
        </is>
      </c>
      <c r="C13" s="4">
        <f>COUNTIFS('Solved Problems'!$E$2:$E$278,$B13,'Solved Problems'!$D$2:$D$278,"Easy")</f>
        <v/>
      </c>
      <c r="D13" s="4">
        <f>COUNTIFS('Solved Problems'!$E$2:$E$278,$B13,'Solved Problems'!$D$2:$D$278,"Medium")</f>
        <v/>
      </c>
      <c r="E13" s="4">
        <f>COUNTIFS('Solved Problems'!$E$2:$E$278,$B13,'Solved Problems'!$D$2:$D$278,"Hard")</f>
        <v/>
      </c>
      <c r="F13" s="4">
        <f>SUM(C13:E13)</f>
        <v/>
      </c>
      <c r="G13" s="4">
        <f>COUNTIFS('Other Problems'!$E$2:$E$119,$B13)</f>
        <v/>
      </c>
      <c r="H13" s="5">
        <f>IF(F13=0,"",COUNTIFS('Solved Problems'!$E$2:$E$278,$B13,'Solved Problems'!$P$2:$P$278,"Yes")/F13)</f>
        <v/>
      </c>
      <c r="I13" s="15">
        <f>IF(F13=0,"",SUMIFS('Solved Problems'!$M$2:$M$278,'Solved Problems'!$E$2:$E$278,$B13)/F13)</f>
        <v/>
      </c>
      <c r="J13" s="4">
        <f>SUMIFS('Solved Problems'!$O$2:$O$278,'Solved Problems'!$E$2:$E$278,$B13)</f>
        <v/>
      </c>
    </row>
    <row r="14">
      <c r="A14" s="4" t="inlineStr">
        <is>
          <t>Trees</t>
        </is>
      </c>
      <c r="B14" s="4" t="inlineStr">
        <is>
          <t>Binary Tree (BFS / Level Order)</t>
        </is>
      </c>
      <c r="C14" s="4">
        <f>COUNTIFS('Solved Problems'!$E$2:$E$278,$B14,'Solved Problems'!$D$2:$D$278,"Easy")</f>
        <v/>
      </c>
      <c r="D14" s="4">
        <f>COUNTIFS('Solved Problems'!$E$2:$E$278,$B14,'Solved Problems'!$D$2:$D$278,"Medium")</f>
        <v/>
      </c>
      <c r="E14" s="4">
        <f>COUNTIFS('Solved Problems'!$E$2:$E$278,$B14,'Solved Problems'!$D$2:$D$278,"Hard")</f>
        <v/>
      </c>
      <c r="F14" s="4">
        <f>SUM(C14:E14)</f>
        <v/>
      </c>
      <c r="G14" s="4">
        <f>COUNTIFS('Other Problems'!$E$2:$E$119,$B14)</f>
        <v/>
      </c>
      <c r="H14" s="5">
        <f>IF(F14=0,"",COUNTIFS('Solved Problems'!$E$2:$E$278,$B14,'Solved Problems'!$P$2:$P$278,"Yes")/F14)</f>
        <v/>
      </c>
      <c r="I14" s="15">
        <f>IF(F14=0,"",SUMIFS('Solved Problems'!$M$2:$M$278,'Solved Problems'!$E$2:$E$278,$B14)/F14)</f>
        <v/>
      </c>
      <c r="J14" s="4">
        <f>SUMIFS('Solved Problems'!$O$2:$O$278,'Solved Problems'!$E$2:$E$278,$B14)</f>
        <v/>
      </c>
    </row>
    <row r="15">
      <c r="A15" s="4" t="inlineStr">
        <is>
          <t>Trees</t>
        </is>
      </c>
      <c r="B15" s="4" t="inlineStr">
        <is>
          <t>Binary Search Tree</t>
        </is>
      </c>
      <c r="C15" s="4">
        <f>COUNTIFS('Solved Problems'!$E$2:$E$278,$B15,'Solved Problems'!$D$2:$D$278,"Easy")</f>
        <v/>
      </c>
      <c r="D15" s="4">
        <f>COUNTIFS('Solved Problems'!$E$2:$E$278,$B15,'Solved Problems'!$D$2:$D$278,"Medium")</f>
        <v/>
      </c>
      <c r="E15" s="4">
        <f>COUNTIFS('Solved Problems'!$E$2:$E$278,$B15,'Solved Problems'!$D$2:$D$278,"Hard")</f>
        <v/>
      </c>
      <c r="F15" s="4">
        <f>SUM(C15:E15)</f>
        <v/>
      </c>
      <c r="G15" s="4">
        <f>COUNTIFS('Other Problems'!$E$2:$E$119,$B15)</f>
        <v/>
      </c>
      <c r="H15" s="5">
        <f>IF(F15=0,"",COUNTIFS('Solved Problems'!$E$2:$E$278,$B15,'Solved Problems'!$P$2:$P$278,"Yes")/F15)</f>
        <v/>
      </c>
      <c r="I15" s="15">
        <f>IF(F15=0,"",SUMIFS('Solved Problems'!$M$2:$M$278,'Solved Problems'!$E$2:$E$278,$B15)/F15)</f>
        <v/>
      </c>
      <c r="J15" s="4">
        <f>SUMIFS('Solved Problems'!$O$2:$O$278,'Solved Problems'!$E$2:$E$278,$B15)</f>
        <v/>
      </c>
    </row>
    <row r="16">
      <c r="A16" s="4" t="inlineStr">
        <is>
          <t>Trees</t>
        </is>
      </c>
      <c r="B16" s="4" t="inlineStr">
        <is>
          <t>Trie</t>
        </is>
      </c>
      <c r="C16" s="4">
        <f>COUNTIFS('Solved Problems'!$E$2:$E$278,$B16,'Solved Problems'!$D$2:$D$278,"Easy")</f>
        <v/>
      </c>
      <c r="D16" s="4">
        <f>COUNTIFS('Solved Problems'!$E$2:$E$278,$B16,'Solved Problems'!$D$2:$D$278,"Medium")</f>
        <v/>
      </c>
      <c r="E16" s="4">
        <f>COUNTIFS('Solved Problems'!$E$2:$E$278,$B16,'Solved Problems'!$D$2:$D$278,"Hard")</f>
        <v/>
      </c>
      <c r="F16" s="4">
        <f>SUM(C16:E16)</f>
        <v/>
      </c>
      <c r="G16" s="4">
        <f>COUNTIFS('Other Problems'!$E$2:$E$119,$B16)</f>
        <v/>
      </c>
      <c r="H16" s="5">
        <f>IF(F16=0,"",COUNTIFS('Solved Problems'!$E$2:$E$278,$B16,'Solved Problems'!$P$2:$P$278,"Yes")/F16)</f>
        <v/>
      </c>
      <c r="I16" s="15">
        <f>IF(F16=0,"",SUMIFS('Solved Problems'!$M$2:$M$278,'Solved Problems'!$E$2:$E$278,$B16)/F16)</f>
        <v/>
      </c>
      <c r="J16" s="4">
        <f>SUMIFS('Solved Problems'!$O$2:$O$278,'Solved Problems'!$E$2:$E$278,$B16)</f>
        <v/>
      </c>
    </row>
    <row r="17">
      <c r="A17" s="4" t="inlineStr">
        <is>
          <t>Heaps &amp; Intervals</t>
        </is>
      </c>
      <c r="B17" s="4" t="inlineStr">
        <is>
          <t>Heap / Top-K</t>
        </is>
      </c>
      <c r="C17" s="4">
        <f>COUNTIFS('Solved Problems'!$E$2:$E$278,$B17,'Solved Problems'!$D$2:$D$278,"Easy")</f>
        <v/>
      </c>
      <c r="D17" s="4">
        <f>COUNTIFS('Solved Problems'!$E$2:$E$278,$B17,'Solved Problems'!$D$2:$D$278,"Medium")</f>
        <v/>
      </c>
      <c r="E17" s="4">
        <f>COUNTIFS('Solved Problems'!$E$2:$E$278,$B17,'Solved Problems'!$D$2:$D$278,"Hard")</f>
        <v/>
      </c>
      <c r="F17" s="4">
        <f>SUM(C17:E17)</f>
        <v/>
      </c>
      <c r="G17" s="4">
        <f>COUNTIFS('Other Problems'!$E$2:$E$119,$B17)</f>
        <v/>
      </c>
      <c r="H17" s="5">
        <f>IF(F17=0,"",COUNTIFS('Solved Problems'!$E$2:$E$278,$B17,'Solved Problems'!$P$2:$P$278,"Yes")/F17)</f>
        <v/>
      </c>
      <c r="I17" s="15">
        <f>IF(F17=0,"",SUMIFS('Solved Problems'!$M$2:$M$278,'Solved Problems'!$E$2:$E$278,$B17)/F17)</f>
        <v/>
      </c>
      <c r="J17" s="4">
        <f>SUMIFS('Solved Problems'!$O$2:$O$278,'Solved Problems'!$E$2:$E$278,$B17)</f>
        <v/>
      </c>
    </row>
    <row r="18">
      <c r="A18" s="4" t="inlineStr">
        <is>
          <t>Heaps &amp; Intervals</t>
        </is>
      </c>
      <c r="B18" s="4" t="inlineStr">
        <is>
          <t>Intervals &amp; Sweep Line</t>
        </is>
      </c>
      <c r="C18" s="4">
        <f>COUNTIFS('Solved Problems'!$E$2:$E$278,$B18,'Solved Problems'!$D$2:$D$278,"Easy")</f>
        <v/>
      </c>
      <c r="D18" s="4">
        <f>COUNTIFS('Solved Problems'!$E$2:$E$278,$B18,'Solved Problems'!$D$2:$D$278,"Medium")</f>
        <v/>
      </c>
      <c r="E18" s="4">
        <f>COUNTIFS('Solved Problems'!$E$2:$E$278,$B18,'Solved Problems'!$D$2:$D$278,"Hard")</f>
        <v/>
      </c>
      <c r="F18" s="4">
        <f>SUM(C18:E18)</f>
        <v/>
      </c>
      <c r="G18" s="4">
        <f>COUNTIFS('Other Problems'!$E$2:$E$119,$B18)</f>
        <v/>
      </c>
      <c r="H18" s="5">
        <f>IF(F18=0,"",COUNTIFS('Solved Problems'!$E$2:$E$278,$B18,'Solved Problems'!$P$2:$P$278,"Yes")/F18)</f>
        <v/>
      </c>
      <c r="I18" s="15">
        <f>IF(F18=0,"",SUMIFS('Solved Problems'!$M$2:$M$278,'Solved Problems'!$E$2:$E$278,$B18)/F18)</f>
        <v/>
      </c>
      <c r="J18" s="4">
        <f>SUMIFS('Solved Problems'!$O$2:$O$278,'Solved Problems'!$E$2:$E$278,$B18)</f>
        <v/>
      </c>
    </row>
    <row r="19">
      <c r="A19" s="4" t="inlineStr">
        <is>
          <t>Greedy</t>
        </is>
      </c>
      <c r="B19" s="4" t="inlineStr">
        <is>
          <t>Greedy</t>
        </is>
      </c>
      <c r="C19" s="4">
        <f>COUNTIFS('Solved Problems'!$E$2:$E$278,$B19,'Solved Problems'!$D$2:$D$278,"Easy")</f>
        <v/>
      </c>
      <c r="D19" s="4">
        <f>COUNTIFS('Solved Problems'!$E$2:$E$278,$B19,'Solved Problems'!$D$2:$D$278,"Medium")</f>
        <v/>
      </c>
      <c r="E19" s="4">
        <f>COUNTIFS('Solved Problems'!$E$2:$E$278,$B19,'Solved Problems'!$D$2:$D$278,"Hard")</f>
        <v/>
      </c>
      <c r="F19" s="4">
        <f>SUM(C19:E19)</f>
        <v/>
      </c>
      <c r="G19" s="4">
        <f>COUNTIFS('Other Problems'!$E$2:$E$119,$B19)</f>
        <v/>
      </c>
      <c r="H19" s="5">
        <f>IF(F19=0,"",COUNTIFS('Solved Problems'!$E$2:$E$278,$B19,'Solved Problems'!$P$2:$P$278,"Yes")/F19)</f>
        <v/>
      </c>
      <c r="I19" s="15">
        <f>IF(F19=0,"",SUMIFS('Solved Problems'!$M$2:$M$278,'Solved Problems'!$E$2:$E$278,$B19)/F19)</f>
        <v/>
      </c>
      <c r="J19" s="4">
        <f>SUMIFS('Solved Problems'!$O$2:$O$278,'Solved Problems'!$E$2:$E$278,$B19)</f>
        <v/>
      </c>
    </row>
    <row r="20">
      <c r="A20" s="4" t="inlineStr">
        <is>
          <t>Recursion &amp; Backtracking</t>
        </is>
      </c>
      <c r="B20" s="4" t="inlineStr">
        <is>
          <t>Backtracking</t>
        </is>
      </c>
      <c r="C20" s="4">
        <f>COUNTIFS('Solved Problems'!$E$2:$E$278,$B20,'Solved Problems'!$D$2:$D$278,"Easy")</f>
        <v/>
      </c>
      <c r="D20" s="4">
        <f>COUNTIFS('Solved Problems'!$E$2:$E$278,$B20,'Solved Problems'!$D$2:$D$278,"Medium")</f>
        <v/>
      </c>
      <c r="E20" s="4">
        <f>COUNTIFS('Solved Problems'!$E$2:$E$278,$B20,'Solved Problems'!$D$2:$D$278,"Hard")</f>
        <v/>
      </c>
      <c r="F20" s="4">
        <f>SUM(C20:E20)</f>
        <v/>
      </c>
      <c r="G20" s="4">
        <f>COUNTIFS('Other Problems'!$E$2:$E$119,$B20)</f>
        <v/>
      </c>
      <c r="H20" s="5">
        <f>IF(F20=0,"",COUNTIFS('Solved Problems'!$E$2:$E$278,$B20,'Solved Problems'!$P$2:$P$278,"Yes")/F20)</f>
        <v/>
      </c>
      <c r="I20" s="15">
        <f>IF(F20=0,"",SUMIFS('Solved Problems'!$M$2:$M$278,'Solved Problems'!$E$2:$E$278,$B20)/F20)</f>
        <v/>
      </c>
      <c r="J20" s="4">
        <f>SUMIFS('Solved Problems'!$O$2:$O$278,'Solved Problems'!$E$2:$E$278,$B20)</f>
        <v/>
      </c>
    </row>
    <row r="21">
      <c r="A21" s="4" t="inlineStr">
        <is>
          <t>Graphs</t>
        </is>
      </c>
      <c r="B21" s="4" t="inlineStr">
        <is>
          <t>Graph: Grid BFS/DFS</t>
        </is>
      </c>
      <c r="C21" s="4">
        <f>COUNTIFS('Solved Problems'!$E$2:$E$278,$B21,'Solved Problems'!$D$2:$D$278,"Easy")</f>
        <v/>
      </c>
      <c r="D21" s="4">
        <f>COUNTIFS('Solved Problems'!$E$2:$E$278,$B21,'Solved Problems'!$D$2:$D$278,"Medium")</f>
        <v/>
      </c>
      <c r="E21" s="4">
        <f>COUNTIFS('Solved Problems'!$E$2:$E$278,$B21,'Solved Problems'!$D$2:$D$278,"Hard")</f>
        <v/>
      </c>
      <c r="F21" s="4">
        <f>SUM(C21:E21)</f>
        <v/>
      </c>
      <c r="G21" s="4">
        <f>COUNTIFS('Other Problems'!$E$2:$E$119,$B21)</f>
        <v/>
      </c>
      <c r="H21" s="5">
        <f>IF(F21=0,"",COUNTIFS('Solved Problems'!$E$2:$E$278,$B21,'Solved Problems'!$P$2:$P$278,"Yes")/F21)</f>
        <v/>
      </c>
      <c r="I21" s="15">
        <f>IF(F21=0,"",SUMIFS('Solved Problems'!$M$2:$M$278,'Solved Problems'!$E$2:$E$278,$B21)/F21)</f>
        <v/>
      </c>
      <c r="J21" s="4">
        <f>SUMIFS('Solved Problems'!$O$2:$O$278,'Solved Problems'!$E$2:$E$278,$B21)</f>
        <v/>
      </c>
    </row>
    <row r="22">
      <c r="A22" s="4" t="inlineStr">
        <is>
          <t>Graphs</t>
        </is>
      </c>
      <c r="B22" s="4" t="inlineStr">
        <is>
          <t>Graph: General BFS/DFS</t>
        </is>
      </c>
      <c r="C22" s="4">
        <f>COUNTIFS('Solved Problems'!$E$2:$E$278,$B22,'Solved Problems'!$D$2:$D$278,"Easy")</f>
        <v/>
      </c>
      <c r="D22" s="4">
        <f>COUNTIFS('Solved Problems'!$E$2:$E$278,$B22,'Solved Problems'!$D$2:$D$278,"Medium")</f>
        <v/>
      </c>
      <c r="E22" s="4">
        <f>COUNTIFS('Solved Problems'!$E$2:$E$278,$B22,'Solved Problems'!$D$2:$D$278,"Hard")</f>
        <v/>
      </c>
      <c r="F22" s="4">
        <f>SUM(C22:E22)</f>
        <v/>
      </c>
      <c r="G22" s="4">
        <f>COUNTIFS('Other Problems'!$E$2:$E$119,$B22)</f>
        <v/>
      </c>
      <c r="H22" s="5">
        <f>IF(F22=0,"",COUNTIFS('Solved Problems'!$E$2:$E$278,$B22,'Solved Problems'!$P$2:$P$278,"Yes")/F22)</f>
        <v/>
      </c>
      <c r="I22" s="15">
        <f>IF(F22=0,"",SUMIFS('Solved Problems'!$M$2:$M$278,'Solved Problems'!$E$2:$E$278,$B22)/F22)</f>
        <v/>
      </c>
      <c r="J22" s="4">
        <f>SUMIFS('Solved Problems'!$O$2:$O$278,'Solved Problems'!$E$2:$E$278,$B22)</f>
        <v/>
      </c>
    </row>
    <row r="23">
      <c r="A23" s="4" t="inlineStr">
        <is>
          <t>Graphs</t>
        </is>
      </c>
      <c r="B23" s="4" t="inlineStr">
        <is>
          <t>Graph: Topological Sort</t>
        </is>
      </c>
      <c r="C23" s="4">
        <f>COUNTIFS('Solved Problems'!$E$2:$E$278,$B23,'Solved Problems'!$D$2:$D$278,"Easy")</f>
        <v/>
      </c>
      <c r="D23" s="4">
        <f>COUNTIFS('Solved Problems'!$E$2:$E$278,$B23,'Solved Problems'!$D$2:$D$278,"Medium")</f>
        <v/>
      </c>
      <c r="E23" s="4">
        <f>COUNTIFS('Solved Problems'!$E$2:$E$278,$B23,'Solved Problems'!$D$2:$D$278,"Hard")</f>
        <v/>
      </c>
      <c r="F23" s="4">
        <f>SUM(C23:E23)</f>
        <v/>
      </c>
      <c r="G23" s="4">
        <f>COUNTIFS('Other Problems'!$E$2:$E$119,$B23)</f>
        <v/>
      </c>
      <c r="H23" s="5">
        <f>IF(F23=0,"",COUNTIFS('Solved Problems'!$E$2:$E$278,$B23,'Solved Problems'!$P$2:$P$278,"Yes")/F23)</f>
        <v/>
      </c>
      <c r="I23" s="15">
        <f>IF(F23=0,"",SUMIFS('Solved Problems'!$M$2:$M$278,'Solved Problems'!$E$2:$E$278,$B23)/F23)</f>
        <v/>
      </c>
      <c r="J23" s="4">
        <f>SUMIFS('Solved Problems'!$O$2:$O$278,'Solved Problems'!$E$2:$E$278,$B23)</f>
        <v/>
      </c>
    </row>
    <row r="24">
      <c r="A24" s="4" t="inlineStr">
        <is>
          <t>Graphs</t>
        </is>
      </c>
      <c r="B24" s="4" t="inlineStr">
        <is>
          <t>Graph: Union-Find</t>
        </is>
      </c>
      <c r="C24" s="4">
        <f>COUNTIFS('Solved Problems'!$E$2:$E$278,$B24,'Solved Problems'!$D$2:$D$278,"Easy")</f>
        <v/>
      </c>
      <c r="D24" s="4">
        <f>COUNTIFS('Solved Problems'!$E$2:$E$278,$B24,'Solved Problems'!$D$2:$D$278,"Medium")</f>
        <v/>
      </c>
      <c r="E24" s="4">
        <f>COUNTIFS('Solved Problems'!$E$2:$E$278,$B24,'Solved Problems'!$D$2:$D$278,"Hard")</f>
        <v/>
      </c>
      <c r="F24" s="4">
        <f>SUM(C24:E24)</f>
        <v/>
      </c>
      <c r="G24" s="4">
        <f>COUNTIFS('Other Problems'!$E$2:$E$119,$B24)</f>
        <v/>
      </c>
      <c r="H24" s="5">
        <f>IF(F24=0,"",COUNTIFS('Solved Problems'!$E$2:$E$278,$B24,'Solved Problems'!$P$2:$P$278,"Yes")/F24)</f>
        <v/>
      </c>
      <c r="I24" s="15">
        <f>IF(F24=0,"",SUMIFS('Solved Problems'!$M$2:$M$278,'Solved Problems'!$E$2:$E$278,$B24)/F24)</f>
        <v/>
      </c>
      <c r="J24" s="4">
        <f>SUMIFS('Solved Problems'!$O$2:$O$278,'Solved Problems'!$E$2:$E$278,$B24)</f>
        <v/>
      </c>
    </row>
    <row r="25">
      <c r="A25" s="4" t="inlineStr">
        <is>
          <t>Graphs</t>
        </is>
      </c>
      <c r="B25" s="4" t="inlineStr">
        <is>
          <t>Graph: Shortest Path</t>
        </is>
      </c>
      <c r="C25" s="4">
        <f>COUNTIFS('Solved Problems'!$E$2:$E$278,$B25,'Solved Problems'!$D$2:$D$278,"Easy")</f>
        <v/>
      </c>
      <c r="D25" s="4">
        <f>COUNTIFS('Solved Problems'!$E$2:$E$278,$B25,'Solved Problems'!$D$2:$D$278,"Medium")</f>
        <v/>
      </c>
      <c r="E25" s="4">
        <f>COUNTIFS('Solved Problems'!$E$2:$E$278,$B25,'Solved Problems'!$D$2:$D$278,"Hard")</f>
        <v/>
      </c>
      <c r="F25" s="4">
        <f>SUM(C25:E25)</f>
        <v/>
      </c>
      <c r="G25" s="4">
        <f>COUNTIFS('Other Problems'!$E$2:$E$119,$B25)</f>
        <v/>
      </c>
      <c r="H25" s="5">
        <f>IF(F25=0,"",COUNTIFS('Solved Problems'!$E$2:$E$278,$B25,'Solved Problems'!$P$2:$P$278,"Yes")/F25)</f>
        <v/>
      </c>
      <c r="I25" s="15">
        <f>IF(F25=0,"",SUMIFS('Solved Problems'!$M$2:$M$278,'Solved Problems'!$E$2:$E$278,$B25)/F25)</f>
        <v/>
      </c>
      <c r="J25" s="4">
        <f>SUMIFS('Solved Problems'!$O$2:$O$278,'Solved Problems'!$E$2:$E$278,$B25)</f>
        <v/>
      </c>
    </row>
    <row r="26">
      <c r="A26" s="4" t="inlineStr">
        <is>
          <t>Dynamic Programming</t>
        </is>
      </c>
      <c r="B26" s="4" t="inlineStr">
        <is>
          <t>DP: 1D / Linear</t>
        </is>
      </c>
      <c r="C26" s="4">
        <f>COUNTIFS('Solved Problems'!$E$2:$E$278,$B26,'Solved Problems'!$D$2:$D$278,"Easy")</f>
        <v/>
      </c>
      <c r="D26" s="4">
        <f>COUNTIFS('Solved Problems'!$E$2:$E$278,$B26,'Solved Problems'!$D$2:$D$278,"Medium")</f>
        <v/>
      </c>
      <c r="E26" s="4">
        <f>COUNTIFS('Solved Problems'!$E$2:$E$278,$B26,'Solved Problems'!$D$2:$D$278,"Hard")</f>
        <v/>
      </c>
      <c r="F26" s="4">
        <f>SUM(C26:E26)</f>
        <v/>
      </c>
      <c r="G26" s="4">
        <f>COUNTIFS('Other Problems'!$E$2:$E$119,$B26)</f>
        <v/>
      </c>
      <c r="H26" s="5">
        <f>IF(F26=0,"",COUNTIFS('Solved Problems'!$E$2:$E$278,$B26,'Solved Problems'!$P$2:$P$278,"Yes")/F26)</f>
        <v/>
      </c>
      <c r="I26" s="15">
        <f>IF(F26=0,"",SUMIFS('Solved Problems'!$M$2:$M$278,'Solved Problems'!$E$2:$E$278,$B26)/F26)</f>
        <v/>
      </c>
      <c r="J26" s="4">
        <f>SUMIFS('Solved Problems'!$O$2:$O$278,'Solved Problems'!$E$2:$E$278,$B26)</f>
        <v/>
      </c>
    </row>
    <row r="27">
      <c r="A27" s="4" t="inlineStr">
        <is>
          <t>Dynamic Programming</t>
        </is>
      </c>
      <c r="B27" s="4" t="inlineStr">
        <is>
          <t>DP: Grid / 2D</t>
        </is>
      </c>
      <c r="C27" s="4">
        <f>COUNTIFS('Solved Problems'!$E$2:$E$278,$B27,'Solved Problems'!$D$2:$D$278,"Easy")</f>
        <v/>
      </c>
      <c r="D27" s="4">
        <f>COUNTIFS('Solved Problems'!$E$2:$E$278,$B27,'Solved Problems'!$D$2:$D$278,"Medium")</f>
        <v/>
      </c>
      <c r="E27" s="4">
        <f>COUNTIFS('Solved Problems'!$E$2:$E$278,$B27,'Solved Problems'!$D$2:$D$278,"Hard")</f>
        <v/>
      </c>
      <c r="F27" s="4">
        <f>SUM(C27:E27)</f>
        <v/>
      </c>
      <c r="G27" s="4">
        <f>COUNTIFS('Other Problems'!$E$2:$E$119,$B27)</f>
        <v/>
      </c>
      <c r="H27" s="5">
        <f>IF(F27=0,"",COUNTIFS('Solved Problems'!$E$2:$E$278,$B27,'Solved Problems'!$P$2:$P$278,"Yes")/F27)</f>
        <v/>
      </c>
      <c r="I27" s="15">
        <f>IF(F27=0,"",SUMIFS('Solved Problems'!$M$2:$M$278,'Solved Problems'!$E$2:$E$278,$B27)/F27)</f>
        <v/>
      </c>
      <c r="J27" s="4">
        <f>SUMIFS('Solved Problems'!$O$2:$O$278,'Solved Problems'!$E$2:$E$278,$B27)</f>
        <v/>
      </c>
    </row>
    <row r="28">
      <c r="A28" s="4" t="inlineStr">
        <is>
          <t>Dynamic Programming</t>
        </is>
      </c>
      <c r="B28" s="4" t="inlineStr">
        <is>
          <t>DP: Knapsack / Subset</t>
        </is>
      </c>
      <c r="C28" s="4">
        <f>COUNTIFS('Solved Problems'!$E$2:$E$278,$B28,'Solved Problems'!$D$2:$D$278,"Easy")</f>
        <v/>
      </c>
      <c r="D28" s="4">
        <f>COUNTIFS('Solved Problems'!$E$2:$E$278,$B28,'Solved Problems'!$D$2:$D$278,"Medium")</f>
        <v/>
      </c>
      <c r="E28" s="4">
        <f>COUNTIFS('Solved Problems'!$E$2:$E$278,$B28,'Solved Problems'!$D$2:$D$278,"Hard")</f>
        <v/>
      </c>
      <c r="F28" s="4">
        <f>SUM(C28:E28)</f>
        <v/>
      </c>
      <c r="G28" s="4">
        <f>COUNTIFS('Other Problems'!$E$2:$E$119,$B28)</f>
        <v/>
      </c>
      <c r="H28" s="5">
        <f>IF(F28=0,"",COUNTIFS('Solved Problems'!$E$2:$E$278,$B28,'Solved Problems'!$P$2:$P$278,"Yes")/F28)</f>
        <v/>
      </c>
      <c r="I28" s="15">
        <f>IF(F28=0,"",SUMIFS('Solved Problems'!$M$2:$M$278,'Solved Problems'!$E$2:$E$278,$B28)/F28)</f>
        <v/>
      </c>
      <c r="J28" s="4">
        <f>SUMIFS('Solved Problems'!$O$2:$O$278,'Solved Problems'!$E$2:$E$278,$B28)</f>
        <v/>
      </c>
    </row>
    <row r="29">
      <c r="A29" s="4" t="inlineStr">
        <is>
          <t>Dynamic Programming</t>
        </is>
      </c>
      <c r="B29" s="4" t="inlineStr">
        <is>
          <t>DP: Strings (LCS, Edit, Matching)</t>
        </is>
      </c>
      <c r="C29" s="4">
        <f>COUNTIFS('Solved Problems'!$E$2:$E$278,$B29,'Solved Problems'!$D$2:$D$278,"Easy")</f>
        <v/>
      </c>
      <c r="D29" s="4">
        <f>COUNTIFS('Solved Problems'!$E$2:$E$278,$B29,'Solved Problems'!$D$2:$D$278,"Medium")</f>
        <v/>
      </c>
      <c r="E29" s="4">
        <f>COUNTIFS('Solved Problems'!$E$2:$E$278,$B29,'Solved Problems'!$D$2:$D$278,"Hard")</f>
        <v/>
      </c>
      <c r="F29" s="4">
        <f>SUM(C29:E29)</f>
        <v/>
      </c>
      <c r="G29" s="4">
        <f>COUNTIFS('Other Problems'!$E$2:$E$119,$B29)</f>
        <v/>
      </c>
      <c r="H29" s="5">
        <f>IF(F29=0,"",COUNTIFS('Solved Problems'!$E$2:$E$278,$B29,'Solved Problems'!$P$2:$P$278,"Yes")/F29)</f>
        <v/>
      </c>
      <c r="I29" s="15">
        <f>IF(F29=0,"",SUMIFS('Solved Problems'!$M$2:$M$278,'Solved Problems'!$E$2:$E$278,$B29)/F29)</f>
        <v/>
      </c>
      <c r="J29" s="4">
        <f>SUMIFS('Solved Problems'!$O$2:$O$278,'Solved Problems'!$E$2:$E$278,$B29)</f>
        <v/>
      </c>
    </row>
    <row r="30">
      <c r="A30" s="4" t="inlineStr">
        <is>
          <t>Dynamic Programming</t>
        </is>
      </c>
      <c r="B30" s="4" t="inlineStr">
        <is>
          <t>DP: LIS Family</t>
        </is>
      </c>
      <c r="C30" s="4">
        <f>COUNTIFS('Solved Problems'!$E$2:$E$278,$B30,'Solved Problems'!$D$2:$D$278,"Easy")</f>
        <v/>
      </c>
      <c r="D30" s="4">
        <f>COUNTIFS('Solved Problems'!$E$2:$E$278,$B30,'Solved Problems'!$D$2:$D$278,"Medium")</f>
        <v/>
      </c>
      <c r="E30" s="4">
        <f>COUNTIFS('Solved Problems'!$E$2:$E$278,$B30,'Solved Problems'!$D$2:$D$278,"Hard")</f>
        <v/>
      </c>
      <c r="F30" s="4">
        <f>SUM(C30:E30)</f>
        <v/>
      </c>
      <c r="G30" s="4">
        <f>COUNTIFS('Other Problems'!$E$2:$E$119,$B30)</f>
        <v/>
      </c>
      <c r="H30" s="5">
        <f>IF(F30=0,"",COUNTIFS('Solved Problems'!$E$2:$E$278,$B30,'Solved Problems'!$P$2:$P$278,"Yes")/F30)</f>
        <v/>
      </c>
      <c r="I30" s="15">
        <f>IF(F30=0,"",SUMIFS('Solved Problems'!$M$2:$M$278,'Solved Problems'!$E$2:$E$278,$B30)/F30)</f>
        <v/>
      </c>
      <c r="J30" s="4">
        <f>SUMIFS('Solved Problems'!$O$2:$O$278,'Solved Problems'!$E$2:$E$278,$B30)</f>
        <v/>
      </c>
    </row>
    <row r="31">
      <c r="A31" s="4" t="inlineStr">
        <is>
          <t>Dynamic Programming</t>
        </is>
      </c>
      <c r="B31" s="4" t="inlineStr">
        <is>
          <t>DP: Partition / Interval (MCM)</t>
        </is>
      </c>
      <c r="C31" s="4">
        <f>COUNTIFS('Solved Problems'!$E$2:$E$278,$B31,'Solved Problems'!$D$2:$D$278,"Easy")</f>
        <v/>
      </c>
      <c r="D31" s="4">
        <f>COUNTIFS('Solved Problems'!$E$2:$E$278,$B31,'Solved Problems'!$D$2:$D$278,"Medium")</f>
        <v/>
      </c>
      <c r="E31" s="4">
        <f>COUNTIFS('Solved Problems'!$E$2:$E$278,$B31,'Solved Problems'!$D$2:$D$278,"Hard")</f>
        <v/>
      </c>
      <c r="F31" s="4">
        <f>SUM(C31:E31)</f>
        <v/>
      </c>
      <c r="G31" s="4">
        <f>COUNTIFS('Other Problems'!$E$2:$E$119,$B31)</f>
        <v/>
      </c>
      <c r="H31" s="5">
        <f>IF(F31=0,"",COUNTIFS('Solved Problems'!$E$2:$E$278,$B31,'Solved Problems'!$P$2:$P$278,"Yes")/F31)</f>
        <v/>
      </c>
      <c r="I31" s="15">
        <f>IF(F31=0,"",SUMIFS('Solved Problems'!$M$2:$M$278,'Solved Problems'!$E$2:$E$278,$B31)/F31)</f>
        <v/>
      </c>
      <c r="J31" s="4">
        <f>SUMIFS('Solved Problems'!$O$2:$O$278,'Solved Problems'!$E$2:$E$278,$B31)</f>
        <v/>
      </c>
    </row>
    <row r="32">
      <c r="A32" s="4" t="inlineStr">
        <is>
          <t>Dynamic Programming</t>
        </is>
      </c>
      <c r="B32" s="4" t="inlineStr">
        <is>
          <t>DP: Buy &amp; Sell Stock</t>
        </is>
      </c>
      <c r="C32" s="4">
        <f>COUNTIFS('Solved Problems'!$E$2:$E$278,$B32,'Solved Problems'!$D$2:$D$278,"Easy")</f>
        <v/>
      </c>
      <c r="D32" s="4">
        <f>COUNTIFS('Solved Problems'!$E$2:$E$278,$B32,'Solved Problems'!$D$2:$D$278,"Medium")</f>
        <v/>
      </c>
      <c r="E32" s="4">
        <f>COUNTIFS('Solved Problems'!$E$2:$E$278,$B32,'Solved Problems'!$D$2:$D$278,"Hard")</f>
        <v/>
      </c>
      <c r="F32" s="4">
        <f>SUM(C32:E32)</f>
        <v/>
      </c>
      <c r="G32" s="4">
        <f>COUNTIFS('Other Problems'!$E$2:$E$119,$B32)</f>
        <v/>
      </c>
      <c r="H32" s="5">
        <f>IF(F32=0,"",COUNTIFS('Solved Problems'!$E$2:$E$278,$B32,'Solved Problems'!$P$2:$P$278,"Yes")/F32)</f>
        <v/>
      </c>
      <c r="I32" s="15">
        <f>IF(F32=0,"",SUMIFS('Solved Problems'!$M$2:$M$278,'Solved Problems'!$E$2:$E$278,$B32)/F32)</f>
        <v/>
      </c>
      <c r="J32" s="4">
        <f>SUMIFS('Solved Problems'!$O$2:$O$278,'Solved Problems'!$E$2:$E$278,$B32)</f>
        <v/>
      </c>
    </row>
    <row r="33">
      <c r="A33" s="4" t="inlineStr">
        <is>
          <t>Dynamic Programming</t>
        </is>
      </c>
      <c r="B33" s="4" t="inlineStr">
        <is>
          <t>DP: On Trees</t>
        </is>
      </c>
      <c r="C33" s="4">
        <f>COUNTIFS('Solved Problems'!$E$2:$E$278,$B33,'Solved Problems'!$D$2:$D$278,"Easy")</f>
        <v/>
      </c>
      <c r="D33" s="4">
        <f>COUNTIFS('Solved Problems'!$E$2:$E$278,$B33,'Solved Problems'!$D$2:$D$278,"Medium")</f>
        <v/>
      </c>
      <c r="E33" s="4">
        <f>COUNTIFS('Solved Problems'!$E$2:$E$278,$B33,'Solved Problems'!$D$2:$D$278,"Hard")</f>
        <v/>
      </c>
      <c r="F33" s="4">
        <f>SUM(C33:E33)</f>
        <v/>
      </c>
      <c r="G33" s="4">
        <f>COUNTIFS('Other Problems'!$E$2:$E$119,$B33)</f>
        <v/>
      </c>
      <c r="H33" s="5">
        <f>IF(F33=0,"",COUNTIFS('Solved Problems'!$E$2:$E$278,$B33,'Solved Problems'!$P$2:$P$278,"Yes")/F33)</f>
        <v/>
      </c>
      <c r="I33" s="15">
        <f>IF(F33=0,"",SUMIFS('Solved Problems'!$M$2:$M$278,'Solved Problems'!$E$2:$E$278,$B33)/F33)</f>
        <v/>
      </c>
      <c r="J33" s="4">
        <f>SUMIFS('Solved Problems'!$O$2:$O$278,'Solved Problems'!$E$2:$E$278,$B33)</f>
        <v/>
      </c>
    </row>
    <row r="34">
      <c r="A34" s="4" t="inlineStr">
        <is>
          <t>Dynamic Programming</t>
        </is>
      </c>
      <c r="B34" s="4" t="inlineStr">
        <is>
          <t>DP: Bitmask</t>
        </is>
      </c>
      <c r="C34" s="4">
        <f>COUNTIFS('Solved Problems'!$E$2:$E$278,$B34,'Solved Problems'!$D$2:$D$278,"Easy")</f>
        <v/>
      </c>
      <c r="D34" s="4">
        <f>COUNTIFS('Solved Problems'!$E$2:$E$278,$B34,'Solved Problems'!$D$2:$D$278,"Medium")</f>
        <v/>
      </c>
      <c r="E34" s="4">
        <f>COUNTIFS('Solved Problems'!$E$2:$E$278,$B34,'Solved Problems'!$D$2:$D$278,"Hard")</f>
        <v/>
      </c>
      <c r="F34" s="4">
        <f>SUM(C34:E34)</f>
        <v/>
      </c>
      <c r="G34" s="4">
        <f>COUNTIFS('Other Problems'!$E$2:$E$119,$B34)</f>
        <v/>
      </c>
      <c r="H34" s="5">
        <f>IF(F34=0,"",COUNTIFS('Solved Problems'!$E$2:$E$278,$B34,'Solved Problems'!$P$2:$P$278,"Yes")/F34)</f>
        <v/>
      </c>
      <c r="I34" s="15">
        <f>IF(F34=0,"",SUMIFS('Solved Problems'!$M$2:$M$278,'Solved Problems'!$E$2:$E$278,$B34)/F34)</f>
        <v/>
      </c>
      <c r="J34" s="4">
        <f>SUMIFS('Solved Problems'!$O$2:$O$278,'Solved Problems'!$E$2:$E$278,$B34)</f>
        <v/>
      </c>
    </row>
    <row r="35">
      <c r="A35" s="4" t="inlineStr">
        <is>
          <t>Design</t>
        </is>
      </c>
      <c r="B35" s="4" t="inlineStr">
        <is>
          <t>Design</t>
        </is>
      </c>
      <c r="C35" s="4">
        <f>COUNTIFS('Solved Problems'!$E$2:$E$278,$B35,'Solved Problems'!$D$2:$D$278,"Easy")</f>
        <v/>
      </c>
      <c r="D35" s="4">
        <f>COUNTIFS('Solved Problems'!$E$2:$E$278,$B35,'Solved Problems'!$D$2:$D$278,"Medium")</f>
        <v/>
      </c>
      <c r="E35" s="4">
        <f>COUNTIFS('Solved Problems'!$E$2:$E$278,$B35,'Solved Problems'!$D$2:$D$278,"Hard")</f>
        <v/>
      </c>
      <c r="F35" s="4">
        <f>SUM(C35:E35)</f>
        <v/>
      </c>
      <c r="G35" s="4">
        <f>COUNTIFS('Other Problems'!$E$2:$E$119,$B35)</f>
        <v/>
      </c>
      <c r="H35" s="5">
        <f>IF(F35=0,"",COUNTIFS('Solved Problems'!$E$2:$E$278,$B35,'Solved Problems'!$P$2:$P$278,"Yes")/F35)</f>
        <v/>
      </c>
      <c r="I35" s="15">
        <f>IF(F35=0,"",SUMIFS('Solved Problems'!$M$2:$M$278,'Solved Problems'!$E$2:$E$278,$B35)/F35)</f>
        <v/>
      </c>
      <c r="J35" s="4">
        <f>SUMIFS('Solved Problems'!$O$2:$O$278,'Solved Problems'!$E$2:$E$278,$B35)</f>
        <v/>
      </c>
    </row>
    <row r="36">
      <c r="A36" s="4" t="inlineStr">
        <is>
          <t>Advanced Data Structures</t>
        </is>
      </c>
      <c r="B36" s="4" t="inlineStr">
        <is>
          <t>Segment Tree / BIT / Ordered Set</t>
        </is>
      </c>
      <c r="C36" s="4">
        <f>COUNTIFS('Solved Problems'!$E$2:$E$278,$B36,'Solved Problems'!$D$2:$D$278,"Easy")</f>
        <v/>
      </c>
      <c r="D36" s="4">
        <f>COUNTIFS('Solved Problems'!$E$2:$E$278,$B36,'Solved Problems'!$D$2:$D$278,"Medium")</f>
        <v/>
      </c>
      <c r="E36" s="4">
        <f>COUNTIFS('Solved Problems'!$E$2:$E$278,$B36,'Solved Problems'!$D$2:$D$278,"Hard")</f>
        <v/>
      </c>
      <c r="F36" s="4">
        <f>SUM(C36:E36)</f>
        <v/>
      </c>
      <c r="G36" s="4">
        <f>COUNTIFS('Other Problems'!$E$2:$E$119,$B36)</f>
        <v/>
      </c>
      <c r="H36" s="5">
        <f>IF(F36=0,"",COUNTIFS('Solved Problems'!$E$2:$E$278,$B36,'Solved Problems'!$P$2:$P$278,"Yes")/F36)</f>
        <v/>
      </c>
      <c r="I36" s="15">
        <f>IF(F36=0,"",SUMIFS('Solved Problems'!$M$2:$M$278,'Solved Problems'!$E$2:$E$278,$B36)/F36)</f>
        <v/>
      </c>
      <c r="J36" s="4">
        <f>SUMIFS('Solved Problems'!$O$2:$O$278,'Solved Problems'!$E$2:$E$278,$B36)</f>
        <v/>
      </c>
    </row>
    <row r="37">
      <c r="B37" s="16" t="inlineStr">
        <is>
          <t>Total</t>
        </is>
      </c>
      <c r="C37" s="16">
        <f>SUM(C2:C36)</f>
        <v/>
      </c>
      <c r="D37" s="16">
        <f>SUM(D2:D36)</f>
        <v/>
      </c>
      <c r="E37" s="16">
        <f>SUM(E2:E36)</f>
        <v/>
      </c>
      <c r="F37" s="16">
        <f>SUM(F2:F36)</f>
        <v/>
      </c>
      <c r="G37" s="16">
        <f>SUM(G2:G36)</f>
        <v/>
      </c>
      <c r="J37" s="16">
        <f>SUM(J2:J36)</f>
        <v/>
      </c>
    </row>
  </sheetData>
  <conditionalFormatting sqref="F2:F36">
    <cfRule type="colorScale" priority="1">
      <colorScale>
        <cfvo type="num" val="0"/>
        <cfvo type="max"/>
        <color rgb="00FFFFFF"/>
        <color rgb="0063BE7B"/>
      </colorScale>
    </cfRule>
  </conditionalFormatting>
  <conditionalFormatting sqref="H2:H36">
    <cfRule type="colorScale" priority="2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4" customWidth="1" min="5" max="5"/>
    <col width="14" customWidth="1" min="6" max="6"/>
    <col width="10" customWidth="1" min="7" max="7"/>
    <col width="10" customWidth="1" min="8" max="8"/>
    <col width="10" customWidth="1" min="9" max="9"/>
  </cols>
  <sheetData>
    <row r="1" ht="32" customHeight="1">
      <c r="A1" s="8" t="inlineStr">
        <is>
          <t>Month</t>
        </is>
      </c>
      <c r="B1" s="8" t="inlineStr">
        <is>
          <t>Submissions</t>
        </is>
      </c>
      <c r="C1" s="8" t="inlineStr">
        <is>
          <t>Accepted</t>
        </is>
      </c>
      <c r="D1" s="8" t="inlineStr">
        <is>
          <t>Acceptance rate</t>
        </is>
      </c>
      <c r="E1" s="8" t="inlineStr">
        <is>
          <t>New problems solved (list)</t>
        </is>
      </c>
      <c r="F1" s="8" t="inlineStr">
        <is>
          <t>New problems solved (other)</t>
        </is>
      </c>
      <c r="G1" s="8" t="inlineStr">
        <is>
          <t>C++ subs</t>
        </is>
      </c>
      <c r="H1" s="8" t="inlineStr">
        <is>
          <t>Python subs</t>
        </is>
      </c>
      <c r="I1" s="8" t="inlineStr">
        <is>
          <t>Java subs</t>
        </is>
      </c>
    </row>
    <row r="2">
      <c r="A2" s="4" t="inlineStr">
        <is>
          <t>2023-03</t>
        </is>
      </c>
      <c r="B2" s="4">
        <f>COUNTIFS(Submissions!$B$2:$B$1621,$A2)</f>
        <v/>
      </c>
      <c r="C2" s="4">
        <f>COUNTIFS(Submissions!$B$2:$B$1621,$A2,Submissions!$G$2:$G$1621,"Accepted")</f>
        <v/>
      </c>
      <c r="D2" s="5">
        <f>IF(B2=0,"",C2/B2)</f>
        <v/>
      </c>
      <c r="E2" s="4">
        <f>COUNTIFS('Solved Problems'!$Y$2:$Y$278,$A2)</f>
        <v/>
      </c>
      <c r="F2" s="4">
        <f>COUNTIFS('Other Problems'!$Y$2:$Y$119,$A2)</f>
        <v/>
      </c>
      <c r="G2" s="4">
        <f>COUNTIFS(Submissions!$B$2:$B$1621,$A2,Submissions!$H$2:$H$1621,"C++")</f>
        <v/>
      </c>
      <c r="H2" s="4">
        <f>COUNTIFS(Submissions!$B$2:$B$1621,$A2,Submissions!$H$2:$H$1621,"Python3")+COUNTIFS(Submissions!$B$2:$B$1621,$A2,Submissions!$H$2:$H$1621,"Python")</f>
        <v/>
      </c>
      <c r="I2" s="4">
        <f>COUNTIFS(Submissions!$B$2:$B$1621,$A2,Submissions!$H$2:$H$1621,"Java")</f>
        <v/>
      </c>
    </row>
    <row r="3">
      <c r="A3" s="4" t="inlineStr">
        <is>
          <t>2023-04</t>
        </is>
      </c>
      <c r="B3" s="4">
        <f>COUNTIFS(Submissions!$B$2:$B$1621,$A3)</f>
        <v/>
      </c>
      <c r="C3" s="4">
        <f>COUNTIFS(Submissions!$B$2:$B$1621,$A3,Submissions!$G$2:$G$1621,"Accepted")</f>
        <v/>
      </c>
      <c r="D3" s="5">
        <f>IF(B3=0,"",C3/B3)</f>
        <v/>
      </c>
      <c r="E3" s="4">
        <f>COUNTIFS('Solved Problems'!$Y$2:$Y$278,$A3)</f>
        <v/>
      </c>
      <c r="F3" s="4">
        <f>COUNTIFS('Other Problems'!$Y$2:$Y$119,$A3)</f>
        <v/>
      </c>
      <c r="G3" s="4">
        <f>COUNTIFS(Submissions!$B$2:$B$1621,$A3,Submissions!$H$2:$H$1621,"C++")</f>
        <v/>
      </c>
      <c r="H3" s="4">
        <f>COUNTIFS(Submissions!$B$2:$B$1621,$A3,Submissions!$H$2:$H$1621,"Python3")+COUNTIFS(Submissions!$B$2:$B$1621,$A3,Submissions!$H$2:$H$1621,"Python")</f>
        <v/>
      </c>
      <c r="I3" s="4">
        <f>COUNTIFS(Submissions!$B$2:$B$1621,$A3,Submissions!$H$2:$H$1621,"Java")</f>
        <v/>
      </c>
    </row>
    <row r="4">
      <c r="A4" s="4" t="inlineStr">
        <is>
          <t>2023-05</t>
        </is>
      </c>
      <c r="B4" s="4">
        <f>COUNTIFS(Submissions!$B$2:$B$1621,$A4)</f>
        <v/>
      </c>
      <c r="C4" s="4">
        <f>COUNTIFS(Submissions!$B$2:$B$1621,$A4,Submissions!$G$2:$G$1621,"Accepted")</f>
        <v/>
      </c>
      <c r="D4" s="5">
        <f>IF(B4=0,"",C4/B4)</f>
        <v/>
      </c>
      <c r="E4" s="4">
        <f>COUNTIFS('Solved Problems'!$Y$2:$Y$278,$A4)</f>
        <v/>
      </c>
      <c r="F4" s="4">
        <f>COUNTIFS('Other Problems'!$Y$2:$Y$119,$A4)</f>
        <v/>
      </c>
      <c r="G4" s="4">
        <f>COUNTIFS(Submissions!$B$2:$B$1621,$A4,Submissions!$H$2:$H$1621,"C++")</f>
        <v/>
      </c>
      <c r="H4" s="4">
        <f>COUNTIFS(Submissions!$B$2:$B$1621,$A4,Submissions!$H$2:$H$1621,"Python3")+COUNTIFS(Submissions!$B$2:$B$1621,$A4,Submissions!$H$2:$H$1621,"Python")</f>
        <v/>
      </c>
      <c r="I4" s="4">
        <f>COUNTIFS(Submissions!$B$2:$B$1621,$A4,Submissions!$H$2:$H$1621,"Java")</f>
        <v/>
      </c>
    </row>
    <row r="5">
      <c r="A5" s="4" t="inlineStr">
        <is>
          <t>2023-06</t>
        </is>
      </c>
      <c r="B5" s="4">
        <f>COUNTIFS(Submissions!$B$2:$B$1621,$A5)</f>
        <v/>
      </c>
      <c r="C5" s="4">
        <f>COUNTIFS(Submissions!$B$2:$B$1621,$A5,Submissions!$G$2:$G$1621,"Accepted")</f>
        <v/>
      </c>
      <c r="D5" s="5">
        <f>IF(B5=0,"",C5/B5)</f>
        <v/>
      </c>
      <c r="E5" s="4">
        <f>COUNTIFS('Solved Problems'!$Y$2:$Y$278,$A5)</f>
        <v/>
      </c>
      <c r="F5" s="4">
        <f>COUNTIFS('Other Problems'!$Y$2:$Y$119,$A5)</f>
        <v/>
      </c>
      <c r="G5" s="4">
        <f>COUNTIFS(Submissions!$B$2:$B$1621,$A5,Submissions!$H$2:$H$1621,"C++")</f>
        <v/>
      </c>
      <c r="H5" s="4">
        <f>COUNTIFS(Submissions!$B$2:$B$1621,$A5,Submissions!$H$2:$H$1621,"Python3")+COUNTIFS(Submissions!$B$2:$B$1621,$A5,Submissions!$H$2:$H$1621,"Python")</f>
        <v/>
      </c>
      <c r="I5" s="4">
        <f>COUNTIFS(Submissions!$B$2:$B$1621,$A5,Submissions!$H$2:$H$1621,"Java")</f>
        <v/>
      </c>
    </row>
    <row r="6">
      <c r="A6" s="4" t="inlineStr">
        <is>
          <t>2023-07</t>
        </is>
      </c>
      <c r="B6" s="4">
        <f>COUNTIFS(Submissions!$B$2:$B$1621,$A6)</f>
        <v/>
      </c>
      <c r="C6" s="4">
        <f>COUNTIFS(Submissions!$B$2:$B$1621,$A6,Submissions!$G$2:$G$1621,"Accepted")</f>
        <v/>
      </c>
      <c r="D6" s="5">
        <f>IF(B6=0,"",C6/B6)</f>
        <v/>
      </c>
      <c r="E6" s="4">
        <f>COUNTIFS('Solved Problems'!$Y$2:$Y$278,$A6)</f>
        <v/>
      </c>
      <c r="F6" s="4">
        <f>COUNTIFS('Other Problems'!$Y$2:$Y$119,$A6)</f>
        <v/>
      </c>
      <c r="G6" s="4">
        <f>COUNTIFS(Submissions!$B$2:$B$1621,$A6,Submissions!$H$2:$H$1621,"C++")</f>
        <v/>
      </c>
      <c r="H6" s="4">
        <f>COUNTIFS(Submissions!$B$2:$B$1621,$A6,Submissions!$H$2:$H$1621,"Python3")+COUNTIFS(Submissions!$B$2:$B$1621,$A6,Submissions!$H$2:$H$1621,"Python")</f>
        <v/>
      </c>
      <c r="I6" s="4">
        <f>COUNTIFS(Submissions!$B$2:$B$1621,$A6,Submissions!$H$2:$H$1621,"Java")</f>
        <v/>
      </c>
    </row>
    <row r="7">
      <c r="A7" s="4" t="inlineStr">
        <is>
          <t>2023-08</t>
        </is>
      </c>
      <c r="B7" s="4">
        <f>COUNTIFS(Submissions!$B$2:$B$1621,$A7)</f>
        <v/>
      </c>
      <c r="C7" s="4">
        <f>COUNTIFS(Submissions!$B$2:$B$1621,$A7,Submissions!$G$2:$G$1621,"Accepted")</f>
        <v/>
      </c>
      <c r="D7" s="5">
        <f>IF(B7=0,"",C7/B7)</f>
        <v/>
      </c>
      <c r="E7" s="4">
        <f>COUNTIFS('Solved Problems'!$Y$2:$Y$278,$A7)</f>
        <v/>
      </c>
      <c r="F7" s="4">
        <f>COUNTIFS('Other Problems'!$Y$2:$Y$119,$A7)</f>
        <v/>
      </c>
      <c r="G7" s="4">
        <f>COUNTIFS(Submissions!$B$2:$B$1621,$A7,Submissions!$H$2:$H$1621,"C++")</f>
        <v/>
      </c>
      <c r="H7" s="4">
        <f>COUNTIFS(Submissions!$B$2:$B$1621,$A7,Submissions!$H$2:$H$1621,"Python3")+COUNTIFS(Submissions!$B$2:$B$1621,$A7,Submissions!$H$2:$H$1621,"Python")</f>
        <v/>
      </c>
      <c r="I7" s="4">
        <f>COUNTIFS(Submissions!$B$2:$B$1621,$A7,Submissions!$H$2:$H$1621,"Java")</f>
        <v/>
      </c>
    </row>
    <row r="8">
      <c r="A8" s="4" t="inlineStr">
        <is>
          <t>2023-09</t>
        </is>
      </c>
      <c r="B8" s="4">
        <f>COUNTIFS(Submissions!$B$2:$B$1621,$A8)</f>
        <v/>
      </c>
      <c r="C8" s="4">
        <f>COUNTIFS(Submissions!$B$2:$B$1621,$A8,Submissions!$G$2:$G$1621,"Accepted")</f>
        <v/>
      </c>
      <c r="D8" s="5">
        <f>IF(B8=0,"",C8/B8)</f>
        <v/>
      </c>
      <c r="E8" s="4">
        <f>COUNTIFS('Solved Problems'!$Y$2:$Y$278,$A8)</f>
        <v/>
      </c>
      <c r="F8" s="4">
        <f>COUNTIFS('Other Problems'!$Y$2:$Y$119,$A8)</f>
        <v/>
      </c>
      <c r="G8" s="4">
        <f>COUNTIFS(Submissions!$B$2:$B$1621,$A8,Submissions!$H$2:$H$1621,"C++")</f>
        <v/>
      </c>
      <c r="H8" s="4">
        <f>COUNTIFS(Submissions!$B$2:$B$1621,$A8,Submissions!$H$2:$H$1621,"Python3")+COUNTIFS(Submissions!$B$2:$B$1621,$A8,Submissions!$H$2:$H$1621,"Python")</f>
        <v/>
      </c>
      <c r="I8" s="4">
        <f>COUNTIFS(Submissions!$B$2:$B$1621,$A8,Submissions!$H$2:$H$1621,"Java")</f>
        <v/>
      </c>
    </row>
    <row r="9">
      <c r="A9" s="4" t="inlineStr">
        <is>
          <t>2023-10</t>
        </is>
      </c>
      <c r="B9" s="4">
        <f>COUNTIFS(Submissions!$B$2:$B$1621,$A9)</f>
        <v/>
      </c>
      <c r="C9" s="4">
        <f>COUNTIFS(Submissions!$B$2:$B$1621,$A9,Submissions!$G$2:$G$1621,"Accepted")</f>
        <v/>
      </c>
      <c r="D9" s="5">
        <f>IF(B9=0,"",C9/B9)</f>
        <v/>
      </c>
      <c r="E9" s="4">
        <f>COUNTIFS('Solved Problems'!$Y$2:$Y$278,$A9)</f>
        <v/>
      </c>
      <c r="F9" s="4">
        <f>COUNTIFS('Other Problems'!$Y$2:$Y$119,$A9)</f>
        <v/>
      </c>
      <c r="G9" s="4">
        <f>COUNTIFS(Submissions!$B$2:$B$1621,$A9,Submissions!$H$2:$H$1621,"C++")</f>
        <v/>
      </c>
      <c r="H9" s="4">
        <f>COUNTIFS(Submissions!$B$2:$B$1621,$A9,Submissions!$H$2:$H$1621,"Python3")+COUNTIFS(Submissions!$B$2:$B$1621,$A9,Submissions!$H$2:$H$1621,"Python")</f>
        <v/>
      </c>
      <c r="I9" s="4">
        <f>COUNTIFS(Submissions!$B$2:$B$1621,$A9,Submissions!$H$2:$H$1621,"Java")</f>
        <v/>
      </c>
    </row>
    <row r="10">
      <c r="A10" s="4" t="inlineStr">
        <is>
          <t>2023-11</t>
        </is>
      </c>
      <c r="B10" s="4">
        <f>COUNTIFS(Submissions!$B$2:$B$1621,$A10)</f>
        <v/>
      </c>
      <c r="C10" s="4">
        <f>COUNTIFS(Submissions!$B$2:$B$1621,$A10,Submissions!$G$2:$G$1621,"Accepted")</f>
        <v/>
      </c>
      <c r="D10" s="5">
        <f>IF(B10=0,"",C10/B10)</f>
        <v/>
      </c>
      <c r="E10" s="4">
        <f>COUNTIFS('Solved Problems'!$Y$2:$Y$278,$A10)</f>
        <v/>
      </c>
      <c r="F10" s="4">
        <f>COUNTIFS('Other Problems'!$Y$2:$Y$119,$A10)</f>
        <v/>
      </c>
      <c r="G10" s="4">
        <f>COUNTIFS(Submissions!$B$2:$B$1621,$A10,Submissions!$H$2:$H$1621,"C++")</f>
        <v/>
      </c>
      <c r="H10" s="4">
        <f>COUNTIFS(Submissions!$B$2:$B$1621,$A10,Submissions!$H$2:$H$1621,"Python3")+COUNTIFS(Submissions!$B$2:$B$1621,$A10,Submissions!$H$2:$H$1621,"Python")</f>
        <v/>
      </c>
      <c r="I10" s="4">
        <f>COUNTIFS(Submissions!$B$2:$B$1621,$A10,Submissions!$H$2:$H$1621,"Java")</f>
        <v/>
      </c>
    </row>
    <row r="11">
      <c r="A11" s="4" t="inlineStr">
        <is>
          <t>2023-12</t>
        </is>
      </c>
      <c r="B11" s="4">
        <f>COUNTIFS(Submissions!$B$2:$B$1621,$A11)</f>
        <v/>
      </c>
      <c r="C11" s="4">
        <f>COUNTIFS(Submissions!$B$2:$B$1621,$A11,Submissions!$G$2:$G$1621,"Accepted")</f>
        <v/>
      </c>
      <c r="D11" s="5">
        <f>IF(B11=0,"",C11/B11)</f>
        <v/>
      </c>
      <c r="E11" s="4">
        <f>COUNTIFS('Solved Problems'!$Y$2:$Y$278,$A11)</f>
        <v/>
      </c>
      <c r="F11" s="4">
        <f>COUNTIFS('Other Problems'!$Y$2:$Y$119,$A11)</f>
        <v/>
      </c>
      <c r="G11" s="4">
        <f>COUNTIFS(Submissions!$B$2:$B$1621,$A11,Submissions!$H$2:$H$1621,"C++")</f>
        <v/>
      </c>
      <c r="H11" s="4">
        <f>COUNTIFS(Submissions!$B$2:$B$1621,$A11,Submissions!$H$2:$H$1621,"Python3")+COUNTIFS(Submissions!$B$2:$B$1621,$A11,Submissions!$H$2:$H$1621,"Python")</f>
        <v/>
      </c>
      <c r="I11" s="4">
        <f>COUNTIFS(Submissions!$B$2:$B$1621,$A11,Submissions!$H$2:$H$1621,"Java")</f>
        <v/>
      </c>
    </row>
    <row r="12">
      <c r="A12" s="4" t="inlineStr">
        <is>
          <t>2024-01</t>
        </is>
      </c>
      <c r="B12" s="4">
        <f>COUNTIFS(Submissions!$B$2:$B$1621,$A12)</f>
        <v/>
      </c>
      <c r="C12" s="4">
        <f>COUNTIFS(Submissions!$B$2:$B$1621,$A12,Submissions!$G$2:$G$1621,"Accepted")</f>
        <v/>
      </c>
      <c r="D12" s="5">
        <f>IF(B12=0,"",C12/B12)</f>
        <v/>
      </c>
      <c r="E12" s="4">
        <f>COUNTIFS('Solved Problems'!$Y$2:$Y$278,$A12)</f>
        <v/>
      </c>
      <c r="F12" s="4">
        <f>COUNTIFS('Other Problems'!$Y$2:$Y$119,$A12)</f>
        <v/>
      </c>
      <c r="G12" s="4">
        <f>COUNTIFS(Submissions!$B$2:$B$1621,$A12,Submissions!$H$2:$H$1621,"C++")</f>
        <v/>
      </c>
      <c r="H12" s="4">
        <f>COUNTIFS(Submissions!$B$2:$B$1621,$A12,Submissions!$H$2:$H$1621,"Python3")+COUNTIFS(Submissions!$B$2:$B$1621,$A12,Submissions!$H$2:$H$1621,"Python")</f>
        <v/>
      </c>
      <c r="I12" s="4">
        <f>COUNTIFS(Submissions!$B$2:$B$1621,$A12,Submissions!$H$2:$H$1621,"Java")</f>
        <v/>
      </c>
    </row>
    <row r="13">
      <c r="A13" s="4" t="inlineStr">
        <is>
          <t>2024-02</t>
        </is>
      </c>
      <c r="B13" s="4">
        <f>COUNTIFS(Submissions!$B$2:$B$1621,$A13)</f>
        <v/>
      </c>
      <c r="C13" s="4">
        <f>COUNTIFS(Submissions!$B$2:$B$1621,$A13,Submissions!$G$2:$G$1621,"Accepted")</f>
        <v/>
      </c>
      <c r="D13" s="5">
        <f>IF(B13=0,"",C13/B13)</f>
        <v/>
      </c>
      <c r="E13" s="4">
        <f>COUNTIFS('Solved Problems'!$Y$2:$Y$278,$A13)</f>
        <v/>
      </c>
      <c r="F13" s="4">
        <f>COUNTIFS('Other Problems'!$Y$2:$Y$119,$A13)</f>
        <v/>
      </c>
      <c r="G13" s="4">
        <f>COUNTIFS(Submissions!$B$2:$B$1621,$A13,Submissions!$H$2:$H$1621,"C++")</f>
        <v/>
      </c>
      <c r="H13" s="4">
        <f>COUNTIFS(Submissions!$B$2:$B$1621,$A13,Submissions!$H$2:$H$1621,"Python3")+COUNTIFS(Submissions!$B$2:$B$1621,$A13,Submissions!$H$2:$H$1621,"Python")</f>
        <v/>
      </c>
      <c r="I13" s="4">
        <f>COUNTIFS(Submissions!$B$2:$B$1621,$A13,Submissions!$H$2:$H$1621,"Java")</f>
        <v/>
      </c>
    </row>
    <row r="14">
      <c r="A14" s="4" t="inlineStr">
        <is>
          <t>2024-03</t>
        </is>
      </c>
      <c r="B14" s="4">
        <f>COUNTIFS(Submissions!$B$2:$B$1621,$A14)</f>
        <v/>
      </c>
      <c r="C14" s="4">
        <f>COUNTIFS(Submissions!$B$2:$B$1621,$A14,Submissions!$G$2:$G$1621,"Accepted")</f>
        <v/>
      </c>
      <c r="D14" s="5">
        <f>IF(B14=0,"",C14/B14)</f>
        <v/>
      </c>
      <c r="E14" s="4">
        <f>COUNTIFS('Solved Problems'!$Y$2:$Y$278,$A14)</f>
        <v/>
      </c>
      <c r="F14" s="4">
        <f>COUNTIFS('Other Problems'!$Y$2:$Y$119,$A14)</f>
        <v/>
      </c>
      <c r="G14" s="4">
        <f>COUNTIFS(Submissions!$B$2:$B$1621,$A14,Submissions!$H$2:$H$1621,"C++")</f>
        <v/>
      </c>
      <c r="H14" s="4">
        <f>COUNTIFS(Submissions!$B$2:$B$1621,$A14,Submissions!$H$2:$H$1621,"Python3")+COUNTIFS(Submissions!$B$2:$B$1621,$A14,Submissions!$H$2:$H$1621,"Python")</f>
        <v/>
      </c>
      <c r="I14" s="4">
        <f>COUNTIFS(Submissions!$B$2:$B$1621,$A14,Submissions!$H$2:$H$1621,"Java")</f>
        <v/>
      </c>
    </row>
    <row r="15">
      <c r="A15" s="4" t="inlineStr">
        <is>
          <t>2024-04</t>
        </is>
      </c>
      <c r="B15" s="4">
        <f>COUNTIFS(Submissions!$B$2:$B$1621,$A15)</f>
        <v/>
      </c>
      <c r="C15" s="4">
        <f>COUNTIFS(Submissions!$B$2:$B$1621,$A15,Submissions!$G$2:$G$1621,"Accepted")</f>
        <v/>
      </c>
      <c r="D15" s="5">
        <f>IF(B15=0,"",C15/B15)</f>
        <v/>
      </c>
      <c r="E15" s="4">
        <f>COUNTIFS('Solved Problems'!$Y$2:$Y$278,$A15)</f>
        <v/>
      </c>
      <c r="F15" s="4">
        <f>COUNTIFS('Other Problems'!$Y$2:$Y$119,$A15)</f>
        <v/>
      </c>
      <c r="G15" s="4">
        <f>COUNTIFS(Submissions!$B$2:$B$1621,$A15,Submissions!$H$2:$H$1621,"C++")</f>
        <v/>
      </c>
      <c r="H15" s="4">
        <f>COUNTIFS(Submissions!$B$2:$B$1621,$A15,Submissions!$H$2:$H$1621,"Python3")+COUNTIFS(Submissions!$B$2:$B$1621,$A15,Submissions!$H$2:$H$1621,"Python")</f>
        <v/>
      </c>
      <c r="I15" s="4">
        <f>COUNTIFS(Submissions!$B$2:$B$1621,$A15,Submissions!$H$2:$H$1621,"Java")</f>
        <v/>
      </c>
    </row>
    <row r="16">
      <c r="A16" s="4" t="inlineStr">
        <is>
          <t>2024-05</t>
        </is>
      </c>
      <c r="B16" s="4">
        <f>COUNTIFS(Submissions!$B$2:$B$1621,$A16)</f>
        <v/>
      </c>
      <c r="C16" s="4">
        <f>COUNTIFS(Submissions!$B$2:$B$1621,$A16,Submissions!$G$2:$G$1621,"Accepted")</f>
        <v/>
      </c>
      <c r="D16" s="5">
        <f>IF(B16=0,"",C16/B16)</f>
        <v/>
      </c>
      <c r="E16" s="4">
        <f>COUNTIFS('Solved Problems'!$Y$2:$Y$278,$A16)</f>
        <v/>
      </c>
      <c r="F16" s="4">
        <f>COUNTIFS('Other Problems'!$Y$2:$Y$119,$A16)</f>
        <v/>
      </c>
      <c r="G16" s="4">
        <f>COUNTIFS(Submissions!$B$2:$B$1621,$A16,Submissions!$H$2:$H$1621,"C++")</f>
        <v/>
      </c>
      <c r="H16" s="4">
        <f>COUNTIFS(Submissions!$B$2:$B$1621,$A16,Submissions!$H$2:$H$1621,"Python3")+COUNTIFS(Submissions!$B$2:$B$1621,$A16,Submissions!$H$2:$H$1621,"Python")</f>
        <v/>
      </c>
      <c r="I16" s="4">
        <f>COUNTIFS(Submissions!$B$2:$B$1621,$A16,Submissions!$H$2:$H$1621,"Java")</f>
        <v/>
      </c>
    </row>
    <row r="17">
      <c r="A17" s="4" t="inlineStr">
        <is>
          <t>2024-06</t>
        </is>
      </c>
      <c r="B17" s="4">
        <f>COUNTIFS(Submissions!$B$2:$B$1621,$A17)</f>
        <v/>
      </c>
      <c r="C17" s="4">
        <f>COUNTIFS(Submissions!$B$2:$B$1621,$A17,Submissions!$G$2:$G$1621,"Accepted")</f>
        <v/>
      </c>
      <c r="D17" s="5">
        <f>IF(B17=0,"",C17/B17)</f>
        <v/>
      </c>
      <c r="E17" s="4">
        <f>COUNTIFS('Solved Problems'!$Y$2:$Y$278,$A17)</f>
        <v/>
      </c>
      <c r="F17" s="4">
        <f>COUNTIFS('Other Problems'!$Y$2:$Y$119,$A17)</f>
        <v/>
      </c>
      <c r="G17" s="4">
        <f>COUNTIFS(Submissions!$B$2:$B$1621,$A17,Submissions!$H$2:$H$1621,"C++")</f>
        <v/>
      </c>
      <c r="H17" s="4">
        <f>COUNTIFS(Submissions!$B$2:$B$1621,$A17,Submissions!$H$2:$H$1621,"Python3")+COUNTIFS(Submissions!$B$2:$B$1621,$A17,Submissions!$H$2:$H$1621,"Python")</f>
        <v/>
      </c>
      <c r="I17" s="4">
        <f>COUNTIFS(Submissions!$B$2:$B$1621,$A17,Submissions!$H$2:$H$1621,"Java")</f>
        <v/>
      </c>
    </row>
    <row r="18">
      <c r="A18" s="4" t="inlineStr">
        <is>
          <t>2024-07</t>
        </is>
      </c>
      <c r="B18" s="4">
        <f>COUNTIFS(Submissions!$B$2:$B$1621,$A18)</f>
        <v/>
      </c>
      <c r="C18" s="4">
        <f>COUNTIFS(Submissions!$B$2:$B$1621,$A18,Submissions!$G$2:$G$1621,"Accepted")</f>
        <v/>
      </c>
      <c r="D18" s="5">
        <f>IF(B18=0,"",C18/B18)</f>
        <v/>
      </c>
      <c r="E18" s="4">
        <f>COUNTIFS('Solved Problems'!$Y$2:$Y$278,$A18)</f>
        <v/>
      </c>
      <c r="F18" s="4">
        <f>COUNTIFS('Other Problems'!$Y$2:$Y$119,$A18)</f>
        <v/>
      </c>
      <c r="G18" s="4">
        <f>COUNTIFS(Submissions!$B$2:$B$1621,$A18,Submissions!$H$2:$H$1621,"C++")</f>
        <v/>
      </c>
      <c r="H18" s="4">
        <f>COUNTIFS(Submissions!$B$2:$B$1621,$A18,Submissions!$H$2:$H$1621,"Python3")+COUNTIFS(Submissions!$B$2:$B$1621,$A18,Submissions!$H$2:$H$1621,"Python")</f>
        <v/>
      </c>
      <c r="I18" s="4">
        <f>COUNTIFS(Submissions!$B$2:$B$1621,$A18,Submissions!$H$2:$H$1621,"Java")</f>
        <v/>
      </c>
    </row>
    <row r="19">
      <c r="A19" s="4" t="inlineStr">
        <is>
          <t>2024-08</t>
        </is>
      </c>
      <c r="B19" s="4">
        <f>COUNTIFS(Submissions!$B$2:$B$1621,$A19)</f>
        <v/>
      </c>
      <c r="C19" s="4">
        <f>COUNTIFS(Submissions!$B$2:$B$1621,$A19,Submissions!$G$2:$G$1621,"Accepted")</f>
        <v/>
      </c>
      <c r="D19" s="5">
        <f>IF(B19=0,"",C19/B19)</f>
        <v/>
      </c>
      <c r="E19" s="4">
        <f>COUNTIFS('Solved Problems'!$Y$2:$Y$278,$A19)</f>
        <v/>
      </c>
      <c r="F19" s="4">
        <f>COUNTIFS('Other Problems'!$Y$2:$Y$119,$A19)</f>
        <v/>
      </c>
      <c r="G19" s="4">
        <f>COUNTIFS(Submissions!$B$2:$B$1621,$A19,Submissions!$H$2:$H$1621,"C++")</f>
        <v/>
      </c>
      <c r="H19" s="4">
        <f>COUNTIFS(Submissions!$B$2:$B$1621,$A19,Submissions!$H$2:$H$1621,"Python3")+COUNTIFS(Submissions!$B$2:$B$1621,$A19,Submissions!$H$2:$H$1621,"Python")</f>
        <v/>
      </c>
      <c r="I19" s="4">
        <f>COUNTIFS(Submissions!$B$2:$B$1621,$A19,Submissions!$H$2:$H$1621,"Java")</f>
        <v/>
      </c>
    </row>
    <row r="20">
      <c r="A20" s="4" t="inlineStr">
        <is>
          <t>2024-09</t>
        </is>
      </c>
      <c r="B20" s="4">
        <f>COUNTIFS(Submissions!$B$2:$B$1621,$A20)</f>
        <v/>
      </c>
      <c r="C20" s="4">
        <f>COUNTIFS(Submissions!$B$2:$B$1621,$A20,Submissions!$G$2:$G$1621,"Accepted")</f>
        <v/>
      </c>
      <c r="D20" s="5">
        <f>IF(B20=0,"",C20/B20)</f>
        <v/>
      </c>
      <c r="E20" s="4">
        <f>COUNTIFS('Solved Problems'!$Y$2:$Y$278,$A20)</f>
        <v/>
      </c>
      <c r="F20" s="4">
        <f>COUNTIFS('Other Problems'!$Y$2:$Y$119,$A20)</f>
        <v/>
      </c>
      <c r="G20" s="4">
        <f>COUNTIFS(Submissions!$B$2:$B$1621,$A20,Submissions!$H$2:$H$1621,"C++")</f>
        <v/>
      </c>
      <c r="H20" s="4">
        <f>COUNTIFS(Submissions!$B$2:$B$1621,$A20,Submissions!$H$2:$H$1621,"Python3")+COUNTIFS(Submissions!$B$2:$B$1621,$A20,Submissions!$H$2:$H$1621,"Python")</f>
        <v/>
      </c>
      <c r="I20" s="4">
        <f>COUNTIFS(Submissions!$B$2:$B$1621,$A20,Submissions!$H$2:$H$1621,"Java")</f>
        <v/>
      </c>
    </row>
    <row r="21">
      <c r="A21" s="4" t="inlineStr">
        <is>
          <t>2024-10</t>
        </is>
      </c>
      <c r="B21" s="4">
        <f>COUNTIFS(Submissions!$B$2:$B$1621,$A21)</f>
        <v/>
      </c>
      <c r="C21" s="4">
        <f>COUNTIFS(Submissions!$B$2:$B$1621,$A21,Submissions!$G$2:$G$1621,"Accepted")</f>
        <v/>
      </c>
      <c r="D21" s="5">
        <f>IF(B21=0,"",C21/B21)</f>
        <v/>
      </c>
      <c r="E21" s="4">
        <f>COUNTIFS('Solved Problems'!$Y$2:$Y$278,$A21)</f>
        <v/>
      </c>
      <c r="F21" s="4">
        <f>COUNTIFS('Other Problems'!$Y$2:$Y$119,$A21)</f>
        <v/>
      </c>
      <c r="G21" s="4">
        <f>COUNTIFS(Submissions!$B$2:$B$1621,$A21,Submissions!$H$2:$H$1621,"C++")</f>
        <v/>
      </c>
      <c r="H21" s="4">
        <f>COUNTIFS(Submissions!$B$2:$B$1621,$A21,Submissions!$H$2:$H$1621,"Python3")+COUNTIFS(Submissions!$B$2:$B$1621,$A21,Submissions!$H$2:$H$1621,"Python")</f>
        <v/>
      </c>
      <c r="I21" s="4">
        <f>COUNTIFS(Submissions!$B$2:$B$1621,$A21,Submissions!$H$2:$H$1621,"Java")</f>
        <v/>
      </c>
    </row>
    <row r="22">
      <c r="A22" s="4" t="inlineStr">
        <is>
          <t>2024-11</t>
        </is>
      </c>
      <c r="B22" s="4">
        <f>COUNTIFS(Submissions!$B$2:$B$1621,$A22)</f>
        <v/>
      </c>
      <c r="C22" s="4">
        <f>COUNTIFS(Submissions!$B$2:$B$1621,$A22,Submissions!$G$2:$G$1621,"Accepted")</f>
        <v/>
      </c>
      <c r="D22" s="5">
        <f>IF(B22=0,"",C22/B22)</f>
        <v/>
      </c>
      <c r="E22" s="4">
        <f>COUNTIFS('Solved Problems'!$Y$2:$Y$278,$A22)</f>
        <v/>
      </c>
      <c r="F22" s="4">
        <f>COUNTIFS('Other Problems'!$Y$2:$Y$119,$A22)</f>
        <v/>
      </c>
      <c r="G22" s="4">
        <f>COUNTIFS(Submissions!$B$2:$B$1621,$A22,Submissions!$H$2:$H$1621,"C++")</f>
        <v/>
      </c>
      <c r="H22" s="4">
        <f>COUNTIFS(Submissions!$B$2:$B$1621,$A22,Submissions!$H$2:$H$1621,"Python3")+COUNTIFS(Submissions!$B$2:$B$1621,$A22,Submissions!$H$2:$H$1621,"Python")</f>
        <v/>
      </c>
      <c r="I22" s="4">
        <f>COUNTIFS(Submissions!$B$2:$B$1621,$A22,Submissions!$H$2:$H$1621,"Java")</f>
        <v/>
      </c>
    </row>
    <row r="23">
      <c r="A23" s="4" t="inlineStr">
        <is>
          <t>2024-12</t>
        </is>
      </c>
      <c r="B23" s="4">
        <f>COUNTIFS(Submissions!$B$2:$B$1621,$A23)</f>
        <v/>
      </c>
      <c r="C23" s="4">
        <f>COUNTIFS(Submissions!$B$2:$B$1621,$A23,Submissions!$G$2:$G$1621,"Accepted")</f>
        <v/>
      </c>
      <c r="D23" s="5">
        <f>IF(B23=0,"",C23/B23)</f>
        <v/>
      </c>
      <c r="E23" s="4">
        <f>COUNTIFS('Solved Problems'!$Y$2:$Y$278,$A23)</f>
        <v/>
      </c>
      <c r="F23" s="4">
        <f>COUNTIFS('Other Problems'!$Y$2:$Y$119,$A23)</f>
        <v/>
      </c>
      <c r="G23" s="4">
        <f>COUNTIFS(Submissions!$B$2:$B$1621,$A23,Submissions!$H$2:$H$1621,"C++")</f>
        <v/>
      </c>
      <c r="H23" s="4">
        <f>COUNTIFS(Submissions!$B$2:$B$1621,$A23,Submissions!$H$2:$H$1621,"Python3")+COUNTIFS(Submissions!$B$2:$B$1621,$A23,Submissions!$H$2:$H$1621,"Python")</f>
        <v/>
      </c>
      <c r="I23" s="4">
        <f>COUNTIFS(Submissions!$B$2:$B$1621,$A23,Submissions!$H$2:$H$1621,"Java")</f>
        <v/>
      </c>
    </row>
    <row r="24">
      <c r="A24" s="4" t="inlineStr">
        <is>
          <t>2025-01</t>
        </is>
      </c>
      <c r="B24" s="4">
        <f>COUNTIFS(Submissions!$B$2:$B$1621,$A24)</f>
        <v/>
      </c>
      <c r="C24" s="4">
        <f>COUNTIFS(Submissions!$B$2:$B$1621,$A24,Submissions!$G$2:$G$1621,"Accepted")</f>
        <v/>
      </c>
      <c r="D24" s="5">
        <f>IF(B24=0,"",C24/B24)</f>
        <v/>
      </c>
      <c r="E24" s="4">
        <f>COUNTIFS('Solved Problems'!$Y$2:$Y$278,$A24)</f>
        <v/>
      </c>
      <c r="F24" s="4">
        <f>COUNTIFS('Other Problems'!$Y$2:$Y$119,$A24)</f>
        <v/>
      </c>
      <c r="G24" s="4">
        <f>COUNTIFS(Submissions!$B$2:$B$1621,$A24,Submissions!$H$2:$H$1621,"C++")</f>
        <v/>
      </c>
      <c r="H24" s="4">
        <f>COUNTIFS(Submissions!$B$2:$B$1621,$A24,Submissions!$H$2:$H$1621,"Python3")+COUNTIFS(Submissions!$B$2:$B$1621,$A24,Submissions!$H$2:$H$1621,"Python")</f>
        <v/>
      </c>
      <c r="I24" s="4">
        <f>COUNTIFS(Submissions!$B$2:$B$1621,$A24,Submissions!$H$2:$H$1621,"Java")</f>
        <v/>
      </c>
    </row>
    <row r="25">
      <c r="A25" s="4" t="inlineStr">
        <is>
          <t>2025-02</t>
        </is>
      </c>
      <c r="B25" s="4">
        <f>COUNTIFS(Submissions!$B$2:$B$1621,$A25)</f>
        <v/>
      </c>
      <c r="C25" s="4">
        <f>COUNTIFS(Submissions!$B$2:$B$1621,$A25,Submissions!$G$2:$G$1621,"Accepted")</f>
        <v/>
      </c>
      <c r="D25" s="5">
        <f>IF(B25=0,"",C25/B25)</f>
        <v/>
      </c>
      <c r="E25" s="4">
        <f>COUNTIFS('Solved Problems'!$Y$2:$Y$278,$A25)</f>
        <v/>
      </c>
      <c r="F25" s="4">
        <f>COUNTIFS('Other Problems'!$Y$2:$Y$119,$A25)</f>
        <v/>
      </c>
      <c r="G25" s="4">
        <f>COUNTIFS(Submissions!$B$2:$B$1621,$A25,Submissions!$H$2:$H$1621,"C++")</f>
        <v/>
      </c>
      <c r="H25" s="4">
        <f>COUNTIFS(Submissions!$B$2:$B$1621,$A25,Submissions!$H$2:$H$1621,"Python3")+COUNTIFS(Submissions!$B$2:$B$1621,$A25,Submissions!$H$2:$H$1621,"Python")</f>
        <v/>
      </c>
      <c r="I25" s="4">
        <f>COUNTIFS(Submissions!$B$2:$B$1621,$A25,Submissions!$H$2:$H$1621,"Java")</f>
        <v/>
      </c>
    </row>
    <row r="26">
      <c r="A26" s="4" t="inlineStr">
        <is>
          <t>2025-03</t>
        </is>
      </c>
      <c r="B26" s="4">
        <f>COUNTIFS(Submissions!$B$2:$B$1621,$A26)</f>
        <v/>
      </c>
      <c r="C26" s="4">
        <f>COUNTIFS(Submissions!$B$2:$B$1621,$A26,Submissions!$G$2:$G$1621,"Accepted")</f>
        <v/>
      </c>
      <c r="D26" s="5">
        <f>IF(B26=0,"",C26/B26)</f>
        <v/>
      </c>
      <c r="E26" s="4">
        <f>COUNTIFS('Solved Problems'!$Y$2:$Y$278,$A26)</f>
        <v/>
      </c>
      <c r="F26" s="4">
        <f>COUNTIFS('Other Problems'!$Y$2:$Y$119,$A26)</f>
        <v/>
      </c>
      <c r="G26" s="4">
        <f>COUNTIFS(Submissions!$B$2:$B$1621,$A26,Submissions!$H$2:$H$1621,"C++")</f>
        <v/>
      </c>
      <c r="H26" s="4">
        <f>COUNTIFS(Submissions!$B$2:$B$1621,$A26,Submissions!$H$2:$H$1621,"Python3")+COUNTIFS(Submissions!$B$2:$B$1621,$A26,Submissions!$H$2:$H$1621,"Python")</f>
        <v/>
      </c>
      <c r="I26" s="4">
        <f>COUNTIFS(Submissions!$B$2:$B$1621,$A26,Submissions!$H$2:$H$1621,"Java")</f>
        <v/>
      </c>
    </row>
    <row r="27">
      <c r="A27" s="4" t="inlineStr">
        <is>
          <t>2025-04</t>
        </is>
      </c>
      <c r="B27" s="4">
        <f>COUNTIFS(Submissions!$B$2:$B$1621,$A27)</f>
        <v/>
      </c>
      <c r="C27" s="4">
        <f>COUNTIFS(Submissions!$B$2:$B$1621,$A27,Submissions!$G$2:$G$1621,"Accepted")</f>
        <v/>
      </c>
      <c r="D27" s="5">
        <f>IF(B27=0,"",C27/B27)</f>
        <v/>
      </c>
      <c r="E27" s="4">
        <f>COUNTIFS('Solved Problems'!$Y$2:$Y$278,$A27)</f>
        <v/>
      </c>
      <c r="F27" s="4">
        <f>COUNTIFS('Other Problems'!$Y$2:$Y$119,$A27)</f>
        <v/>
      </c>
      <c r="G27" s="4">
        <f>COUNTIFS(Submissions!$B$2:$B$1621,$A27,Submissions!$H$2:$H$1621,"C++")</f>
        <v/>
      </c>
      <c r="H27" s="4">
        <f>COUNTIFS(Submissions!$B$2:$B$1621,$A27,Submissions!$H$2:$H$1621,"Python3")+COUNTIFS(Submissions!$B$2:$B$1621,$A27,Submissions!$H$2:$H$1621,"Python")</f>
        <v/>
      </c>
      <c r="I27" s="4">
        <f>COUNTIFS(Submissions!$B$2:$B$1621,$A27,Submissions!$H$2:$H$1621,"Java")</f>
        <v/>
      </c>
    </row>
    <row r="28">
      <c r="A28" s="4" t="inlineStr">
        <is>
          <t>2025-05</t>
        </is>
      </c>
      <c r="B28" s="4">
        <f>COUNTIFS(Submissions!$B$2:$B$1621,$A28)</f>
        <v/>
      </c>
      <c r="C28" s="4">
        <f>COUNTIFS(Submissions!$B$2:$B$1621,$A28,Submissions!$G$2:$G$1621,"Accepted")</f>
        <v/>
      </c>
      <c r="D28" s="5">
        <f>IF(B28=0,"",C28/B28)</f>
        <v/>
      </c>
      <c r="E28" s="4">
        <f>COUNTIFS('Solved Problems'!$Y$2:$Y$278,$A28)</f>
        <v/>
      </c>
      <c r="F28" s="4">
        <f>COUNTIFS('Other Problems'!$Y$2:$Y$119,$A28)</f>
        <v/>
      </c>
      <c r="G28" s="4">
        <f>COUNTIFS(Submissions!$B$2:$B$1621,$A28,Submissions!$H$2:$H$1621,"C++")</f>
        <v/>
      </c>
      <c r="H28" s="4">
        <f>COUNTIFS(Submissions!$B$2:$B$1621,$A28,Submissions!$H$2:$H$1621,"Python3")+COUNTIFS(Submissions!$B$2:$B$1621,$A28,Submissions!$H$2:$H$1621,"Python")</f>
        <v/>
      </c>
      <c r="I28" s="4">
        <f>COUNTIFS(Submissions!$B$2:$B$1621,$A28,Submissions!$H$2:$H$1621,"Java")</f>
        <v/>
      </c>
    </row>
    <row r="29">
      <c r="A29" s="4" t="inlineStr">
        <is>
          <t>2025-06</t>
        </is>
      </c>
      <c r="B29" s="4">
        <f>COUNTIFS(Submissions!$B$2:$B$1621,$A29)</f>
        <v/>
      </c>
      <c r="C29" s="4">
        <f>COUNTIFS(Submissions!$B$2:$B$1621,$A29,Submissions!$G$2:$G$1621,"Accepted")</f>
        <v/>
      </c>
      <c r="D29" s="5">
        <f>IF(B29=0,"",C29/B29)</f>
        <v/>
      </c>
      <c r="E29" s="4">
        <f>COUNTIFS('Solved Problems'!$Y$2:$Y$278,$A29)</f>
        <v/>
      </c>
      <c r="F29" s="4">
        <f>COUNTIFS('Other Problems'!$Y$2:$Y$119,$A29)</f>
        <v/>
      </c>
      <c r="G29" s="4">
        <f>COUNTIFS(Submissions!$B$2:$B$1621,$A29,Submissions!$H$2:$H$1621,"C++")</f>
        <v/>
      </c>
      <c r="H29" s="4">
        <f>COUNTIFS(Submissions!$B$2:$B$1621,$A29,Submissions!$H$2:$H$1621,"Python3")+COUNTIFS(Submissions!$B$2:$B$1621,$A29,Submissions!$H$2:$H$1621,"Python")</f>
        <v/>
      </c>
      <c r="I29" s="4">
        <f>COUNTIFS(Submissions!$B$2:$B$1621,$A29,Submissions!$H$2:$H$1621,"Java")</f>
        <v/>
      </c>
    </row>
    <row r="30">
      <c r="A30" s="4" t="inlineStr">
        <is>
          <t>2025-07</t>
        </is>
      </c>
      <c r="B30" s="4">
        <f>COUNTIFS(Submissions!$B$2:$B$1621,$A30)</f>
        <v/>
      </c>
      <c r="C30" s="4">
        <f>COUNTIFS(Submissions!$B$2:$B$1621,$A30,Submissions!$G$2:$G$1621,"Accepted")</f>
        <v/>
      </c>
      <c r="D30" s="5">
        <f>IF(B30=0,"",C30/B30)</f>
        <v/>
      </c>
      <c r="E30" s="4">
        <f>COUNTIFS('Solved Problems'!$Y$2:$Y$278,$A30)</f>
        <v/>
      </c>
      <c r="F30" s="4">
        <f>COUNTIFS('Other Problems'!$Y$2:$Y$119,$A30)</f>
        <v/>
      </c>
      <c r="G30" s="4">
        <f>COUNTIFS(Submissions!$B$2:$B$1621,$A30,Submissions!$H$2:$H$1621,"C++")</f>
        <v/>
      </c>
      <c r="H30" s="4">
        <f>COUNTIFS(Submissions!$B$2:$B$1621,$A30,Submissions!$H$2:$H$1621,"Python3")+COUNTIFS(Submissions!$B$2:$B$1621,$A30,Submissions!$H$2:$H$1621,"Python")</f>
        <v/>
      </c>
      <c r="I30" s="4">
        <f>COUNTIFS(Submissions!$B$2:$B$1621,$A30,Submissions!$H$2:$H$1621,"Java")</f>
        <v/>
      </c>
    </row>
    <row r="31">
      <c r="A31" s="4" t="inlineStr">
        <is>
          <t>2025-08</t>
        </is>
      </c>
      <c r="B31" s="4">
        <f>COUNTIFS(Submissions!$B$2:$B$1621,$A31)</f>
        <v/>
      </c>
      <c r="C31" s="4">
        <f>COUNTIFS(Submissions!$B$2:$B$1621,$A31,Submissions!$G$2:$G$1621,"Accepted")</f>
        <v/>
      </c>
      <c r="D31" s="5">
        <f>IF(B31=0,"",C31/B31)</f>
        <v/>
      </c>
      <c r="E31" s="4">
        <f>COUNTIFS('Solved Problems'!$Y$2:$Y$278,$A31)</f>
        <v/>
      </c>
      <c r="F31" s="4">
        <f>COUNTIFS('Other Problems'!$Y$2:$Y$119,$A31)</f>
        <v/>
      </c>
      <c r="G31" s="4">
        <f>COUNTIFS(Submissions!$B$2:$B$1621,$A31,Submissions!$H$2:$H$1621,"C++")</f>
        <v/>
      </c>
      <c r="H31" s="4">
        <f>COUNTIFS(Submissions!$B$2:$B$1621,$A31,Submissions!$H$2:$H$1621,"Python3")+COUNTIFS(Submissions!$B$2:$B$1621,$A31,Submissions!$H$2:$H$1621,"Python")</f>
        <v/>
      </c>
      <c r="I31" s="4">
        <f>COUNTIFS(Submissions!$B$2:$B$1621,$A31,Submissions!$H$2:$H$1621,"Java")</f>
        <v/>
      </c>
    </row>
    <row r="32">
      <c r="A32" s="4" t="inlineStr">
        <is>
          <t>2025-09</t>
        </is>
      </c>
      <c r="B32" s="4">
        <f>COUNTIFS(Submissions!$B$2:$B$1621,$A32)</f>
        <v/>
      </c>
      <c r="C32" s="4">
        <f>COUNTIFS(Submissions!$B$2:$B$1621,$A32,Submissions!$G$2:$G$1621,"Accepted")</f>
        <v/>
      </c>
      <c r="D32" s="5">
        <f>IF(B32=0,"",C32/B32)</f>
        <v/>
      </c>
      <c r="E32" s="4">
        <f>COUNTIFS('Solved Problems'!$Y$2:$Y$278,$A32)</f>
        <v/>
      </c>
      <c r="F32" s="4">
        <f>COUNTIFS('Other Problems'!$Y$2:$Y$119,$A32)</f>
        <v/>
      </c>
      <c r="G32" s="4">
        <f>COUNTIFS(Submissions!$B$2:$B$1621,$A32,Submissions!$H$2:$H$1621,"C++")</f>
        <v/>
      </c>
      <c r="H32" s="4">
        <f>COUNTIFS(Submissions!$B$2:$B$1621,$A32,Submissions!$H$2:$H$1621,"Python3")+COUNTIFS(Submissions!$B$2:$B$1621,$A32,Submissions!$H$2:$H$1621,"Python")</f>
        <v/>
      </c>
      <c r="I32" s="4">
        <f>COUNTIFS(Submissions!$B$2:$B$1621,$A32,Submissions!$H$2:$H$1621,"Java")</f>
        <v/>
      </c>
    </row>
    <row r="33">
      <c r="A33" s="4" t="inlineStr">
        <is>
          <t>2025-10</t>
        </is>
      </c>
      <c r="B33" s="4">
        <f>COUNTIFS(Submissions!$B$2:$B$1621,$A33)</f>
        <v/>
      </c>
      <c r="C33" s="4">
        <f>COUNTIFS(Submissions!$B$2:$B$1621,$A33,Submissions!$G$2:$G$1621,"Accepted")</f>
        <v/>
      </c>
      <c r="D33" s="5">
        <f>IF(B33=0,"",C33/B33)</f>
        <v/>
      </c>
      <c r="E33" s="4">
        <f>COUNTIFS('Solved Problems'!$Y$2:$Y$278,$A33)</f>
        <v/>
      </c>
      <c r="F33" s="4">
        <f>COUNTIFS('Other Problems'!$Y$2:$Y$119,$A33)</f>
        <v/>
      </c>
      <c r="G33" s="4">
        <f>COUNTIFS(Submissions!$B$2:$B$1621,$A33,Submissions!$H$2:$H$1621,"C++")</f>
        <v/>
      </c>
      <c r="H33" s="4">
        <f>COUNTIFS(Submissions!$B$2:$B$1621,$A33,Submissions!$H$2:$H$1621,"Python3")+COUNTIFS(Submissions!$B$2:$B$1621,$A33,Submissions!$H$2:$H$1621,"Python")</f>
        <v/>
      </c>
      <c r="I33" s="4">
        <f>COUNTIFS(Submissions!$B$2:$B$1621,$A33,Submissions!$H$2:$H$1621,"Java")</f>
        <v/>
      </c>
    </row>
    <row r="34">
      <c r="A34" s="4" t="inlineStr">
        <is>
          <t>2025-11</t>
        </is>
      </c>
      <c r="B34" s="4">
        <f>COUNTIFS(Submissions!$B$2:$B$1621,$A34)</f>
        <v/>
      </c>
      <c r="C34" s="4">
        <f>COUNTIFS(Submissions!$B$2:$B$1621,$A34,Submissions!$G$2:$G$1621,"Accepted")</f>
        <v/>
      </c>
      <c r="D34" s="5">
        <f>IF(B34=0,"",C34/B34)</f>
        <v/>
      </c>
      <c r="E34" s="4">
        <f>COUNTIFS('Solved Problems'!$Y$2:$Y$278,$A34)</f>
        <v/>
      </c>
      <c r="F34" s="4">
        <f>COUNTIFS('Other Problems'!$Y$2:$Y$119,$A34)</f>
        <v/>
      </c>
      <c r="G34" s="4">
        <f>COUNTIFS(Submissions!$B$2:$B$1621,$A34,Submissions!$H$2:$H$1621,"C++")</f>
        <v/>
      </c>
      <c r="H34" s="4">
        <f>COUNTIFS(Submissions!$B$2:$B$1621,$A34,Submissions!$H$2:$H$1621,"Python3")+COUNTIFS(Submissions!$B$2:$B$1621,$A34,Submissions!$H$2:$H$1621,"Python")</f>
        <v/>
      </c>
      <c r="I34" s="4">
        <f>COUNTIFS(Submissions!$B$2:$B$1621,$A34,Submissions!$H$2:$H$1621,"Java")</f>
        <v/>
      </c>
    </row>
    <row r="35">
      <c r="A35" s="4" t="inlineStr">
        <is>
          <t>2025-12</t>
        </is>
      </c>
      <c r="B35" s="4">
        <f>COUNTIFS(Submissions!$B$2:$B$1621,$A35)</f>
        <v/>
      </c>
      <c r="C35" s="4">
        <f>COUNTIFS(Submissions!$B$2:$B$1621,$A35,Submissions!$G$2:$G$1621,"Accepted")</f>
        <v/>
      </c>
      <c r="D35" s="5">
        <f>IF(B35=0,"",C35/B35)</f>
        <v/>
      </c>
      <c r="E35" s="4">
        <f>COUNTIFS('Solved Problems'!$Y$2:$Y$278,$A35)</f>
        <v/>
      </c>
      <c r="F35" s="4">
        <f>COUNTIFS('Other Problems'!$Y$2:$Y$119,$A35)</f>
        <v/>
      </c>
      <c r="G35" s="4">
        <f>COUNTIFS(Submissions!$B$2:$B$1621,$A35,Submissions!$H$2:$H$1621,"C++")</f>
        <v/>
      </c>
      <c r="H35" s="4">
        <f>COUNTIFS(Submissions!$B$2:$B$1621,$A35,Submissions!$H$2:$H$1621,"Python3")+COUNTIFS(Submissions!$B$2:$B$1621,$A35,Submissions!$H$2:$H$1621,"Python")</f>
        <v/>
      </c>
      <c r="I35" s="4">
        <f>COUNTIFS(Submissions!$B$2:$B$1621,$A35,Submissions!$H$2:$H$1621,"Java")</f>
        <v/>
      </c>
    </row>
    <row r="36">
      <c r="A36" s="4" t="inlineStr">
        <is>
          <t>2026-01</t>
        </is>
      </c>
      <c r="B36" s="4">
        <f>COUNTIFS(Submissions!$B$2:$B$1621,$A36)</f>
        <v/>
      </c>
      <c r="C36" s="4">
        <f>COUNTIFS(Submissions!$B$2:$B$1621,$A36,Submissions!$G$2:$G$1621,"Accepted")</f>
        <v/>
      </c>
      <c r="D36" s="5">
        <f>IF(B36=0,"",C36/B36)</f>
        <v/>
      </c>
      <c r="E36" s="4">
        <f>COUNTIFS('Solved Problems'!$Y$2:$Y$278,$A36)</f>
        <v/>
      </c>
      <c r="F36" s="4">
        <f>COUNTIFS('Other Problems'!$Y$2:$Y$119,$A36)</f>
        <v/>
      </c>
      <c r="G36" s="4">
        <f>COUNTIFS(Submissions!$B$2:$B$1621,$A36,Submissions!$H$2:$H$1621,"C++")</f>
        <v/>
      </c>
      <c r="H36" s="4">
        <f>COUNTIFS(Submissions!$B$2:$B$1621,$A36,Submissions!$H$2:$H$1621,"Python3")+COUNTIFS(Submissions!$B$2:$B$1621,$A36,Submissions!$H$2:$H$1621,"Python")</f>
        <v/>
      </c>
      <c r="I36" s="4">
        <f>COUNTIFS(Submissions!$B$2:$B$1621,$A36,Submissions!$H$2:$H$1621,"Java")</f>
        <v/>
      </c>
    </row>
    <row r="37">
      <c r="A37" s="4" t="inlineStr">
        <is>
          <t>2026-02</t>
        </is>
      </c>
      <c r="B37" s="4">
        <f>COUNTIFS(Submissions!$B$2:$B$1621,$A37)</f>
        <v/>
      </c>
      <c r="C37" s="4">
        <f>COUNTIFS(Submissions!$B$2:$B$1621,$A37,Submissions!$G$2:$G$1621,"Accepted")</f>
        <v/>
      </c>
      <c r="D37" s="5">
        <f>IF(B37=0,"",C37/B37)</f>
        <v/>
      </c>
      <c r="E37" s="4">
        <f>COUNTIFS('Solved Problems'!$Y$2:$Y$278,$A37)</f>
        <v/>
      </c>
      <c r="F37" s="4">
        <f>COUNTIFS('Other Problems'!$Y$2:$Y$119,$A37)</f>
        <v/>
      </c>
      <c r="G37" s="4">
        <f>COUNTIFS(Submissions!$B$2:$B$1621,$A37,Submissions!$H$2:$H$1621,"C++")</f>
        <v/>
      </c>
      <c r="H37" s="4">
        <f>COUNTIFS(Submissions!$B$2:$B$1621,$A37,Submissions!$H$2:$H$1621,"Python3")+COUNTIFS(Submissions!$B$2:$B$1621,$A37,Submissions!$H$2:$H$1621,"Python")</f>
        <v/>
      </c>
      <c r="I37" s="4">
        <f>COUNTIFS(Submissions!$B$2:$B$1621,$A37,Submissions!$H$2:$H$1621,"Java")</f>
        <v/>
      </c>
    </row>
    <row r="38">
      <c r="A38" s="4" t="inlineStr">
        <is>
          <t>2026-03</t>
        </is>
      </c>
      <c r="B38" s="4">
        <f>COUNTIFS(Submissions!$B$2:$B$1621,$A38)</f>
        <v/>
      </c>
      <c r="C38" s="4">
        <f>COUNTIFS(Submissions!$B$2:$B$1621,$A38,Submissions!$G$2:$G$1621,"Accepted")</f>
        <v/>
      </c>
      <c r="D38" s="5">
        <f>IF(B38=0,"",C38/B38)</f>
        <v/>
      </c>
      <c r="E38" s="4">
        <f>COUNTIFS('Solved Problems'!$Y$2:$Y$278,$A38)</f>
        <v/>
      </c>
      <c r="F38" s="4">
        <f>COUNTIFS('Other Problems'!$Y$2:$Y$119,$A38)</f>
        <v/>
      </c>
      <c r="G38" s="4">
        <f>COUNTIFS(Submissions!$B$2:$B$1621,$A38,Submissions!$H$2:$H$1621,"C++")</f>
        <v/>
      </c>
      <c r="H38" s="4">
        <f>COUNTIFS(Submissions!$B$2:$B$1621,$A38,Submissions!$H$2:$H$1621,"Python3")+COUNTIFS(Submissions!$B$2:$B$1621,$A38,Submissions!$H$2:$H$1621,"Python")</f>
        <v/>
      </c>
      <c r="I38" s="4">
        <f>COUNTIFS(Submissions!$B$2:$B$1621,$A38,Submissions!$H$2:$H$1621,"Java")</f>
        <v/>
      </c>
    </row>
    <row r="39">
      <c r="A39" s="4" t="inlineStr">
        <is>
          <t>2026-04</t>
        </is>
      </c>
      <c r="B39" s="4">
        <f>COUNTIFS(Submissions!$B$2:$B$1621,$A39)</f>
        <v/>
      </c>
      <c r="C39" s="4">
        <f>COUNTIFS(Submissions!$B$2:$B$1621,$A39,Submissions!$G$2:$G$1621,"Accepted")</f>
        <v/>
      </c>
      <c r="D39" s="5">
        <f>IF(B39=0,"",C39/B39)</f>
        <v/>
      </c>
      <c r="E39" s="4">
        <f>COUNTIFS('Solved Problems'!$Y$2:$Y$278,$A39)</f>
        <v/>
      </c>
      <c r="F39" s="4">
        <f>COUNTIFS('Other Problems'!$Y$2:$Y$119,$A39)</f>
        <v/>
      </c>
      <c r="G39" s="4">
        <f>COUNTIFS(Submissions!$B$2:$B$1621,$A39,Submissions!$H$2:$H$1621,"C++")</f>
        <v/>
      </c>
      <c r="H39" s="4">
        <f>COUNTIFS(Submissions!$B$2:$B$1621,$A39,Submissions!$H$2:$H$1621,"Python3")+COUNTIFS(Submissions!$B$2:$B$1621,$A39,Submissions!$H$2:$H$1621,"Python")</f>
        <v/>
      </c>
      <c r="I39" s="4">
        <f>COUNTIFS(Submissions!$B$2:$B$1621,$A39,Submissions!$H$2:$H$1621,"Java")</f>
        <v/>
      </c>
    </row>
    <row r="40">
      <c r="A40" s="4" t="inlineStr">
        <is>
          <t>2026-05</t>
        </is>
      </c>
      <c r="B40" s="4">
        <f>COUNTIFS(Submissions!$B$2:$B$1621,$A40)</f>
        <v/>
      </c>
      <c r="C40" s="4">
        <f>COUNTIFS(Submissions!$B$2:$B$1621,$A40,Submissions!$G$2:$G$1621,"Accepted")</f>
        <v/>
      </c>
      <c r="D40" s="5">
        <f>IF(B40=0,"",C40/B40)</f>
        <v/>
      </c>
      <c r="E40" s="4">
        <f>COUNTIFS('Solved Problems'!$Y$2:$Y$278,$A40)</f>
        <v/>
      </c>
      <c r="F40" s="4">
        <f>COUNTIFS('Other Problems'!$Y$2:$Y$119,$A40)</f>
        <v/>
      </c>
      <c r="G40" s="4">
        <f>COUNTIFS(Submissions!$B$2:$B$1621,$A40,Submissions!$H$2:$H$1621,"C++")</f>
        <v/>
      </c>
      <c r="H40" s="4">
        <f>COUNTIFS(Submissions!$B$2:$B$1621,$A40,Submissions!$H$2:$H$1621,"Python3")+COUNTIFS(Submissions!$B$2:$B$1621,$A40,Submissions!$H$2:$H$1621,"Python")</f>
        <v/>
      </c>
      <c r="I40" s="4">
        <f>COUNTIFS(Submissions!$B$2:$B$1621,$A40,Submissions!$H$2:$H$1621,"Java")</f>
        <v/>
      </c>
    </row>
    <row r="41">
      <c r="A41" s="4" t="inlineStr">
        <is>
          <t>2026-06</t>
        </is>
      </c>
      <c r="B41" s="4">
        <f>COUNTIFS(Submissions!$B$2:$B$1621,$A41)</f>
        <v/>
      </c>
      <c r="C41" s="4">
        <f>COUNTIFS(Submissions!$B$2:$B$1621,$A41,Submissions!$G$2:$G$1621,"Accepted")</f>
        <v/>
      </c>
      <c r="D41" s="5">
        <f>IF(B41=0,"",C41/B41)</f>
        <v/>
      </c>
      <c r="E41" s="4">
        <f>COUNTIFS('Solved Problems'!$Y$2:$Y$278,$A41)</f>
        <v/>
      </c>
      <c r="F41" s="4">
        <f>COUNTIFS('Other Problems'!$Y$2:$Y$119,$A41)</f>
        <v/>
      </c>
      <c r="G41" s="4">
        <f>COUNTIFS(Submissions!$B$2:$B$1621,$A41,Submissions!$H$2:$H$1621,"C++")</f>
        <v/>
      </c>
      <c r="H41" s="4">
        <f>COUNTIFS(Submissions!$B$2:$B$1621,$A41,Submissions!$H$2:$H$1621,"Python3")+COUNTIFS(Submissions!$B$2:$B$1621,$A41,Submissions!$H$2:$H$1621,"Python")</f>
        <v/>
      </c>
      <c r="I41" s="4">
        <f>COUNTIFS(Submissions!$B$2:$B$1621,$A41,Submissions!$H$2:$H$1621,"Java")</f>
        <v/>
      </c>
    </row>
    <row r="42">
      <c r="A42" s="4" t="inlineStr">
        <is>
          <t>2026-07</t>
        </is>
      </c>
      <c r="B42" s="4">
        <f>COUNTIFS(Submissions!$B$2:$B$1621,$A42)</f>
        <v/>
      </c>
      <c r="C42" s="4">
        <f>COUNTIFS(Submissions!$B$2:$B$1621,$A42,Submissions!$G$2:$G$1621,"Accepted")</f>
        <v/>
      </c>
      <c r="D42" s="5">
        <f>IF(B42=0,"",C42/B42)</f>
        <v/>
      </c>
      <c r="E42" s="4">
        <f>COUNTIFS('Solved Problems'!$Y$2:$Y$278,$A42)</f>
        <v/>
      </c>
      <c r="F42" s="4">
        <f>COUNTIFS('Other Problems'!$Y$2:$Y$119,$A42)</f>
        <v/>
      </c>
      <c r="G42" s="4">
        <f>COUNTIFS(Submissions!$B$2:$B$1621,$A42,Submissions!$H$2:$H$1621,"C++")</f>
        <v/>
      </c>
      <c r="H42" s="4">
        <f>COUNTIFS(Submissions!$B$2:$B$1621,$A42,Submissions!$H$2:$H$1621,"Python3")+COUNTIFS(Submissions!$B$2:$B$1621,$A42,Submissions!$H$2:$H$1621,"Python")</f>
        <v/>
      </c>
      <c r="I42" s="4">
        <f>COUNTIFS(Submissions!$B$2:$B$1621,$A42,Submissions!$H$2:$H$1621,"Java")</f>
        <v/>
      </c>
    </row>
    <row r="43">
      <c r="A43" s="4" t="inlineStr">
        <is>
          <t>2026-08</t>
        </is>
      </c>
      <c r="B43" s="4">
        <f>COUNTIFS(Submissions!$B$2:$B$1621,$A43)</f>
        <v/>
      </c>
      <c r="C43" s="4">
        <f>COUNTIFS(Submissions!$B$2:$B$1621,$A43,Submissions!$G$2:$G$1621,"Accepted")</f>
        <v/>
      </c>
      <c r="D43" s="5">
        <f>IF(B43=0,"",C43/B43)</f>
        <v/>
      </c>
      <c r="E43" s="4">
        <f>COUNTIFS('Solved Problems'!$Y$2:$Y$278,$A43)</f>
        <v/>
      </c>
      <c r="F43" s="4">
        <f>COUNTIFS('Other Problems'!$Y$2:$Y$119,$A43)</f>
        <v/>
      </c>
      <c r="G43" s="4">
        <f>COUNTIFS(Submissions!$B$2:$B$1621,$A43,Submissions!$H$2:$H$1621,"C++")</f>
        <v/>
      </c>
      <c r="H43" s="4">
        <f>COUNTIFS(Submissions!$B$2:$B$1621,$A43,Submissions!$H$2:$H$1621,"Python3")+COUNTIFS(Submissions!$B$2:$B$1621,$A43,Submissions!$H$2:$H$1621,"Python")</f>
        <v/>
      </c>
      <c r="I43" s="4">
        <f>COUNTIFS(Submissions!$B$2:$B$1621,$A43,Submissions!$H$2:$H$1621,"Java")</f>
        <v/>
      </c>
    </row>
    <row r="44">
      <c r="A44" s="4" t="inlineStr">
        <is>
          <t>2026-09</t>
        </is>
      </c>
      <c r="B44" s="4">
        <f>COUNTIFS(Submissions!$B$2:$B$1621,$A44)</f>
        <v/>
      </c>
      <c r="C44" s="4">
        <f>COUNTIFS(Submissions!$B$2:$B$1621,$A44,Submissions!$G$2:$G$1621,"Accepted")</f>
        <v/>
      </c>
      <c r="D44" s="5">
        <f>IF(B44=0,"",C44/B44)</f>
        <v/>
      </c>
      <c r="E44" s="4">
        <f>COUNTIFS('Solved Problems'!$Y$2:$Y$278,$A44)</f>
        <v/>
      </c>
      <c r="F44" s="4">
        <f>COUNTIFS('Other Problems'!$Y$2:$Y$119,$A44)</f>
        <v/>
      </c>
      <c r="G44" s="4">
        <f>COUNTIFS(Submissions!$B$2:$B$1621,$A44,Submissions!$H$2:$H$1621,"C++")</f>
        <v/>
      </c>
      <c r="H44" s="4">
        <f>COUNTIFS(Submissions!$B$2:$B$1621,$A44,Submissions!$H$2:$H$1621,"Python3")+COUNTIFS(Submissions!$B$2:$B$1621,$A44,Submissions!$H$2:$H$1621,"Python")</f>
        <v/>
      </c>
      <c r="I44" s="4">
        <f>COUNTIFS(Submissions!$B$2:$B$1621,$A44,Submissions!$H$2:$H$1621,"Java")</f>
        <v/>
      </c>
    </row>
    <row r="45">
      <c r="A45" s="4" t="inlineStr">
        <is>
          <t>2026-10</t>
        </is>
      </c>
      <c r="B45" s="4">
        <f>COUNTIFS(Submissions!$B$2:$B$1621,$A45)</f>
        <v/>
      </c>
      <c r="C45" s="4">
        <f>COUNTIFS(Submissions!$B$2:$B$1621,$A45,Submissions!$G$2:$G$1621,"Accepted")</f>
        <v/>
      </c>
      <c r="D45" s="5">
        <f>IF(B45=0,"",C45/B45)</f>
        <v/>
      </c>
      <c r="E45" s="4">
        <f>COUNTIFS('Solved Problems'!$Y$2:$Y$278,$A45)</f>
        <v/>
      </c>
      <c r="F45" s="4">
        <f>COUNTIFS('Other Problems'!$Y$2:$Y$119,$A45)</f>
        <v/>
      </c>
      <c r="G45" s="4">
        <f>COUNTIFS(Submissions!$B$2:$B$1621,$A45,Submissions!$H$2:$H$1621,"C++")</f>
        <v/>
      </c>
      <c r="H45" s="4">
        <f>COUNTIFS(Submissions!$B$2:$B$1621,$A45,Submissions!$H$2:$H$1621,"Python3")+COUNTIFS(Submissions!$B$2:$B$1621,$A45,Submissions!$H$2:$H$1621,"Python")</f>
        <v/>
      </c>
      <c r="I45" s="4">
        <f>COUNTIFS(Submissions!$B$2:$B$1621,$A45,Submissions!$H$2:$H$1621,"Java")</f>
        <v/>
      </c>
    </row>
  </sheetData>
  <conditionalFormatting sqref="B2:B45">
    <cfRule type="colorScale" priority="1">
      <colorScale>
        <cfvo type="num" val="0"/>
        <cfvo type="max"/>
        <color rgb="00FFFFFF"/>
        <color rgb="005B9BD5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2026-10-24T07:13:04Z</dcterms:created>
  <dcterms:modified xsi:type="dcterms:W3CDTF">2026-10-24T07:13:04Z</dcterms:modified>
</cp:coreProperties>
</file>